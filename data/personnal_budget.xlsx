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moz\Desktop\"/>
    </mc:Choice>
  </mc:AlternateContent>
  <xr:revisionPtr revIDLastSave="0" documentId="8_{E62C2178-2BCC-4F31-B4E8-2244CE717970}" xr6:coauthVersionLast="47" xr6:coauthVersionMax="47" xr10:uidLastSave="{00000000-0000-0000-0000-000000000000}"/>
  <bookViews>
    <workbookView xWindow="-28920" yWindow="-120" windowWidth="29040" windowHeight="15720" xr2:uid="{02195B09-EA7E-46AD-9779-455332E6CD12}"/>
  </bookViews>
  <sheets>
    <sheet name="Feuil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52" i="1" l="1"/>
  <c r="AL352" i="1"/>
  <c r="AH352" i="1"/>
  <c r="AF352" i="1"/>
  <c r="Y352" i="1"/>
  <c r="X352" i="1"/>
  <c r="Q352" i="1"/>
  <c r="P352" i="1"/>
  <c r="BB351" i="1"/>
  <c r="AT351" i="1"/>
  <c r="AK351" i="1"/>
  <c r="AM351" i="1" s="1"/>
  <c r="AP351" i="1" s="1"/>
  <c r="AA351" i="1"/>
  <c r="Z351" i="1"/>
  <c r="AB351" i="1" s="1"/>
  <c r="W351" i="1"/>
  <c r="U351" i="1"/>
  <c r="N351" i="1"/>
  <c r="H351" i="1"/>
  <c r="AJ350" i="1"/>
  <c r="AA350" i="1"/>
  <c r="AB350" i="1" s="1"/>
  <c r="W350" i="1"/>
  <c r="AC350" i="1" s="1"/>
  <c r="AK349" i="1"/>
  <c r="AM349" i="1" s="1"/>
  <c r="AA349" i="1"/>
  <c r="Z349" i="1"/>
  <c r="AC349" i="1" s="1"/>
  <c r="W349" i="1"/>
  <c r="U349" i="1"/>
  <c r="N349" i="1"/>
  <c r="J349" i="1"/>
  <c r="AT349" i="1" s="1"/>
  <c r="H349" i="1"/>
  <c r="F349" i="1"/>
  <c r="BB349" i="1" s="1"/>
  <c r="AK348" i="1"/>
  <c r="AD348" i="1"/>
  <c r="AA348" i="1"/>
  <c r="Z348" i="1"/>
  <c r="W348" i="1"/>
  <c r="U348" i="1"/>
  <c r="N348" i="1"/>
  <c r="J348" i="1"/>
  <c r="AT348" i="1" s="1"/>
  <c r="H348" i="1"/>
  <c r="F348" i="1"/>
  <c r="BB348" i="1" s="1"/>
  <c r="AK347" i="1"/>
  <c r="AD347" i="1"/>
  <c r="AA347" i="1"/>
  <c r="Z347" i="1"/>
  <c r="AB347" i="1" s="1"/>
  <c r="W347" i="1"/>
  <c r="AC347" i="1" s="1"/>
  <c r="U347" i="1"/>
  <c r="N347" i="1"/>
  <c r="J347" i="1"/>
  <c r="AT347" i="1" s="1"/>
  <c r="H347" i="1"/>
  <c r="F347" i="1"/>
  <c r="BB347" i="1" s="1"/>
  <c r="AK346" i="1"/>
  <c r="AD346" i="1"/>
  <c r="AA346" i="1"/>
  <c r="Z346" i="1"/>
  <c r="W346" i="1"/>
  <c r="U346" i="1"/>
  <c r="N346" i="1"/>
  <c r="J346" i="1"/>
  <c r="AT346" i="1" s="1"/>
  <c r="H346" i="1"/>
  <c r="F346" i="1"/>
  <c r="BB346" i="1" s="1"/>
  <c r="AK345" i="1"/>
  <c r="AD345" i="1"/>
  <c r="AA345" i="1"/>
  <c r="Z345" i="1"/>
  <c r="W345" i="1"/>
  <c r="U345" i="1"/>
  <c r="N345" i="1"/>
  <c r="J345" i="1"/>
  <c r="AT345" i="1" s="1"/>
  <c r="H345" i="1"/>
  <c r="F345" i="1"/>
  <c r="BB345" i="1" s="1"/>
  <c r="AK344" i="1"/>
  <c r="AD344" i="1"/>
  <c r="AA344" i="1"/>
  <c r="Z344" i="1"/>
  <c r="W344" i="1"/>
  <c r="U344" i="1"/>
  <c r="N344" i="1"/>
  <c r="J344" i="1"/>
  <c r="AT344" i="1" s="1"/>
  <c r="H344" i="1"/>
  <c r="F344" i="1"/>
  <c r="BB344" i="1" s="1"/>
  <c r="AK343" i="1"/>
  <c r="AD343" i="1"/>
  <c r="AA343" i="1"/>
  <c r="Z343" i="1"/>
  <c r="W343" i="1"/>
  <c r="U343" i="1"/>
  <c r="N343" i="1"/>
  <c r="J343" i="1"/>
  <c r="AT343" i="1" s="1"/>
  <c r="H343" i="1"/>
  <c r="F343" i="1"/>
  <c r="BB343" i="1" s="1"/>
  <c r="AK342" i="1"/>
  <c r="AD342" i="1"/>
  <c r="AA342" i="1"/>
  <c r="Z342" i="1"/>
  <c r="W342" i="1"/>
  <c r="U342" i="1"/>
  <c r="N342" i="1"/>
  <c r="J342" i="1"/>
  <c r="AT342" i="1" s="1"/>
  <c r="H342" i="1"/>
  <c r="F342" i="1"/>
  <c r="BB342" i="1" s="1"/>
  <c r="AK341" i="1"/>
  <c r="AD341" i="1"/>
  <c r="AM341" i="1" s="1"/>
  <c r="AP341" i="1" s="1"/>
  <c r="AA341" i="1"/>
  <c r="AB341" i="1" s="1"/>
  <c r="Z341" i="1"/>
  <c r="W341" i="1"/>
  <c r="U341" i="1"/>
  <c r="N341" i="1"/>
  <c r="J341" i="1"/>
  <c r="AT341" i="1" s="1"/>
  <c r="H341" i="1"/>
  <c r="F341" i="1"/>
  <c r="BB341" i="1" s="1"/>
  <c r="AK340" i="1"/>
  <c r="AD340" i="1"/>
  <c r="AM340" i="1" s="1"/>
  <c r="AA340" i="1"/>
  <c r="Z340" i="1"/>
  <c r="W340" i="1"/>
  <c r="U340" i="1"/>
  <c r="N340" i="1"/>
  <c r="J340" i="1"/>
  <c r="AT340" i="1" s="1"/>
  <c r="H340" i="1"/>
  <c r="F340" i="1"/>
  <c r="BB340" i="1" s="1"/>
  <c r="BB339" i="1"/>
  <c r="AK339" i="1"/>
  <c r="AD339" i="1"/>
  <c r="AM339" i="1" s="1"/>
  <c r="AP339" i="1" s="1"/>
  <c r="AA339" i="1"/>
  <c r="Z339" i="1"/>
  <c r="AB339" i="1" s="1"/>
  <c r="W339" i="1"/>
  <c r="U339" i="1"/>
  <c r="N339" i="1"/>
  <c r="J339" i="1"/>
  <c r="AT339" i="1" s="1"/>
  <c r="H339" i="1"/>
  <c r="F339" i="1"/>
  <c r="AK338" i="1"/>
  <c r="AD338" i="1"/>
  <c r="AA338" i="1"/>
  <c r="Z338" i="1"/>
  <c r="W338" i="1"/>
  <c r="U338" i="1"/>
  <c r="N338" i="1"/>
  <c r="J338" i="1"/>
  <c r="AT338" i="1" s="1"/>
  <c r="H338" i="1"/>
  <c r="F338" i="1"/>
  <c r="BB338" i="1" s="1"/>
  <c r="AM337" i="1"/>
  <c r="AJ337" i="1" s="1"/>
  <c r="AK337" i="1"/>
  <c r="AD337" i="1"/>
  <c r="AC337" i="1"/>
  <c r="AA337" i="1"/>
  <c r="Z337" i="1"/>
  <c r="AB337" i="1" s="1"/>
  <c r="W337" i="1"/>
  <c r="U337" i="1"/>
  <c r="N337" i="1"/>
  <c r="J337" i="1"/>
  <c r="AT337" i="1" s="1"/>
  <c r="H337" i="1"/>
  <c r="F337" i="1"/>
  <c r="BB337" i="1" s="1"/>
  <c r="AK336" i="1"/>
  <c r="AD336" i="1"/>
  <c r="AM336" i="1" s="1"/>
  <c r="AB336" i="1"/>
  <c r="AA336" i="1"/>
  <c r="Z336" i="1"/>
  <c r="W336" i="1"/>
  <c r="AC336" i="1" s="1"/>
  <c r="U336" i="1"/>
  <c r="N336" i="1"/>
  <c r="J336" i="1"/>
  <c r="AT336" i="1" s="1"/>
  <c r="H336" i="1"/>
  <c r="F336" i="1"/>
  <c r="BB336" i="1" s="1"/>
  <c r="AK335" i="1"/>
  <c r="AD335" i="1"/>
  <c r="AM335" i="1" s="1"/>
  <c r="AC335" i="1"/>
  <c r="AA335" i="1"/>
  <c r="Z335" i="1"/>
  <c r="W335" i="1"/>
  <c r="U335" i="1"/>
  <c r="N335" i="1"/>
  <c r="J335" i="1"/>
  <c r="AT335" i="1" s="1"/>
  <c r="H335" i="1"/>
  <c r="F335" i="1"/>
  <c r="BB335" i="1" s="1"/>
  <c r="AK334" i="1"/>
  <c r="AD334" i="1"/>
  <c r="AA334" i="1"/>
  <c r="Z334" i="1"/>
  <c r="W334" i="1"/>
  <c r="U334" i="1"/>
  <c r="N334" i="1"/>
  <c r="J334" i="1"/>
  <c r="AT334" i="1" s="1"/>
  <c r="H334" i="1"/>
  <c r="F334" i="1"/>
  <c r="BB334" i="1" s="1"/>
  <c r="AK333" i="1"/>
  <c r="AD333" i="1"/>
  <c r="AM333" i="1" s="1"/>
  <c r="AA333" i="1"/>
  <c r="Z333" i="1"/>
  <c r="W333" i="1"/>
  <c r="U333" i="1"/>
  <c r="N333" i="1"/>
  <c r="J333" i="1"/>
  <c r="AT333" i="1" s="1"/>
  <c r="H333" i="1"/>
  <c r="F333" i="1"/>
  <c r="BB333" i="1" s="1"/>
  <c r="AK332" i="1"/>
  <c r="AD332" i="1"/>
  <c r="AA332" i="1"/>
  <c r="Z332" i="1"/>
  <c r="AB332" i="1" s="1"/>
  <c r="W332" i="1"/>
  <c r="U332" i="1"/>
  <c r="N332" i="1"/>
  <c r="J332" i="1"/>
  <c r="AT332" i="1" s="1"/>
  <c r="H332" i="1"/>
  <c r="F332" i="1"/>
  <c r="BB332" i="1" s="1"/>
  <c r="AM331" i="1"/>
  <c r="AP331" i="1" s="1"/>
  <c r="AK331" i="1"/>
  <c r="AD331" i="1"/>
  <c r="AA331" i="1"/>
  <c r="Z331" i="1"/>
  <c r="W331" i="1"/>
  <c r="AC331" i="1" s="1"/>
  <c r="U331" i="1"/>
  <c r="N331" i="1"/>
  <c r="J331" i="1"/>
  <c r="AT331" i="1" s="1"/>
  <c r="H331" i="1"/>
  <c r="F331" i="1"/>
  <c r="BB331" i="1" s="1"/>
  <c r="AK330" i="1"/>
  <c r="AD330" i="1"/>
  <c r="AA330" i="1"/>
  <c r="Z330" i="1"/>
  <c r="W330" i="1"/>
  <c r="U330" i="1"/>
  <c r="N330" i="1"/>
  <c r="J330" i="1"/>
  <c r="AT330" i="1" s="1"/>
  <c r="H330" i="1"/>
  <c r="F330" i="1"/>
  <c r="BB330" i="1" s="1"/>
  <c r="AK329" i="1"/>
  <c r="AD329" i="1"/>
  <c r="AA329" i="1"/>
  <c r="Z329" i="1"/>
  <c r="AB329" i="1" s="1"/>
  <c r="W329" i="1"/>
  <c r="U329" i="1"/>
  <c r="N329" i="1"/>
  <c r="J329" i="1"/>
  <c r="H329" i="1"/>
  <c r="F329" i="1"/>
  <c r="AO328" i="1"/>
  <c r="AL328" i="1"/>
  <c r="AH328" i="1"/>
  <c r="AF328" i="1"/>
  <c r="AA328" i="1"/>
  <c r="X328" i="1"/>
  <c r="Q328" i="1"/>
  <c r="P328" i="1"/>
  <c r="AK327" i="1"/>
  <c r="AM327" i="1" s="1"/>
  <c r="Z327" i="1"/>
  <c r="W327" i="1"/>
  <c r="R327" i="1"/>
  <c r="U327" i="1" s="1"/>
  <c r="N327" i="1"/>
  <c r="J327" i="1"/>
  <c r="AT327" i="1" s="1"/>
  <c r="H327" i="1"/>
  <c r="F327" i="1"/>
  <c r="AK326" i="1"/>
  <c r="AD326" i="1"/>
  <c r="AA326" i="1"/>
  <c r="AB326" i="1" s="1"/>
  <c r="Z326" i="1"/>
  <c r="W326" i="1"/>
  <c r="AC326" i="1" s="1"/>
  <c r="U326" i="1"/>
  <c r="N326" i="1"/>
  <c r="J326" i="1"/>
  <c r="AT326" i="1" s="1"/>
  <c r="H326" i="1"/>
  <c r="F326" i="1"/>
  <c r="BB326" i="1" s="1"/>
  <c r="AK325" i="1"/>
  <c r="AD325" i="1"/>
  <c r="AM325" i="1" s="1"/>
  <c r="AB325" i="1"/>
  <c r="AA325" i="1"/>
  <c r="Z325" i="1"/>
  <c r="W325" i="1"/>
  <c r="AC325" i="1" s="1"/>
  <c r="U325" i="1"/>
  <c r="N325" i="1"/>
  <c r="J325" i="1"/>
  <c r="AT325" i="1" s="1"/>
  <c r="H325" i="1"/>
  <c r="F325" i="1"/>
  <c r="BB324" i="1"/>
  <c r="AK324" i="1"/>
  <c r="AD324" i="1"/>
  <c r="AM324" i="1" s="1"/>
  <c r="AA324" i="1"/>
  <c r="Z324" i="1"/>
  <c r="W324" i="1"/>
  <c r="U324" i="1"/>
  <c r="N324" i="1"/>
  <c r="N328" i="1" s="1"/>
  <c r="J324" i="1"/>
  <c r="AT324" i="1" s="1"/>
  <c r="H324" i="1"/>
  <c r="F324" i="1"/>
  <c r="AK323" i="1"/>
  <c r="AD323" i="1"/>
  <c r="AA323" i="1"/>
  <c r="Z323" i="1"/>
  <c r="W323" i="1"/>
  <c r="U323" i="1"/>
  <c r="N323" i="1"/>
  <c r="J323" i="1"/>
  <c r="AT323" i="1" s="1"/>
  <c r="H323" i="1"/>
  <c r="F323" i="1"/>
  <c r="BB323" i="1" s="1"/>
  <c r="AO322" i="1"/>
  <c r="AL322" i="1"/>
  <c r="AH322" i="1"/>
  <c r="AF322" i="1"/>
  <c r="AA322" i="1"/>
  <c r="X322" i="1"/>
  <c r="Q322" i="1"/>
  <c r="P322" i="1"/>
  <c r="AK321" i="1"/>
  <c r="AM321" i="1" s="1"/>
  <c r="AA321" i="1"/>
  <c r="Z321" i="1"/>
  <c r="W321" i="1"/>
  <c r="U321" i="1"/>
  <c r="N321" i="1"/>
  <c r="J321" i="1"/>
  <c r="AT321" i="1" s="1"/>
  <c r="H321" i="1"/>
  <c r="F321" i="1"/>
  <c r="BB321" i="1" s="1"/>
  <c r="AK320" i="1"/>
  <c r="AD320" i="1"/>
  <c r="Z320" i="1"/>
  <c r="W320" i="1"/>
  <c r="N320" i="1"/>
  <c r="J320" i="1"/>
  <c r="AT320" i="1" s="1"/>
  <c r="H320" i="1"/>
  <c r="R320" i="1" s="1"/>
  <c r="F320" i="1"/>
  <c r="AK319" i="1"/>
  <c r="AD319" i="1"/>
  <c r="AA319" i="1"/>
  <c r="Z319" i="1"/>
  <c r="W319" i="1"/>
  <c r="U319" i="1"/>
  <c r="N319" i="1"/>
  <c r="J319" i="1"/>
  <c r="AT319" i="1" s="1"/>
  <c r="H319" i="1"/>
  <c r="F319" i="1"/>
  <c r="BB319" i="1" s="1"/>
  <c r="AK318" i="1"/>
  <c r="AD318" i="1"/>
  <c r="AC318" i="1"/>
  <c r="AA318" i="1"/>
  <c r="Z318" i="1"/>
  <c r="W318" i="1"/>
  <c r="U318" i="1"/>
  <c r="N318" i="1"/>
  <c r="J318" i="1"/>
  <c r="AT318" i="1" s="1"/>
  <c r="H318" i="1"/>
  <c r="F318" i="1"/>
  <c r="BB318" i="1" s="1"/>
  <c r="AK317" i="1"/>
  <c r="AD317" i="1"/>
  <c r="Z317" i="1"/>
  <c r="AB317" i="1" s="1"/>
  <c r="W317" i="1"/>
  <c r="U317" i="1"/>
  <c r="N317" i="1"/>
  <c r="J317" i="1"/>
  <c r="AT317" i="1" s="1"/>
  <c r="H317" i="1"/>
  <c r="R317" i="1" s="1"/>
  <c r="AA317" i="1" s="1"/>
  <c r="F317" i="1"/>
  <c r="AK316" i="1"/>
  <c r="AD316" i="1"/>
  <c r="AM316" i="1" s="1"/>
  <c r="AP316" i="1" s="1"/>
  <c r="AA316" i="1"/>
  <c r="Z316" i="1"/>
  <c r="AB316" i="1" s="1"/>
  <c r="W316" i="1"/>
  <c r="U316" i="1"/>
  <c r="N316" i="1"/>
  <c r="J316" i="1"/>
  <c r="AT316" i="1" s="1"/>
  <c r="H316" i="1"/>
  <c r="F316" i="1"/>
  <c r="BB316" i="1" s="1"/>
  <c r="AK315" i="1"/>
  <c r="AD315" i="1"/>
  <c r="AM315" i="1" s="1"/>
  <c r="Z315" i="1"/>
  <c r="W315" i="1"/>
  <c r="N315" i="1"/>
  <c r="J315" i="1"/>
  <c r="AT315" i="1" s="1"/>
  <c r="H315" i="1"/>
  <c r="R315" i="1" s="1"/>
  <c r="F315" i="1"/>
  <c r="BB314" i="1"/>
  <c r="AK314" i="1"/>
  <c r="AD314" i="1"/>
  <c r="AA314" i="1"/>
  <c r="Z314" i="1"/>
  <c r="W314" i="1"/>
  <c r="U314" i="1"/>
  <c r="N314" i="1"/>
  <c r="J314" i="1"/>
  <c r="AT314" i="1" s="1"/>
  <c r="H314" i="1"/>
  <c r="F314" i="1"/>
  <c r="AK313" i="1"/>
  <c r="AD313" i="1"/>
  <c r="AA313" i="1"/>
  <c r="Z313" i="1"/>
  <c r="W313" i="1"/>
  <c r="AC313" i="1" s="1"/>
  <c r="U313" i="1"/>
  <c r="N313" i="1"/>
  <c r="J313" i="1"/>
  <c r="AT313" i="1" s="1"/>
  <c r="H313" i="1"/>
  <c r="F313" i="1"/>
  <c r="AO312" i="1"/>
  <c r="AL312" i="1"/>
  <c r="AH312" i="1"/>
  <c r="AF312" i="1"/>
  <c r="AA312" i="1"/>
  <c r="X312" i="1"/>
  <c r="Q312" i="1"/>
  <c r="P312" i="1"/>
  <c r="AT311" i="1"/>
  <c r="AK311" i="1"/>
  <c r="AD311" i="1"/>
  <c r="AA311" i="1"/>
  <c r="Z311" i="1"/>
  <c r="W311" i="1"/>
  <c r="U311" i="1"/>
  <c r="N311" i="1"/>
  <c r="J311" i="1"/>
  <c r="H311" i="1"/>
  <c r="F311" i="1"/>
  <c r="BB311" i="1" s="1"/>
  <c r="AK310" i="1"/>
  <c r="AD310" i="1"/>
  <c r="AB310" i="1"/>
  <c r="AA310" i="1"/>
  <c r="Z310" i="1"/>
  <c r="W310" i="1"/>
  <c r="U310" i="1"/>
  <c r="N310" i="1"/>
  <c r="J310" i="1"/>
  <c r="AT310" i="1" s="1"/>
  <c r="H310" i="1"/>
  <c r="F310" i="1"/>
  <c r="BB310" i="1" s="1"/>
  <c r="AK309" i="1"/>
  <c r="AD309" i="1"/>
  <c r="Z309" i="1"/>
  <c r="W309" i="1"/>
  <c r="N309" i="1"/>
  <c r="J309" i="1"/>
  <c r="AT309" i="1" s="1"/>
  <c r="H309" i="1"/>
  <c r="R309" i="1" s="1"/>
  <c r="F309" i="1"/>
  <c r="AM308" i="1"/>
  <c r="AJ308" i="1" s="1"/>
  <c r="AK308" i="1"/>
  <c r="AD308" i="1"/>
  <c r="Z308" i="1"/>
  <c r="W308" i="1"/>
  <c r="N308" i="1"/>
  <c r="J308" i="1"/>
  <c r="AT308" i="1" s="1"/>
  <c r="H308" i="1"/>
  <c r="R308" i="1" s="1"/>
  <c r="F308" i="1"/>
  <c r="AO307" i="1"/>
  <c r="AL307" i="1"/>
  <c r="AH307" i="1"/>
  <c r="AF307" i="1"/>
  <c r="AA307" i="1"/>
  <c r="X307" i="1"/>
  <c r="Q307" i="1"/>
  <c r="P307" i="1"/>
  <c r="AK306" i="1"/>
  <c r="AM306" i="1" s="1"/>
  <c r="AJ306" i="1" s="1"/>
  <c r="Z306" i="1"/>
  <c r="W306" i="1"/>
  <c r="AC306" i="1" s="1"/>
  <c r="N306" i="1"/>
  <c r="J306" i="1"/>
  <c r="AT306" i="1" s="1"/>
  <c r="H306" i="1"/>
  <c r="R306" i="1" s="1"/>
  <c r="F306" i="1"/>
  <c r="AD305" i="1"/>
  <c r="AM305" i="1" s="1"/>
  <c r="AP305" i="1" s="1"/>
  <c r="AA305" i="1"/>
  <c r="Z305" i="1"/>
  <c r="AB305" i="1" s="1"/>
  <c r="W305" i="1"/>
  <c r="U305" i="1"/>
  <c r="N305" i="1"/>
  <c r="J305" i="1"/>
  <c r="H305" i="1"/>
  <c r="F305" i="1"/>
  <c r="BB305" i="1" s="1"/>
  <c r="AK304" i="1"/>
  <c r="AM304" i="1" s="1"/>
  <c r="AA304" i="1"/>
  <c r="Z304" i="1"/>
  <c r="AB304" i="1" s="1"/>
  <c r="W304" i="1"/>
  <c r="U304" i="1"/>
  <c r="N304" i="1"/>
  <c r="J304" i="1"/>
  <c r="AT304" i="1" s="1"/>
  <c r="H304" i="1"/>
  <c r="F304" i="1"/>
  <c r="BB304" i="1" s="1"/>
  <c r="AK303" i="1"/>
  <c r="AM303" i="1" s="1"/>
  <c r="AA303" i="1"/>
  <c r="Z303" i="1"/>
  <c r="W303" i="1"/>
  <c r="U303" i="1"/>
  <c r="N303" i="1"/>
  <c r="J303" i="1"/>
  <c r="AT303" i="1" s="1"/>
  <c r="H303" i="1"/>
  <c r="F303" i="1"/>
  <c r="BB303" i="1" s="1"/>
  <c r="BB302" i="1"/>
  <c r="AT302" i="1"/>
  <c r="AK302" i="1"/>
  <c r="AM302" i="1" s="1"/>
  <c r="AJ302" i="1" s="1"/>
  <c r="AA302" i="1"/>
  <c r="Z302" i="1"/>
  <c r="W302" i="1"/>
  <c r="U302" i="1"/>
  <c r="N302" i="1"/>
  <c r="J302" i="1"/>
  <c r="H302" i="1"/>
  <c r="F302" i="1"/>
  <c r="AK301" i="1"/>
  <c r="AM301" i="1" s="1"/>
  <c r="AA301" i="1"/>
  <c r="Z301" i="1"/>
  <c r="W301" i="1"/>
  <c r="U301" i="1"/>
  <c r="N301" i="1"/>
  <c r="J301" i="1"/>
  <c r="AT301" i="1" s="1"/>
  <c r="H301" i="1"/>
  <c r="F301" i="1"/>
  <c r="BB301" i="1" s="1"/>
  <c r="AK300" i="1"/>
  <c r="AM300" i="1" s="1"/>
  <c r="AD300" i="1"/>
  <c r="Z300" i="1"/>
  <c r="W300" i="1"/>
  <c r="AC300" i="1" s="1"/>
  <c r="R300" i="1"/>
  <c r="N300" i="1"/>
  <c r="J300" i="1"/>
  <c r="AT300" i="1" s="1"/>
  <c r="H300" i="1"/>
  <c r="F300" i="1"/>
  <c r="AK299" i="1"/>
  <c r="AD299" i="1"/>
  <c r="AA299" i="1"/>
  <c r="Z299" i="1"/>
  <c r="AB299" i="1" s="1"/>
  <c r="W299" i="1"/>
  <c r="AC299" i="1" s="1"/>
  <c r="U299" i="1"/>
  <c r="N299" i="1"/>
  <c r="J299" i="1"/>
  <c r="AT299" i="1" s="1"/>
  <c r="H299" i="1"/>
  <c r="F299" i="1"/>
  <c r="BB299" i="1" s="1"/>
  <c r="AK298" i="1"/>
  <c r="AD298" i="1"/>
  <c r="Z298" i="1"/>
  <c r="W298" i="1"/>
  <c r="N298" i="1"/>
  <c r="J298" i="1"/>
  <c r="AT298" i="1" s="1"/>
  <c r="H298" i="1"/>
  <c r="R298" i="1" s="1"/>
  <c r="F298" i="1"/>
  <c r="AK297" i="1"/>
  <c r="AD297" i="1"/>
  <c r="AA297" i="1"/>
  <c r="Z297" i="1"/>
  <c r="W297" i="1"/>
  <c r="U297" i="1"/>
  <c r="N297" i="1"/>
  <c r="J297" i="1"/>
  <c r="AT297" i="1" s="1"/>
  <c r="H297" i="1"/>
  <c r="F297" i="1"/>
  <c r="BB297" i="1" s="1"/>
  <c r="AK296" i="1"/>
  <c r="AD296" i="1"/>
  <c r="Z296" i="1"/>
  <c r="AC296" i="1" s="1"/>
  <c r="W296" i="1"/>
  <c r="N296" i="1"/>
  <c r="J296" i="1"/>
  <c r="AT296" i="1" s="1"/>
  <c r="H296" i="1"/>
  <c r="R296" i="1" s="1"/>
  <c r="AA296" i="1" s="1"/>
  <c r="F296" i="1"/>
  <c r="BB295" i="1"/>
  <c r="AK295" i="1"/>
  <c r="AD295" i="1"/>
  <c r="AA295" i="1"/>
  <c r="Z295" i="1"/>
  <c r="W295" i="1"/>
  <c r="U295" i="1"/>
  <c r="N295" i="1"/>
  <c r="J295" i="1"/>
  <c r="AT295" i="1" s="1"/>
  <c r="H295" i="1"/>
  <c r="F295" i="1"/>
  <c r="AK294" i="1"/>
  <c r="AD294" i="1"/>
  <c r="AA294" i="1"/>
  <c r="Z294" i="1"/>
  <c r="W294" i="1"/>
  <c r="U294" i="1"/>
  <c r="N294" i="1"/>
  <c r="J294" i="1"/>
  <c r="AT294" i="1" s="1"/>
  <c r="H294" i="1"/>
  <c r="F294" i="1"/>
  <c r="BB294" i="1" s="1"/>
  <c r="AK293" i="1"/>
  <c r="AM293" i="1" s="1"/>
  <c r="AP293" i="1" s="1"/>
  <c r="AD293" i="1"/>
  <c r="AA293" i="1"/>
  <c r="Z293" i="1"/>
  <c r="AB293" i="1" s="1"/>
  <c r="W293" i="1"/>
  <c r="AC293" i="1" s="1"/>
  <c r="U293" i="1"/>
  <c r="N293" i="1"/>
  <c r="J293" i="1"/>
  <c r="AT293" i="1" s="1"/>
  <c r="H293" i="1"/>
  <c r="F293" i="1"/>
  <c r="BB293" i="1" s="1"/>
  <c r="AK292" i="1"/>
  <c r="AD292" i="1"/>
  <c r="AM292" i="1" s="1"/>
  <c r="AB292" i="1"/>
  <c r="AA292" i="1"/>
  <c r="Z292" i="1"/>
  <c r="W292" i="1"/>
  <c r="U292" i="1"/>
  <c r="N292" i="1"/>
  <c r="J292" i="1"/>
  <c r="AT292" i="1" s="1"/>
  <c r="H292" i="1"/>
  <c r="F292" i="1"/>
  <c r="AT291" i="1"/>
  <c r="AK291" i="1"/>
  <c r="AM291" i="1" s="1"/>
  <c r="AD291" i="1"/>
  <c r="Z291" i="1"/>
  <c r="W291" i="1"/>
  <c r="N291" i="1"/>
  <c r="J291" i="1"/>
  <c r="H291" i="1"/>
  <c r="R291" i="1" s="1"/>
  <c r="F291" i="1"/>
  <c r="AL290" i="1"/>
  <c r="AH290" i="1"/>
  <c r="AF290" i="1"/>
  <c r="AA290" i="1"/>
  <c r="X290" i="1"/>
  <c r="Q290" i="1"/>
  <c r="P290" i="1"/>
  <c r="AR289" i="1"/>
  <c r="AP289" i="1"/>
  <c r="AK289" i="1"/>
  <c r="AJ289" i="1"/>
  <c r="AA289" i="1"/>
  <c r="Z289" i="1"/>
  <c r="AB289" i="1" s="1"/>
  <c r="W289" i="1"/>
  <c r="U289" i="1"/>
  <c r="N289" i="1"/>
  <c r="J289" i="1"/>
  <c r="AV289" i="1" s="1"/>
  <c r="H289" i="1"/>
  <c r="F289" i="1"/>
  <c r="BB289" i="1" s="1"/>
  <c r="AK288" i="1"/>
  <c r="AM288" i="1" s="1"/>
  <c r="AP288" i="1" s="1"/>
  <c r="Z288" i="1"/>
  <c r="W288" i="1"/>
  <c r="N288" i="1"/>
  <c r="J288" i="1"/>
  <c r="H288" i="1"/>
  <c r="R288" i="1" s="1"/>
  <c r="AA288" i="1" s="1"/>
  <c r="F288" i="1"/>
  <c r="AK287" i="1"/>
  <c r="AD287" i="1"/>
  <c r="AA287" i="1"/>
  <c r="Z287" i="1"/>
  <c r="W287" i="1"/>
  <c r="U287" i="1"/>
  <c r="N287" i="1"/>
  <c r="J287" i="1"/>
  <c r="AT287" i="1" s="1"/>
  <c r="H287" i="1"/>
  <c r="F287" i="1"/>
  <c r="BB286" i="1"/>
  <c r="AK286" i="1"/>
  <c r="AD286" i="1"/>
  <c r="AA286" i="1"/>
  <c r="Z286" i="1"/>
  <c r="W286" i="1"/>
  <c r="U286" i="1"/>
  <c r="N286" i="1"/>
  <c r="J286" i="1"/>
  <c r="AT286" i="1" s="1"/>
  <c r="H286" i="1"/>
  <c r="F286" i="1"/>
  <c r="BB285" i="1"/>
  <c r="AK285" i="1"/>
  <c r="AD285" i="1"/>
  <c r="AA285" i="1"/>
  <c r="Z285" i="1"/>
  <c r="W285" i="1"/>
  <c r="U285" i="1"/>
  <c r="N285" i="1"/>
  <c r="J285" i="1"/>
  <c r="AT285" i="1" s="1"/>
  <c r="H285" i="1"/>
  <c r="F285" i="1"/>
  <c r="AK284" i="1"/>
  <c r="AD284" i="1"/>
  <c r="AA284" i="1"/>
  <c r="Z284" i="1"/>
  <c r="AB284" i="1" s="1"/>
  <c r="W284" i="1"/>
  <c r="U284" i="1"/>
  <c r="N284" i="1"/>
  <c r="J284" i="1"/>
  <c r="H284" i="1"/>
  <c r="F284" i="1"/>
  <c r="BB284" i="1" s="1"/>
  <c r="AK283" i="1"/>
  <c r="AD283" i="1"/>
  <c r="AA283" i="1"/>
  <c r="Z283" i="1"/>
  <c r="W283" i="1"/>
  <c r="U283" i="1"/>
  <c r="N283" i="1"/>
  <c r="J283" i="1"/>
  <c r="AT283" i="1" s="1"/>
  <c r="H283" i="1"/>
  <c r="F283" i="1"/>
  <c r="BB283" i="1" s="1"/>
  <c r="AM282" i="1"/>
  <c r="AK282" i="1"/>
  <c r="AD282" i="1"/>
  <c r="AA282" i="1"/>
  <c r="Z282" i="1"/>
  <c r="W282" i="1"/>
  <c r="U282" i="1"/>
  <c r="N282" i="1"/>
  <c r="J282" i="1"/>
  <c r="AT282" i="1" s="1"/>
  <c r="H282" i="1"/>
  <c r="F282" i="1"/>
  <c r="BB282" i="1" s="1"/>
  <c r="AK281" i="1"/>
  <c r="AD281" i="1"/>
  <c r="AM281" i="1" s="1"/>
  <c r="AP281" i="1" s="1"/>
  <c r="AR281" i="1" s="1"/>
  <c r="AA281" i="1"/>
  <c r="Z281" i="1"/>
  <c r="W281" i="1"/>
  <c r="AC281" i="1" s="1"/>
  <c r="U281" i="1"/>
  <c r="N281" i="1"/>
  <c r="J281" i="1"/>
  <c r="AT281" i="1" s="1"/>
  <c r="H281" i="1"/>
  <c r="F281" i="1"/>
  <c r="BB281" i="1" s="1"/>
  <c r="AK280" i="1"/>
  <c r="AD280" i="1"/>
  <c r="AM280" i="1" s="1"/>
  <c r="AA280" i="1"/>
  <c r="Z280" i="1"/>
  <c r="AB280" i="1" s="1"/>
  <c r="W280" i="1"/>
  <c r="U280" i="1"/>
  <c r="N280" i="1"/>
  <c r="J280" i="1"/>
  <c r="AT280" i="1" s="1"/>
  <c r="H280" i="1"/>
  <c r="F280" i="1"/>
  <c r="BB280" i="1" s="1"/>
  <c r="AP279" i="1"/>
  <c r="AK279" i="1"/>
  <c r="AJ279" i="1"/>
  <c r="AA279" i="1"/>
  <c r="Z279" i="1"/>
  <c r="W279" i="1"/>
  <c r="U279" i="1"/>
  <c r="N279" i="1"/>
  <c r="J279" i="1"/>
  <c r="AT279" i="1" s="1"/>
  <c r="H279" i="1"/>
  <c r="F279" i="1"/>
  <c r="BB279" i="1" s="1"/>
  <c r="AO278" i="1"/>
  <c r="AL278" i="1"/>
  <c r="AH278" i="1"/>
  <c r="AF278" i="1"/>
  <c r="AA278" i="1"/>
  <c r="X278" i="1"/>
  <c r="Q278" i="1"/>
  <c r="P278" i="1"/>
  <c r="AK277" i="1"/>
  <c r="AD277" i="1"/>
  <c r="AA277" i="1"/>
  <c r="AB277" i="1" s="1"/>
  <c r="Z277" i="1"/>
  <c r="W277" i="1"/>
  <c r="AC277" i="1" s="1"/>
  <c r="U277" i="1"/>
  <c r="N277" i="1"/>
  <c r="J277" i="1"/>
  <c r="AT277" i="1" s="1"/>
  <c r="H277" i="1"/>
  <c r="F277" i="1"/>
  <c r="BB277" i="1" s="1"/>
  <c r="BB276" i="1"/>
  <c r="BB278" i="1" s="1"/>
  <c r="AK276" i="1"/>
  <c r="AD276" i="1"/>
  <c r="AM276" i="1" s="1"/>
  <c r="AA276" i="1"/>
  <c r="Z276" i="1"/>
  <c r="W276" i="1"/>
  <c r="AC276" i="1" s="1"/>
  <c r="U276" i="1"/>
  <c r="N276" i="1"/>
  <c r="J276" i="1"/>
  <c r="AT276" i="1" s="1"/>
  <c r="H276" i="1"/>
  <c r="F276" i="1"/>
  <c r="F278" i="1" s="1"/>
  <c r="AO275" i="1"/>
  <c r="AL275" i="1"/>
  <c r="AH275" i="1"/>
  <c r="AF275" i="1"/>
  <c r="AA275" i="1"/>
  <c r="X275" i="1"/>
  <c r="Q275" i="1"/>
  <c r="P275" i="1"/>
  <c r="F275" i="1"/>
  <c r="AK274" i="1"/>
  <c r="AD274" i="1"/>
  <c r="Z274" i="1"/>
  <c r="W274" i="1"/>
  <c r="N274" i="1"/>
  <c r="J274" i="1"/>
  <c r="AT274" i="1" s="1"/>
  <c r="H274" i="1"/>
  <c r="R274" i="1" s="1"/>
  <c r="AA274" i="1" s="1"/>
  <c r="F274" i="1"/>
  <c r="AK273" i="1"/>
  <c r="AM273" i="1" s="1"/>
  <c r="AJ273" i="1" s="1"/>
  <c r="AD273" i="1"/>
  <c r="AC273" i="1"/>
  <c r="Z273" i="1"/>
  <c r="W273" i="1"/>
  <c r="R273" i="1"/>
  <c r="N273" i="1"/>
  <c r="N275" i="1" s="1"/>
  <c r="J273" i="1"/>
  <c r="AT273" i="1" s="1"/>
  <c r="H273" i="1"/>
  <c r="F273" i="1"/>
  <c r="AK272" i="1"/>
  <c r="AD272" i="1"/>
  <c r="Z272" i="1"/>
  <c r="Z275" i="1" s="1"/>
  <c r="W272" i="1"/>
  <c r="R272" i="1"/>
  <c r="N272" i="1"/>
  <c r="J272" i="1"/>
  <c r="H272" i="1"/>
  <c r="F272" i="1"/>
  <c r="AO271" i="1"/>
  <c r="AL271" i="1"/>
  <c r="AH271" i="1"/>
  <c r="AF271" i="1"/>
  <c r="AA271" i="1"/>
  <c r="X271" i="1"/>
  <c r="Q271" i="1"/>
  <c r="P271" i="1"/>
  <c r="AK270" i="1"/>
  <c r="AD270" i="1"/>
  <c r="AA270" i="1"/>
  <c r="Z270" i="1"/>
  <c r="AB270" i="1" s="1"/>
  <c r="W270" i="1"/>
  <c r="U270" i="1"/>
  <c r="N270" i="1"/>
  <c r="J270" i="1"/>
  <c r="AT270" i="1" s="1"/>
  <c r="H270" i="1"/>
  <c r="F270" i="1"/>
  <c r="BB270" i="1" s="1"/>
  <c r="AK269" i="1"/>
  <c r="AM269" i="1" s="1"/>
  <c r="AA269" i="1"/>
  <c r="Z269" i="1"/>
  <c r="AB269" i="1" s="1"/>
  <c r="W269" i="1"/>
  <c r="U269" i="1"/>
  <c r="N269" i="1"/>
  <c r="J269" i="1"/>
  <c r="AT269" i="1" s="1"/>
  <c r="H269" i="1"/>
  <c r="F269" i="1"/>
  <c r="BB269" i="1" s="1"/>
  <c r="AK268" i="1"/>
  <c r="AD268" i="1"/>
  <c r="Z268" i="1"/>
  <c r="W268" i="1"/>
  <c r="N268" i="1"/>
  <c r="J268" i="1"/>
  <c r="AT268" i="1" s="1"/>
  <c r="H268" i="1"/>
  <c r="R268" i="1" s="1"/>
  <c r="F268" i="1"/>
  <c r="AK267" i="1"/>
  <c r="AD267" i="1"/>
  <c r="Z267" i="1"/>
  <c r="W267" i="1"/>
  <c r="N267" i="1"/>
  <c r="J267" i="1"/>
  <c r="AT267" i="1" s="1"/>
  <c r="H267" i="1"/>
  <c r="R267" i="1" s="1"/>
  <c r="F267" i="1"/>
  <c r="AK266" i="1"/>
  <c r="AD266" i="1"/>
  <c r="Z266" i="1"/>
  <c r="W266" i="1"/>
  <c r="N266" i="1"/>
  <c r="J266" i="1"/>
  <c r="AT266" i="1" s="1"/>
  <c r="H266" i="1"/>
  <c r="R266" i="1" s="1"/>
  <c r="F266" i="1"/>
  <c r="AK265" i="1"/>
  <c r="AD265" i="1"/>
  <c r="AM265" i="1" s="1"/>
  <c r="AA265" i="1"/>
  <c r="Z265" i="1"/>
  <c r="W265" i="1"/>
  <c r="U265" i="1"/>
  <c r="N265" i="1"/>
  <c r="J265" i="1"/>
  <c r="AT265" i="1" s="1"/>
  <c r="H265" i="1"/>
  <c r="F265" i="1"/>
  <c r="BB265" i="1" s="1"/>
  <c r="AK264" i="1"/>
  <c r="AD264" i="1"/>
  <c r="Z264" i="1"/>
  <c r="W264" i="1"/>
  <c r="N264" i="1"/>
  <c r="J264" i="1"/>
  <c r="AT264" i="1" s="1"/>
  <c r="H264" i="1"/>
  <c r="R264" i="1" s="1"/>
  <c r="F264" i="1"/>
  <c r="AK263" i="1"/>
  <c r="AD263" i="1"/>
  <c r="AM263" i="1" s="1"/>
  <c r="AP263" i="1" s="1"/>
  <c r="AR263" i="1" s="1"/>
  <c r="AA263" i="1"/>
  <c r="Z263" i="1"/>
  <c r="W263" i="1"/>
  <c r="U263" i="1"/>
  <c r="N263" i="1"/>
  <c r="J263" i="1"/>
  <c r="AT263" i="1" s="1"/>
  <c r="H263" i="1"/>
  <c r="F263" i="1"/>
  <c r="BB263" i="1" s="1"/>
  <c r="AK262" i="1"/>
  <c r="AD262" i="1"/>
  <c r="AA262" i="1"/>
  <c r="Z262" i="1"/>
  <c r="W262" i="1"/>
  <c r="U262" i="1"/>
  <c r="N262" i="1"/>
  <c r="J262" i="1"/>
  <c r="AT262" i="1" s="1"/>
  <c r="H262" i="1"/>
  <c r="F262" i="1"/>
  <c r="BB262" i="1" s="1"/>
  <c r="AK261" i="1"/>
  <c r="AD261" i="1"/>
  <c r="AA261" i="1"/>
  <c r="Z261" i="1"/>
  <c r="AB261" i="1" s="1"/>
  <c r="W261" i="1"/>
  <c r="U261" i="1"/>
  <c r="N261" i="1"/>
  <c r="J261" i="1"/>
  <c r="AT261" i="1" s="1"/>
  <c r="H261" i="1"/>
  <c r="F261" i="1"/>
  <c r="BB261" i="1" s="1"/>
  <c r="AK260" i="1"/>
  <c r="AD260" i="1"/>
  <c r="AM260" i="1" s="1"/>
  <c r="AA260" i="1"/>
  <c r="AB260" i="1" s="1"/>
  <c r="Z260" i="1"/>
  <c r="W260" i="1"/>
  <c r="U260" i="1"/>
  <c r="N260" i="1"/>
  <c r="J260" i="1"/>
  <c r="AT260" i="1" s="1"/>
  <c r="H260" i="1"/>
  <c r="F260" i="1"/>
  <c r="BB260" i="1" s="1"/>
  <c r="AK259" i="1"/>
  <c r="AD259" i="1"/>
  <c r="AM259" i="1" s="1"/>
  <c r="AA259" i="1"/>
  <c r="Z259" i="1"/>
  <c r="AC259" i="1" s="1"/>
  <c r="W259" i="1"/>
  <c r="U259" i="1"/>
  <c r="N259" i="1"/>
  <c r="J259" i="1"/>
  <c r="AT259" i="1" s="1"/>
  <c r="H259" i="1"/>
  <c r="F259" i="1"/>
  <c r="BB259" i="1" s="1"/>
  <c r="AK258" i="1"/>
  <c r="AM258" i="1" s="1"/>
  <c r="AD258" i="1"/>
  <c r="AA258" i="1"/>
  <c r="Z258" i="1"/>
  <c r="AB258" i="1" s="1"/>
  <c r="W258" i="1"/>
  <c r="U258" i="1"/>
  <c r="N258" i="1"/>
  <c r="J258" i="1"/>
  <c r="AT258" i="1" s="1"/>
  <c r="H258" i="1"/>
  <c r="F258" i="1"/>
  <c r="BB258" i="1" s="1"/>
  <c r="BB257" i="1"/>
  <c r="AK257" i="1"/>
  <c r="AD257" i="1"/>
  <c r="AA257" i="1"/>
  <c r="Z257" i="1"/>
  <c r="AC257" i="1" s="1"/>
  <c r="W257" i="1"/>
  <c r="U257" i="1"/>
  <c r="N257" i="1"/>
  <c r="J257" i="1"/>
  <c r="AT257" i="1" s="1"/>
  <c r="H257" i="1"/>
  <c r="F257" i="1"/>
  <c r="AO256" i="1"/>
  <c r="AL256" i="1"/>
  <c r="AH256" i="1"/>
  <c r="AF256" i="1"/>
  <c r="AA256" i="1"/>
  <c r="X256" i="1"/>
  <c r="Q256" i="1"/>
  <c r="P256" i="1"/>
  <c r="AK255" i="1"/>
  <c r="AD255" i="1"/>
  <c r="Z255" i="1"/>
  <c r="W255" i="1"/>
  <c r="N255" i="1"/>
  <c r="J255" i="1"/>
  <c r="AT255" i="1" s="1"/>
  <c r="H255" i="1"/>
  <c r="R255" i="1" s="1"/>
  <c r="F255" i="1"/>
  <c r="AK254" i="1"/>
  <c r="AD254" i="1"/>
  <c r="AM254" i="1" s="1"/>
  <c r="AJ254" i="1" s="1"/>
  <c r="AA254" i="1"/>
  <c r="Z254" i="1"/>
  <c r="W254" i="1"/>
  <c r="U254" i="1"/>
  <c r="N254" i="1"/>
  <c r="N256" i="1" s="1"/>
  <c r="J254" i="1"/>
  <c r="H254" i="1"/>
  <c r="F254" i="1"/>
  <c r="AO253" i="1"/>
  <c r="AL253" i="1"/>
  <c r="AH253" i="1"/>
  <c r="AF253" i="1"/>
  <c r="AA253" i="1"/>
  <c r="X253" i="1"/>
  <c r="Q253" i="1"/>
  <c r="P253" i="1"/>
  <c r="AK252" i="1"/>
  <c r="AD252" i="1"/>
  <c r="AA252" i="1"/>
  <c r="Z252" i="1"/>
  <c r="W252" i="1"/>
  <c r="U252" i="1"/>
  <c r="N252" i="1"/>
  <c r="J252" i="1"/>
  <c r="AT252" i="1" s="1"/>
  <c r="H252" i="1"/>
  <c r="F252" i="1"/>
  <c r="BB252" i="1" s="1"/>
  <c r="AJ251" i="1"/>
  <c r="AA251" i="1"/>
  <c r="AB251" i="1" s="1"/>
  <c r="W251" i="1"/>
  <c r="AC251" i="1" s="1"/>
  <c r="BB250" i="1"/>
  <c r="AT250" i="1"/>
  <c r="AD250" i="1"/>
  <c r="AM250" i="1" s="1"/>
  <c r="AA250" i="1"/>
  <c r="Z250" i="1"/>
  <c r="W250" i="1"/>
  <c r="U250" i="1"/>
  <c r="AK249" i="1"/>
  <c r="AD249" i="1"/>
  <c r="AA249" i="1"/>
  <c r="Z249" i="1"/>
  <c r="AB249" i="1" s="1"/>
  <c r="W249" i="1"/>
  <c r="U249" i="1"/>
  <c r="N249" i="1"/>
  <c r="J249" i="1"/>
  <c r="AT249" i="1" s="1"/>
  <c r="H249" i="1"/>
  <c r="F249" i="1"/>
  <c r="BB249" i="1" s="1"/>
  <c r="AK248" i="1"/>
  <c r="AM248" i="1" s="1"/>
  <c r="Z248" i="1"/>
  <c r="W248" i="1"/>
  <c r="N248" i="1"/>
  <c r="J248" i="1"/>
  <c r="AT248" i="1" s="1"/>
  <c r="H248" i="1"/>
  <c r="R248" i="1" s="1"/>
  <c r="AA248" i="1" s="1"/>
  <c r="AB248" i="1" s="1"/>
  <c r="F248" i="1"/>
  <c r="AK247" i="1"/>
  <c r="AM247" i="1" s="1"/>
  <c r="AD247" i="1"/>
  <c r="Z247" i="1"/>
  <c r="W247" i="1"/>
  <c r="N247" i="1"/>
  <c r="J247" i="1"/>
  <c r="AT247" i="1" s="1"/>
  <c r="H247" i="1"/>
  <c r="R247" i="1" s="1"/>
  <c r="U247" i="1" s="1"/>
  <c r="F247" i="1"/>
  <c r="BB247" i="1" s="1"/>
  <c r="BB246" i="1"/>
  <c r="AK246" i="1"/>
  <c r="AD246" i="1"/>
  <c r="AA246" i="1"/>
  <c r="Z246" i="1"/>
  <c r="W246" i="1"/>
  <c r="AC246" i="1" s="1"/>
  <c r="U246" i="1"/>
  <c r="N246" i="1"/>
  <c r="J246" i="1"/>
  <c r="AT246" i="1" s="1"/>
  <c r="H246" i="1"/>
  <c r="F246" i="1"/>
  <c r="BB245" i="1"/>
  <c r="AK245" i="1"/>
  <c r="AD245" i="1"/>
  <c r="AM245" i="1" s="1"/>
  <c r="AA245" i="1"/>
  <c r="AB245" i="1" s="1"/>
  <c r="Z245" i="1"/>
  <c r="W245" i="1"/>
  <c r="U245" i="1"/>
  <c r="N245" i="1"/>
  <c r="J245" i="1"/>
  <c r="AT245" i="1" s="1"/>
  <c r="H245" i="1"/>
  <c r="F245" i="1"/>
  <c r="AM244" i="1"/>
  <c r="AJ244" i="1" s="1"/>
  <c r="AK244" i="1"/>
  <c r="AD244" i="1"/>
  <c r="AA244" i="1"/>
  <c r="Z244" i="1"/>
  <c r="W244" i="1"/>
  <c r="U244" i="1"/>
  <c r="N244" i="1"/>
  <c r="J244" i="1"/>
  <c r="AT244" i="1" s="1"/>
  <c r="H244" i="1"/>
  <c r="F244" i="1"/>
  <c r="BB244" i="1" s="1"/>
  <c r="AK243" i="1"/>
  <c r="AM243" i="1" s="1"/>
  <c r="AD243" i="1"/>
  <c r="Z243" i="1"/>
  <c r="V243" i="1"/>
  <c r="W243" i="1" s="1"/>
  <c r="N243" i="1"/>
  <c r="J243" i="1"/>
  <c r="AT243" i="1" s="1"/>
  <c r="H243" i="1"/>
  <c r="R243" i="1" s="1"/>
  <c r="F243" i="1"/>
  <c r="AK242" i="1"/>
  <c r="AD242" i="1"/>
  <c r="AA242" i="1"/>
  <c r="Z242" i="1"/>
  <c r="V242" i="1"/>
  <c r="W242" i="1" s="1"/>
  <c r="AC242" i="1" s="1"/>
  <c r="U242" i="1"/>
  <c r="N242" i="1"/>
  <c r="J242" i="1"/>
  <c r="AT242" i="1" s="1"/>
  <c r="H242" i="1"/>
  <c r="F242" i="1"/>
  <c r="BB242" i="1" s="1"/>
  <c r="AK241" i="1"/>
  <c r="AD241" i="1"/>
  <c r="AA241" i="1"/>
  <c r="Z241" i="1"/>
  <c r="V241" i="1"/>
  <c r="W241" i="1" s="1"/>
  <c r="U241" i="1"/>
  <c r="N241" i="1"/>
  <c r="J241" i="1"/>
  <c r="AT241" i="1" s="1"/>
  <c r="H241" i="1"/>
  <c r="F241" i="1"/>
  <c r="BB241" i="1" s="1"/>
  <c r="BB240" i="1"/>
  <c r="AK240" i="1"/>
  <c r="AD240" i="1"/>
  <c r="AM240" i="1" s="1"/>
  <c r="AA240" i="1"/>
  <c r="AB240" i="1" s="1"/>
  <c r="Z240" i="1"/>
  <c r="V240" i="1"/>
  <c r="W240" i="1" s="1"/>
  <c r="U240" i="1"/>
  <c r="N240" i="1"/>
  <c r="J240" i="1"/>
  <c r="H240" i="1"/>
  <c r="F240" i="1"/>
  <c r="AK239" i="1"/>
  <c r="AM239" i="1" s="1"/>
  <c r="AP239" i="1" s="1"/>
  <c r="AD239" i="1"/>
  <c r="AA239" i="1"/>
  <c r="Z239" i="1"/>
  <c r="V239" i="1"/>
  <c r="W239" i="1" s="1"/>
  <c r="AC239" i="1" s="1"/>
  <c r="U239" i="1"/>
  <c r="N239" i="1"/>
  <c r="J239" i="1"/>
  <c r="AT239" i="1" s="1"/>
  <c r="H239" i="1"/>
  <c r="F239" i="1"/>
  <c r="AO238" i="1"/>
  <c r="AL238" i="1"/>
  <c r="AH238" i="1"/>
  <c r="AF238" i="1"/>
  <c r="AA238" i="1"/>
  <c r="X238" i="1"/>
  <c r="V238" i="1"/>
  <c r="Q238" i="1"/>
  <c r="P238" i="1"/>
  <c r="AK237" i="1"/>
  <c r="AD237" i="1"/>
  <c r="AM237" i="1" s="1"/>
  <c r="Z237" i="1"/>
  <c r="V237" i="1"/>
  <c r="W237" i="1" s="1"/>
  <c r="N237" i="1"/>
  <c r="J237" i="1"/>
  <c r="AT237" i="1" s="1"/>
  <c r="H237" i="1"/>
  <c r="R237" i="1" s="1"/>
  <c r="F237" i="1"/>
  <c r="AK236" i="1"/>
  <c r="AM236" i="1" s="1"/>
  <c r="Z236" i="1"/>
  <c r="V236" i="1"/>
  <c r="W236" i="1" s="1"/>
  <c r="AC236" i="1" s="1"/>
  <c r="N236" i="1"/>
  <c r="J236" i="1"/>
  <c r="AT236" i="1" s="1"/>
  <c r="H236" i="1"/>
  <c r="R236" i="1" s="1"/>
  <c r="AK235" i="1"/>
  <c r="AD235" i="1"/>
  <c r="Z235" i="1"/>
  <c r="AB235" i="1" s="1"/>
  <c r="V235" i="1"/>
  <c r="W235" i="1" s="1"/>
  <c r="AC235" i="1" s="1"/>
  <c r="N235" i="1"/>
  <c r="J235" i="1"/>
  <c r="AT235" i="1" s="1"/>
  <c r="H235" i="1"/>
  <c r="R235" i="1" s="1"/>
  <c r="AA235" i="1" s="1"/>
  <c r="F235" i="1"/>
  <c r="AK234" i="1"/>
  <c r="AD234" i="1"/>
  <c r="Z234" i="1"/>
  <c r="V234" i="1"/>
  <c r="W234" i="1" s="1"/>
  <c r="AC234" i="1" s="1"/>
  <c r="N234" i="1"/>
  <c r="J234" i="1"/>
  <c r="AT234" i="1" s="1"/>
  <c r="H234" i="1"/>
  <c r="R234" i="1" s="1"/>
  <c r="F234" i="1"/>
  <c r="AK233" i="1"/>
  <c r="AD233" i="1"/>
  <c r="AA233" i="1"/>
  <c r="Z233" i="1"/>
  <c r="V233" i="1"/>
  <c r="W233" i="1" s="1"/>
  <c r="AC233" i="1" s="1"/>
  <c r="U233" i="1"/>
  <c r="N233" i="1"/>
  <c r="J233" i="1"/>
  <c r="AT233" i="1" s="1"/>
  <c r="H233" i="1"/>
  <c r="F233" i="1"/>
  <c r="BB233" i="1" s="1"/>
  <c r="AK232" i="1"/>
  <c r="AD232" i="1"/>
  <c r="AA232" i="1"/>
  <c r="Z232" i="1"/>
  <c r="AB232" i="1" s="1"/>
  <c r="V232" i="1"/>
  <c r="W232" i="1" s="1"/>
  <c r="AC232" i="1" s="1"/>
  <c r="U232" i="1"/>
  <c r="N232" i="1"/>
  <c r="J232" i="1"/>
  <c r="AT232" i="1" s="1"/>
  <c r="H232" i="1"/>
  <c r="F232" i="1"/>
  <c r="BB232" i="1" s="1"/>
  <c r="AK231" i="1"/>
  <c r="AM231" i="1" s="1"/>
  <c r="AD231" i="1"/>
  <c r="AC231" i="1"/>
  <c r="AB231" i="1"/>
  <c r="AA231" i="1"/>
  <c r="Z231" i="1"/>
  <c r="V231" i="1"/>
  <c r="W231" i="1" s="1"/>
  <c r="U231" i="1"/>
  <c r="N231" i="1"/>
  <c r="J231" i="1"/>
  <c r="AT231" i="1" s="1"/>
  <c r="H231" i="1"/>
  <c r="F231" i="1"/>
  <c r="BB231" i="1" s="1"/>
  <c r="AK230" i="1"/>
  <c r="AD230" i="1"/>
  <c r="AA230" i="1"/>
  <c r="Z230" i="1"/>
  <c r="V230" i="1"/>
  <c r="W230" i="1" s="1"/>
  <c r="U230" i="1"/>
  <c r="N230" i="1"/>
  <c r="J230" i="1"/>
  <c r="H230" i="1"/>
  <c r="F230" i="1"/>
  <c r="BB230" i="1" s="1"/>
  <c r="AO229" i="1"/>
  <c r="AL229" i="1"/>
  <c r="AH229" i="1"/>
  <c r="AF229" i="1"/>
  <c r="AA229" i="1"/>
  <c r="X229" i="1"/>
  <c r="V229" i="1"/>
  <c r="Q229" i="1"/>
  <c r="P229" i="1"/>
  <c r="AK228" i="1"/>
  <c r="AD228" i="1"/>
  <c r="AA228" i="1"/>
  <c r="Z228" i="1"/>
  <c r="V228" i="1"/>
  <c r="W228" i="1" s="1"/>
  <c r="U228" i="1"/>
  <c r="N228" i="1"/>
  <c r="J228" i="1"/>
  <c r="AT228" i="1" s="1"/>
  <c r="H228" i="1"/>
  <c r="F228" i="1"/>
  <c r="BB228" i="1" s="1"/>
  <c r="AK227" i="1"/>
  <c r="AK229" i="1" s="1"/>
  <c r="AD227" i="1"/>
  <c r="AA227" i="1"/>
  <c r="Z227" i="1"/>
  <c r="V227" i="1"/>
  <c r="W227" i="1" s="1"/>
  <c r="U227" i="1"/>
  <c r="N227" i="1"/>
  <c r="J227" i="1"/>
  <c r="H227" i="1"/>
  <c r="F227" i="1"/>
  <c r="AO226" i="1"/>
  <c r="AL226" i="1"/>
  <c r="AH226" i="1"/>
  <c r="AF226" i="1"/>
  <c r="AA226" i="1"/>
  <c r="X226" i="1"/>
  <c r="V226" i="1"/>
  <c r="Q226" i="1"/>
  <c r="P226" i="1"/>
  <c r="AK225" i="1"/>
  <c r="AD225" i="1"/>
  <c r="AM225" i="1" s="1"/>
  <c r="Z225" i="1"/>
  <c r="V225" i="1"/>
  <c r="W225" i="1" s="1"/>
  <c r="R225" i="1"/>
  <c r="N225" i="1"/>
  <c r="J225" i="1"/>
  <c r="AT225" i="1" s="1"/>
  <c r="H225" i="1"/>
  <c r="F225" i="1"/>
  <c r="BB224" i="1"/>
  <c r="AK224" i="1"/>
  <c r="AD224" i="1"/>
  <c r="AA224" i="1"/>
  <c r="Z224" i="1"/>
  <c r="AB224" i="1" s="1"/>
  <c r="V224" i="1"/>
  <c r="W224" i="1" s="1"/>
  <c r="U224" i="1"/>
  <c r="N224" i="1"/>
  <c r="J224" i="1"/>
  <c r="AT224" i="1" s="1"/>
  <c r="H224" i="1"/>
  <c r="F224" i="1"/>
  <c r="AK223" i="1"/>
  <c r="AD223" i="1"/>
  <c r="AA223" i="1"/>
  <c r="Z223" i="1"/>
  <c r="V223" i="1"/>
  <c r="W223" i="1" s="1"/>
  <c r="U223" i="1"/>
  <c r="N223" i="1"/>
  <c r="J223" i="1"/>
  <c r="H223" i="1"/>
  <c r="F223" i="1"/>
  <c r="BB223" i="1" s="1"/>
  <c r="AO222" i="1"/>
  <c r="AL222" i="1"/>
  <c r="AH222" i="1"/>
  <c r="AF222" i="1"/>
  <c r="AA222" i="1"/>
  <c r="X222" i="1"/>
  <c r="V222" i="1"/>
  <c r="Q222" i="1"/>
  <c r="P222" i="1"/>
  <c r="AK221" i="1"/>
  <c r="AM221" i="1" s="1"/>
  <c r="Z221" i="1"/>
  <c r="V221" i="1"/>
  <c r="W221" i="1" s="1"/>
  <c r="AC221" i="1" s="1"/>
  <c r="N221" i="1"/>
  <c r="J221" i="1"/>
  <c r="AT221" i="1" s="1"/>
  <c r="H221" i="1"/>
  <c r="R221" i="1" s="1"/>
  <c r="F221" i="1"/>
  <c r="AK220" i="1"/>
  <c r="AD220" i="1"/>
  <c r="AA220" i="1"/>
  <c r="Z220" i="1"/>
  <c r="AB220" i="1" s="1"/>
  <c r="V220" i="1"/>
  <c r="W220" i="1" s="1"/>
  <c r="U220" i="1"/>
  <c r="N220" i="1"/>
  <c r="J220" i="1"/>
  <c r="AT220" i="1" s="1"/>
  <c r="H220" i="1"/>
  <c r="F220" i="1"/>
  <c r="BB220" i="1" s="1"/>
  <c r="AK219" i="1"/>
  <c r="AD219" i="1"/>
  <c r="Z219" i="1"/>
  <c r="V219" i="1"/>
  <c r="W219" i="1" s="1"/>
  <c r="AC219" i="1" s="1"/>
  <c r="N219" i="1"/>
  <c r="J219" i="1"/>
  <c r="AT219" i="1" s="1"/>
  <c r="H219" i="1"/>
  <c r="R219" i="1" s="1"/>
  <c r="AA219" i="1" s="1"/>
  <c r="F219" i="1"/>
  <c r="AK218" i="1"/>
  <c r="AD218" i="1"/>
  <c r="Z218" i="1"/>
  <c r="V218" i="1"/>
  <c r="W218" i="1" s="1"/>
  <c r="N218" i="1"/>
  <c r="J218" i="1"/>
  <c r="AT218" i="1" s="1"/>
  <c r="H218" i="1"/>
  <c r="R218" i="1" s="1"/>
  <c r="F218" i="1"/>
  <c r="AK217" i="1"/>
  <c r="AM217" i="1" s="1"/>
  <c r="AD217" i="1"/>
  <c r="Z217" i="1"/>
  <c r="V217" i="1"/>
  <c r="W217" i="1" s="1"/>
  <c r="AC217" i="1" s="1"/>
  <c r="N217" i="1"/>
  <c r="J217" i="1"/>
  <c r="AT217" i="1" s="1"/>
  <c r="H217" i="1"/>
  <c r="R217" i="1" s="1"/>
  <c r="F217" i="1"/>
  <c r="AK216" i="1"/>
  <c r="AD216" i="1"/>
  <c r="AA216" i="1"/>
  <c r="Z216" i="1"/>
  <c r="V216" i="1"/>
  <c r="W216" i="1" s="1"/>
  <c r="U216" i="1"/>
  <c r="N216" i="1"/>
  <c r="J216" i="1"/>
  <c r="AT216" i="1" s="1"/>
  <c r="H216" i="1"/>
  <c r="F216" i="1"/>
  <c r="BB216" i="1" s="1"/>
  <c r="AK215" i="1"/>
  <c r="AD215" i="1"/>
  <c r="Z215" i="1"/>
  <c r="V215" i="1"/>
  <c r="W215" i="1" s="1"/>
  <c r="AC215" i="1" s="1"/>
  <c r="N215" i="1"/>
  <c r="J215" i="1"/>
  <c r="AT215" i="1" s="1"/>
  <c r="H215" i="1"/>
  <c r="R215" i="1" s="1"/>
  <c r="F215" i="1"/>
  <c r="AK214" i="1"/>
  <c r="AD214" i="1"/>
  <c r="Z214" i="1"/>
  <c r="V214" i="1"/>
  <c r="W214" i="1" s="1"/>
  <c r="R214" i="1"/>
  <c r="N214" i="1"/>
  <c r="J214" i="1"/>
  <c r="AT214" i="1" s="1"/>
  <c r="H214" i="1"/>
  <c r="F214" i="1"/>
  <c r="AK213" i="1"/>
  <c r="AD213" i="1"/>
  <c r="Z213" i="1"/>
  <c r="V213" i="1"/>
  <c r="W213" i="1" s="1"/>
  <c r="N213" i="1"/>
  <c r="J213" i="1"/>
  <c r="AT213" i="1" s="1"/>
  <c r="H213" i="1"/>
  <c r="R213" i="1" s="1"/>
  <c r="F213" i="1"/>
  <c r="AT212" i="1"/>
  <c r="AK212" i="1"/>
  <c r="AD212" i="1"/>
  <c r="AA212" i="1"/>
  <c r="Z212" i="1"/>
  <c r="V212" i="1"/>
  <c r="W212" i="1" s="1"/>
  <c r="AC212" i="1" s="1"/>
  <c r="U212" i="1"/>
  <c r="N212" i="1"/>
  <c r="J212" i="1"/>
  <c r="H212" i="1"/>
  <c r="F212" i="1"/>
  <c r="BB212" i="1" s="1"/>
  <c r="AK211" i="1"/>
  <c r="AD211" i="1"/>
  <c r="AM211" i="1" s="1"/>
  <c r="AA211" i="1"/>
  <c r="Z211" i="1"/>
  <c r="W211" i="1"/>
  <c r="AC211" i="1" s="1"/>
  <c r="V211" i="1"/>
  <c r="U211" i="1"/>
  <c r="N211" i="1"/>
  <c r="J211" i="1"/>
  <c r="AT211" i="1" s="1"/>
  <c r="H211" i="1"/>
  <c r="F211" i="1"/>
  <c r="BB211" i="1" s="1"/>
  <c r="BB210" i="1"/>
  <c r="AK210" i="1"/>
  <c r="AD210" i="1"/>
  <c r="AA210" i="1"/>
  <c r="Z210" i="1"/>
  <c r="AC210" i="1" s="1"/>
  <c r="V210" i="1"/>
  <c r="W210" i="1" s="1"/>
  <c r="U210" i="1"/>
  <c r="N210" i="1"/>
  <c r="J210" i="1"/>
  <c r="AT210" i="1" s="1"/>
  <c r="H210" i="1"/>
  <c r="F210" i="1"/>
  <c r="AK209" i="1"/>
  <c r="AD209" i="1"/>
  <c r="AM209" i="1" s="1"/>
  <c r="AP209" i="1" s="1"/>
  <c r="AA209" i="1"/>
  <c r="Z209" i="1"/>
  <c r="V209" i="1"/>
  <c r="W209" i="1" s="1"/>
  <c r="U209" i="1"/>
  <c r="N209" i="1"/>
  <c r="J209" i="1"/>
  <c r="AT209" i="1" s="1"/>
  <c r="H209" i="1"/>
  <c r="F209" i="1"/>
  <c r="BB209" i="1" s="1"/>
  <c r="AK208" i="1"/>
  <c r="AD208" i="1"/>
  <c r="AA208" i="1"/>
  <c r="Z208" i="1"/>
  <c r="V208" i="1"/>
  <c r="W208" i="1" s="1"/>
  <c r="AC208" i="1" s="1"/>
  <c r="U208" i="1"/>
  <c r="N208" i="1"/>
  <c r="J208" i="1"/>
  <c r="AT208" i="1" s="1"/>
  <c r="H208" i="1"/>
  <c r="F208" i="1"/>
  <c r="BB208" i="1" s="1"/>
  <c r="AK207" i="1"/>
  <c r="AM207" i="1" s="1"/>
  <c r="AP207" i="1" s="1"/>
  <c r="AJ207" i="1"/>
  <c r="AD207" i="1"/>
  <c r="AA207" i="1"/>
  <c r="Z207" i="1"/>
  <c r="V207" i="1"/>
  <c r="W207" i="1" s="1"/>
  <c r="U207" i="1"/>
  <c r="N207" i="1"/>
  <c r="J207" i="1"/>
  <c r="AT207" i="1" s="1"/>
  <c r="H207" i="1"/>
  <c r="F207" i="1"/>
  <c r="BB207" i="1" s="1"/>
  <c r="AK206" i="1"/>
  <c r="AD206" i="1"/>
  <c r="Z206" i="1"/>
  <c r="V206" i="1"/>
  <c r="W206" i="1" s="1"/>
  <c r="AC206" i="1" s="1"/>
  <c r="N206" i="1"/>
  <c r="J206" i="1"/>
  <c r="AT206" i="1" s="1"/>
  <c r="H206" i="1"/>
  <c r="R206" i="1" s="1"/>
  <c r="F206" i="1"/>
  <c r="AK205" i="1"/>
  <c r="AD205" i="1"/>
  <c r="AA205" i="1"/>
  <c r="Z205" i="1"/>
  <c r="V205" i="1"/>
  <c r="W205" i="1" s="1"/>
  <c r="U205" i="1"/>
  <c r="N205" i="1"/>
  <c r="J205" i="1"/>
  <c r="AT205" i="1" s="1"/>
  <c r="H205" i="1"/>
  <c r="F205" i="1"/>
  <c r="BB205" i="1" s="1"/>
  <c r="AK204" i="1"/>
  <c r="AD204" i="1"/>
  <c r="AA204" i="1"/>
  <c r="Z204" i="1"/>
  <c r="V204" i="1"/>
  <c r="W204" i="1" s="1"/>
  <c r="U204" i="1"/>
  <c r="N204" i="1"/>
  <c r="J204" i="1"/>
  <c r="AT204" i="1" s="1"/>
  <c r="H204" i="1"/>
  <c r="F204" i="1"/>
  <c r="BB204" i="1" s="1"/>
  <c r="AK203" i="1"/>
  <c r="AD203" i="1"/>
  <c r="AM203" i="1" s="1"/>
  <c r="AA203" i="1"/>
  <c r="Z203" i="1"/>
  <c r="V203" i="1"/>
  <c r="W203" i="1" s="1"/>
  <c r="AC203" i="1" s="1"/>
  <c r="U203" i="1"/>
  <c r="N203" i="1"/>
  <c r="J203" i="1"/>
  <c r="AT203" i="1" s="1"/>
  <c r="H203" i="1"/>
  <c r="F203" i="1"/>
  <c r="BB202" i="1"/>
  <c r="AK202" i="1"/>
  <c r="AD202" i="1"/>
  <c r="AA202" i="1"/>
  <c r="Z202" i="1"/>
  <c r="AB202" i="1" s="1"/>
  <c r="V202" i="1"/>
  <c r="W202" i="1" s="1"/>
  <c r="U202" i="1"/>
  <c r="N202" i="1"/>
  <c r="J202" i="1"/>
  <c r="H202" i="1"/>
  <c r="F202" i="1"/>
  <c r="AO201" i="1"/>
  <c r="AL201" i="1"/>
  <c r="AH201" i="1"/>
  <c r="AF201" i="1"/>
  <c r="AA201" i="1"/>
  <c r="X201" i="1"/>
  <c r="V201" i="1"/>
  <c r="Q201" i="1"/>
  <c r="P201" i="1"/>
  <c r="AM200" i="1"/>
  <c r="AJ200" i="1" s="1"/>
  <c r="AK200" i="1"/>
  <c r="Z200" i="1"/>
  <c r="V200" i="1"/>
  <c r="W200" i="1" s="1"/>
  <c r="N200" i="1"/>
  <c r="J200" i="1"/>
  <c r="AT200" i="1" s="1"/>
  <c r="H200" i="1"/>
  <c r="R200" i="1" s="1"/>
  <c r="F200" i="1"/>
  <c r="AP199" i="1"/>
  <c r="AK199" i="1"/>
  <c r="AM199" i="1" s="1"/>
  <c r="AJ199" i="1"/>
  <c r="AB199" i="1"/>
  <c r="AA199" i="1"/>
  <c r="Z199" i="1"/>
  <c r="V199" i="1"/>
  <c r="W199" i="1" s="1"/>
  <c r="AC199" i="1" s="1"/>
  <c r="U199" i="1"/>
  <c r="N199" i="1"/>
  <c r="J199" i="1"/>
  <c r="AT199" i="1" s="1"/>
  <c r="H199" i="1"/>
  <c r="F199" i="1"/>
  <c r="BB199" i="1" s="1"/>
  <c r="AT198" i="1"/>
  <c r="AK198" i="1"/>
  <c r="AD198" i="1"/>
  <c r="Z198" i="1"/>
  <c r="V198" i="1"/>
  <c r="W198" i="1" s="1"/>
  <c r="AC198" i="1" s="1"/>
  <c r="N198" i="1"/>
  <c r="J198" i="1"/>
  <c r="H198" i="1"/>
  <c r="R198" i="1" s="1"/>
  <c r="AA198" i="1" s="1"/>
  <c r="AB198" i="1" s="1"/>
  <c r="F198" i="1"/>
  <c r="AK197" i="1"/>
  <c r="AM197" i="1" s="1"/>
  <c r="AC197" i="1"/>
  <c r="Z197" i="1"/>
  <c r="V197" i="1"/>
  <c r="W197" i="1" s="1"/>
  <c r="N197" i="1"/>
  <c r="J197" i="1"/>
  <c r="AT197" i="1" s="1"/>
  <c r="H197" i="1"/>
  <c r="R197" i="1" s="1"/>
  <c r="AA197" i="1" s="1"/>
  <c r="AB197" i="1" s="1"/>
  <c r="F197" i="1"/>
  <c r="AK196" i="1"/>
  <c r="AD196" i="1"/>
  <c r="Z196" i="1"/>
  <c r="V196" i="1"/>
  <c r="W196" i="1" s="1"/>
  <c r="AC196" i="1" s="1"/>
  <c r="N196" i="1"/>
  <c r="J196" i="1"/>
  <c r="AT196" i="1" s="1"/>
  <c r="H196" i="1"/>
  <c r="R196" i="1" s="1"/>
  <c r="F196" i="1"/>
  <c r="AK195" i="1"/>
  <c r="AD195" i="1"/>
  <c r="AM195" i="1" s="1"/>
  <c r="AA195" i="1"/>
  <c r="Z195" i="1"/>
  <c r="V195" i="1"/>
  <c r="W195" i="1" s="1"/>
  <c r="U195" i="1"/>
  <c r="N195" i="1"/>
  <c r="J195" i="1"/>
  <c r="AT195" i="1" s="1"/>
  <c r="H195" i="1"/>
  <c r="F195" i="1"/>
  <c r="BB195" i="1" s="1"/>
  <c r="AM194" i="1"/>
  <c r="AK194" i="1"/>
  <c r="AD194" i="1"/>
  <c r="AA194" i="1"/>
  <c r="Z194" i="1"/>
  <c r="V194" i="1"/>
  <c r="W194" i="1" s="1"/>
  <c r="U194" i="1"/>
  <c r="N194" i="1"/>
  <c r="J194" i="1"/>
  <c r="AT194" i="1" s="1"/>
  <c r="H194" i="1"/>
  <c r="F194" i="1"/>
  <c r="BB194" i="1" s="1"/>
  <c r="AK193" i="1"/>
  <c r="AD193" i="1"/>
  <c r="Z193" i="1"/>
  <c r="V193" i="1"/>
  <c r="W193" i="1" s="1"/>
  <c r="AC193" i="1" s="1"/>
  <c r="N193" i="1"/>
  <c r="J193" i="1"/>
  <c r="AT193" i="1" s="1"/>
  <c r="H193" i="1"/>
  <c r="R193" i="1" s="1"/>
  <c r="F193" i="1"/>
  <c r="AK192" i="1"/>
  <c r="AD192" i="1"/>
  <c r="AA192" i="1"/>
  <c r="Z192" i="1"/>
  <c r="V192" i="1"/>
  <c r="W192" i="1" s="1"/>
  <c r="AC192" i="1" s="1"/>
  <c r="U192" i="1"/>
  <c r="N192" i="1"/>
  <c r="J192" i="1"/>
  <c r="AT192" i="1" s="1"/>
  <c r="H192" i="1"/>
  <c r="F192" i="1"/>
  <c r="BB192" i="1" s="1"/>
  <c r="AK191" i="1"/>
  <c r="AD191" i="1"/>
  <c r="Z191" i="1"/>
  <c r="W191" i="1"/>
  <c r="AC191" i="1" s="1"/>
  <c r="V191" i="1"/>
  <c r="R191" i="1"/>
  <c r="N191" i="1"/>
  <c r="J191" i="1"/>
  <c r="AT191" i="1" s="1"/>
  <c r="H191" i="1"/>
  <c r="F191" i="1"/>
  <c r="AK190" i="1"/>
  <c r="AD190" i="1"/>
  <c r="AC190" i="1"/>
  <c r="Z190" i="1"/>
  <c r="V190" i="1"/>
  <c r="W190" i="1" s="1"/>
  <c r="N190" i="1"/>
  <c r="J190" i="1"/>
  <c r="AT190" i="1" s="1"/>
  <c r="H190" i="1"/>
  <c r="R190" i="1" s="1"/>
  <c r="F190" i="1"/>
  <c r="AK189" i="1"/>
  <c r="AD189" i="1"/>
  <c r="Z189" i="1"/>
  <c r="V189" i="1"/>
  <c r="W189" i="1" s="1"/>
  <c r="R189" i="1"/>
  <c r="U189" i="1" s="1"/>
  <c r="N189" i="1"/>
  <c r="J189" i="1"/>
  <c r="AT189" i="1" s="1"/>
  <c r="H189" i="1"/>
  <c r="F189" i="1"/>
  <c r="AK188" i="1"/>
  <c r="AD188" i="1"/>
  <c r="AM188" i="1" s="1"/>
  <c r="AA188" i="1"/>
  <c r="Z188" i="1"/>
  <c r="V188" i="1"/>
  <c r="W188" i="1" s="1"/>
  <c r="U188" i="1"/>
  <c r="N188" i="1"/>
  <c r="J188" i="1"/>
  <c r="AT188" i="1" s="1"/>
  <c r="H188" i="1"/>
  <c r="F188" i="1"/>
  <c r="BB188" i="1" s="1"/>
  <c r="AK187" i="1"/>
  <c r="AD187" i="1"/>
  <c r="Z187" i="1"/>
  <c r="V187" i="1"/>
  <c r="W187" i="1" s="1"/>
  <c r="AC187" i="1" s="1"/>
  <c r="N187" i="1"/>
  <c r="J187" i="1"/>
  <c r="AT187" i="1" s="1"/>
  <c r="H187" i="1"/>
  <c r="R187" i="1" s="1"/>
  <c r="BB187" i="1" s="1"/>
  <c r="F187" i="1"/>
  <c r="AK186" i="1"/>
  <c r="AD186" i="1"/>
  <c r="Z186" i="1"/>
  <c r="W186" i="1"/>
  <c r="V186" i="1"/>
  <c r="R186" i="1"/>
  <c r="N186" i="1"/>
  <c r="J186" i="1"/>
  <c r="AT186" i="1" s="1"/>
  <c r="H186" i="1"/>
  <c r="F186" i="1"/>
  <c r="AK185" i="1"/>
  <c r="AM185" i="1" s="1"/>
  <c r="AD185" i="1"/>
  <c r="Z185" i="1"/>
  <c r="V185" i="1"/>
  <c r="W185" i="1" s="1"/>
  <c r="AC185" i="1" s="1"/>
  <c r="N185" i="1"/>
  <c r="J185" i="1"/>
  <c r="AT185" i="1" s="1"/>
  <c r="H185" i="1"/>
  <c r="R185" i="1" s="1"/>
  <c r="U185" i="1" s="1"/>
  <c r="F185" i="1"/>
  <c r="AK184" i="1"/>
  <c r="AD184" i="1"/>
  <c r="Z184" i="1"/>
  <c r="W184" i="1"/>
  <c r="AC184" i="1" s="1"/>
  <c r="V184" i="1"/>
  <c r="N184" i="1"/>
  <c r="J184" i="1"/>
  <c r="AT184" i="1" s="1"/>
  <c r="H184" i="1"/>
  <c r="R184" i="1" s="1"/>
  <c r="F184" i="1"/>
  <c r="AT183" i="1"/>
  <c r="AK183" i="1"/>
  <c r="AD183" i="1"/>
  <c r="AA183" i="1"/>
  <c r="Z183" i="1"/>
  <c r="V183" i="1"/>
  <c r="W183" i="1" s="1"/>
  <c r="U183" i="1"/>
  <c r="N183" i="1"/>
  <c r="J183" i="1"/>
  <c r="H183" i="1"/>
  <c r="F183" i="1"/>
  <c r="BB183" i="1" s="1"/>
  <c r="AT182" i="1"/>
  <c r="AK182" i="1"/>
  <c r="AD182" i="1"/>
  <c r="AC182" i="1"/>
  <c r="AA182" i="1"/>
  <c r="Z182" i="1"/>
  <c r="AB182" i="1" s="1"/>
  <c r="V182" i="1"/>
  <c r="W182" i="1" s="1"/>
  <c r="U182" i="1"/>
  <c r="N182" i="1"/>
  <c r="J182" i="1"/>
  <c r="H182" i="1"/>
  <c r="F182" i="1"/>
  <c r="BB182" i="1" s="1"/>
  <c r="AK181" i="1"/>
  <c r="AD181" i="1"/>
  <c r="Z181" i="1"/>
  <c r="V181" i="1"/>
  <c r="W181" i="1" s="1"/>
  <c r="AC181" i="1" s="1"/>
  <c r="N181" i="1"/>
  <c r="J181" i="1"/>
  <c r="AT181" i="1" s="1"/>
  <c r="H181" i="1"/>
  <c r="R181" i="1" s="1"/>
  <c r="BB181" i="1" s="1"/>
  <c r="F181" i="1"/>
  <c r="AK180" i="1"/>
  <c r="AD180" i="1"/>
  <c r="AA180" i="1"/>
  <c r="Z180" i="1"/>
  <c r="V180" i="1"/>
  <c r="W180" i="1" s="1"/>
  <c r="AC180" i="1" s="1"/>
  <c r="U180" i="1"/>
  <c r="N180" i="1"/>
  <c r="J180" i="1"/>
  <c r="AT180" i="1" s="1"/>
  <c r="H180" i="1"/>
  <c r="F180" i="1"/>
  <c r="BB180" i="1" s="1"/>
  <c r="AK179" i="1"/>
  <c r="AD179" i="1"/>
  <c r="AC179" i="1"/>
  <c r="Z179" i="1"/>
  <c r="V179" i="1"/>
  <c r="W179" i="1" s="1"/>
  <c r="R179" i="1"/>
  <c r="N179" i="1"/>
  <c r="J179" i="1"/>
  <c r="AT179" i="1" s="1"/>
  <c r="H179" i="1"/>
  <c r="F179" i="1"/>
  <c r="AK178" i="1"/>
  <c r="AD178" i="1"/>
  <c r="Z178" i="1"/>
  <c r="V178" i="1"/>
  <c r="W178" i="1" s="1"/>
  <c r="AC178" i="1" s="1"/>
  <c r="N178" i="1"/>
  <c r="J178" i="1"/>
  <c r="AT178" i="1" s="1"/>
  <c r="H178" i="1"/>
  <c r="R178" i="1" s="1"/>
  <c r="F178" i="1"/>
  <c r="AK177" i="1"/>
  <c r="AD177" i="1"/>
  <c r="Z177" i="1"/>
  <c r="W177" i="1"/>
  <c r="AC177" i="1" s="1"/>
  <c r="V177" i="1"/>
  <c r="N177" i="1"/>
  <c r="J177" i="1"/>
  <c r="AT177" i="1" s="1"/>
  <c r="H177" i="1"/>
  <c r="R177" i="1" s="1"/>
  <c r="F177" i="1"/>
  <c r="AK176" i="1"/>
  <c r="AM176" i="1" s="1"/>
  <c r="AD176" i="1"/>
  <c r="AB176" i="1"/>
  <c r="AA176" i="1"/>
  <c r="Z176" i="1"/>
  <c r="V176" i="1"/>
  <c r="W176" i="1" s="1"/>
  <c r="AC176" i="1" s="1"/>
  <c r="U176" i="1"/>
  <c r="N176" i="1"/>
  <c r="J176" i="1"/>
  <c r="AT176" i="1" s="1"/>
  <c r="H176" i="1"/>
  <c r="F176" i="1"/>
  <c r="BB176" i="1" s="1"/>
  <c r="BB175" i="1"/>
  <c r="AK175" i="1"/>
  <c r="AD175" i="1"/>
  <c r="AA175" i="1"/>
  <c r="Z175" i="1"/>
  <c r="W175" i="1"/>
  <c r="V175" i="1"/>
  <c r="U175" i="1"/>
  <c r="N175" i="1"/>
  <c r="J175" i="1"/>
  <c r="AT175" i="1" s="1"/>
  <c r="H175" i="1"/>
  <c r="F175" i="1"/>
  <c r="AK174" i="1"/>
  <c r="AD174" i="1"/>
  <c r="AM174" i="1" s="1"/>
  <c r="Z174" i="1"/>
  <c r="V174" i="1"/>
  <c r="W174" i="1" s="1"/>
  <c r="N174" i="1"/>
  <c r="J174" i="1"/>
  <c r="AT174" i="1" s="1"/>
  <c r="H174" i="1"/>
  <c r="R174" i="1" s="1"/>
  <c r="F174" i="1"/>
  <c r="AK173" i="1"/>
  <c r="AD173" i="1"/>
  <c r="AA173" i="1"/>
  <c r="AB173" i="1" s="1"/>
  <c r="Z173" i="1"/>
  <c r="V173" i="1"/>
  <c r="W173" i="1" s="1"/>
  <c r="N173" i="1"/>
  <c r="J173" i="1"/>
  <c r="AT173" i="1" s="1"/>
  <c r="H173" i="1"/>
  <c r="R173" i="1" s="1"/>
  <c r="U173" i="1" s="1"/>
  <c r="F173" i="1"/>
  <c r="AT172" i="1"/>
  <c r="AK172" i="1"/>
  <c r="AD172" i="1"/>
  <c r="AM172" i="1" s="1"/>
  <c r="AA172" i="1"/>
  <c r="Z172" i="1"/>
  <c r="AB172" i="1" s="1"/>
  <c r="V172" i="1"/>
  <c r="W172" i="1" s="1"/>
  <c r="U172" i="1"/>
  <c r="N172" i="1"/>
  <c r="J172" i="1"/>
  <c r="H172" i="1"/>
  <c r="F172" i="1"/>
  <c r="BB172" i="1" s="1"/>
  <c r="AK171" i="1"/>
  <c r="AD171" i="1"/>
  <c r="AA171" i="1"/>
  <c r="Z171" i="1"/>
  <c r="V171" i="1"/>
  <c r="W171" i="1" s="1"/>
  <c r="AC171" i="1" s="1"/>
  <c r="U171" i="1"/>
  <c r="N171" i="1"/>
  <c r="J171" i="1"/>
  <c r="AT171" i="1" s="1"/>
  <c r="H171" i="1"/>
  <c r="F171" i="1"/>
  <c r="BB171" i="1" s="1"/>
  <c r="AK170" i="1"/>
  <c r="AD170" i="1"/>
  <c r="AA170" i="1"/>
  <c r="Z170" i="1"/>
  <c r="V170" i="1"/>
  <c r="W170" i="1" s="1"/>
  <c r="U170" i="1"/>
  <c r="N170" i="1"/>
  <c r="J170" i="1"/>
  <c r="AT170" i="1" s="1"/>
  <c r="H170" i="1"/>
  <c r="F170" i="1"/>
  <c r="BB170" i="1" s="1"/>
  <c r="AK169" i="1"/>
  <c r="AD169" i="1"/>
  <c r="Z169" i="1"/>
  <c r="V169" i="1"/>
  <c r="W169" i="1" s="1"/>
  <c r="N169" i="1"/>
  <c r="J169" i="1"/>
  <c r="AT169" i="1" s="1"/>
  <c r="H169" i="1"/>
  <c r="R169" i="1" s="1"/>
  <c r="AA169" i="1" s="1"/>
  <c r="F169" i="1"/>
  <c r="AK168" i="1"/>
  <c r="AD168" i="1"/>
  <c r="AA168" i="1"/>
  <c r="Z168" i="1"/>
  <c r="W168" i="1"/>
  <c r="AC168" i="1" s="1"/>
  <c r="V168" i="1"/>
  <c r="U168" i="1"/>
  <c r="N168" i="1"/>
  <c r="J168" i="1"/>
  <c r="AT168" i="1" s="1"/>
  <c r="H168" i="1"/>
  <c r="F168" i="1"/>
  <c r="BB168" i="1" s="1"/>
  <c r="AK167" i="1"/>
  <c r="AM167" i="1" s="1"/>
  <c r="AP167" i="1" s="1"/>
  <c r="AD167" i="1"/>
  <c r="AA167" i="1"/>
  <c r="Z167" i="1"/>
  <c r="V167" i="1"/>
  <c r="W167" i="1" s="1"/>
  <c r="AC167" i="1" s="1"/>
  <c r="U167" i="1"/>
  <c r="N167" i="1"/>
  <c r="J167" i="1"/>
  <c r="AT167" i="1" s="1"/>
  <c r="H167" i="1"/>
  <c r="F167" i="1"/>
  <c r="BB167" i="1" s="1"/>
  <c r="AK166" i="1"/>
  <c r="AD166" i="1"/>
  <c r="AA166" i="1"/>
  <c r="Z166" i="1"/>
  <c r="W166" i="1"/>
  <c r="V166" i="1"/>
  <c r="U166" i="1"/>
  <c r="N166" i="1"/>
  <c r="J166" i="1"/>
  <c r="AT166" i="1" s="1"/>
  <c r="H166" i="1"/>
  <c r="F166" i="1"/>
  <c r="BB166" i="1" s="1"/>
  <c r="AK165" i="1"/>
  <c r="AD165" i="1"/>
  <c r="AM165" i="1" s="1"/>
  <c r="Z165" i="1"/>
  <c r="V165" i="1"/>
  <c r="W165" i="1" s="1"/>
  <c r="N165" i="1"/>
  <c r="J165" i="1"/>
  <c r="AT165" i="1" s="1"/>
  <c r="H165" i="1"/>
  <c r="R165" i="1" s="1"/>
  <c r="F165" i="1"/>
  <c r="BB164" i="1"/>
  <c r="AT164" i="1"/>
  <c r="AK164" i="1"/>
  <c r="AD164" i="1"/>
  <c r="AA164" i="1"/>
  <c r="Z164" i="1"/>
  <c r="V164" i="1"/>
  <c r="W164" i="1" s="1"/>
  <c r="U164" i="1"/>
  <c r="N164" i="1"/>
  <c r="J164" i="1"/>
  <c r="H164" i="1"/>
  <c r="F164" i="1"/>
  <c r="AK163" i="1"/>
  <c r="AD163" i="1"/>
  <c r="AA163" i="1"/>
  <c r="Z163" i="1"/>
  <c r="V163" i="1"/>
  <c r="W163" i="1" s="1"/>
  <c r="U163" i="1"/>
  <c r="N163" i="1"/>
  <c r="J163" i="1"/>
  <c r="H163" i="1"/>
  <c r="F163" i="1"/>
  <c r="BB163" i="1" s="1"/>
  <c r="AK162" i="1"/>
  <c r="AD162" i="1"/>
  <c r="AA162" i="1"/>
  <c r="Z162" i="1"/>
  <c r="V162" i="1"/>
  <c r="W162" i="1" s="1"/>
  <c r="AC162" i="1" s="1"/>
  <c r="U162" i="1"/>
  <c r="N162" i="1"/>
  <c r="J162" i="1"/>
  <c r="AT162" i="1" s="1"/>
  <c r="H162" i="1"/>
  <c r="F162" i="1"/>
  <c r="BB162" i="1" s="1"/>
  <c r="AK161" i="1"/>
  <c r="AD161" i="1"/>
  <c r="Z161" i="1"/>
  <c r="V161" i="1"/>
  <c r="W161" i="1" s="1"/>
  <c r="N161" i="1"/>
  <c r="J161" i="1"/>
  <c r="AT161" i="1" s="1"/>
  <c r="H161" i="1"/>
  <c r="R161" i="1" s="1"/>
  <c r="F161" i="1"/>
  <c r="AT160" i="1"/>
  <c r="AK160" i="1"/>
  <c r="AM160" i="1" s="1"/>
  <c r="AD160" i="1"/>
  <c r="Z160" i="1"/>
  <c r="V160" i="1"/>
  <c r="W160" i="1" s="1"/>
  <c r="N160" i="1"/>
  <c r="J160" i="1"/>
  <c r="H160" i="1"/>
  <c r="R160" i="1" s="1"/>
  <c r="AA160" i="1" s="1"/>
  <c r="F160" i="1"/>
  <c r="AK159" i="1"/>
  <c r="AD159" i="1"/>
  <c r="AM159" i="1" s="1"/>
  <c r="AJ159" i="1" s="1"/>
  <c r="AA159" i="1"/>
  <c r="Z159" i="1"/>
  <c r="V159" i="1"/>
  <c r="W159" i="1" s="1"/>
  <c r="U159" i="1"/>
  <c r="N159" i="1"/>
  <c r="J159" i="1"/>
  <c r="AT159" i="1" s="1"/>
  <c r="H159" i="1"/>
  <c r="F159" i="1"/>
  <c r="BB159" i="1" s="1"/>
  <c r="AK158" i="1"/>
  <c r="AD158" i="1"/>
  <c r="Z158" i="1"/>
  <c r="V158" i="1"/>
  <c r="W158" i="1" s="1"/>
  <c r="N158" i="1"/>
  <c r="J158" i="1"/>
  <c r="AT158" i="1" s="1"/>
  <c r="H158" i="1"/>
  <c r="R158" i="1" s="1"/>
  <c r="BB158" i="1" s="1"/>
  <c r="F158" i="1"/>
  <c r="AK157" i="1"/>
  <c r="AD157" i="1"/>
  <c r="AM157" i="1" s="1"/>
  <c r="AA157" i="1"/>
  <c r="Z157" i="1"/>
  <c r="V157" i="1"/>
  <c r="W157" i="1" s="1"/>
  <c r="U157" i="1"/>
  <c r="N157" i="1"/>
  <c r="J157" i="1"/>
  <c r="AT157" i="1" s="1"/>
  <c r="H157" i="1"/>
  <c r="F157" i="1"/>
  <c r="BB157" i="1" s="1"/>
  <c r="AK156" i="1"/>
  <c r="AD156" i="1"/>
  <c r="AM156" i="1" s="1"/>
  <c r="AJ156" i="1" s="1"/>
  <c r="AA156" i="1"/>
  <c r="Z156" i="1"/>
  <c r="V156" i="1"/>
  <c r="W156" i="1" s="1"/>
  <c r="AC156" i="1" s="1"/>
  <c r="U156" i="1"/>
  <c r="N156" i="1"/>
  <c r="J156" i="1"/>
  <c r="AT156" i="1" s="1"/>
  <c r="H156" i="1"/>
  <c r="F156" i="1"/>
  <c r="BB156" i="1" s="1"/>
  <c r="AK155" i="1"/>
  <c r="AD155" i="1"/>
  <c r="AA155" i="1"/>
  <c r="Z155" i="1"/>
  <c r="AB155" i="1" s="1"/>
  <c r="V155" i="1"/>
  <c r="W155" i="1" s="1"/>
  <c r="U155" i="1"/>
  <c r="N155" i="1"/>
  <c r="J155" i="1"/>
  <c r="AT155" i="1" s="1"/>
  <c r="H155" i="1"/>
  <c r="F155" i="1"/>
  <c r="BB155" i="1" s="1"/>
  <c r="AK154" i="1"/>
  <c r="AD154" i="1"/>
  <c r="Z154" i="1"/>
  <c r="V154" i="1"/>
  <c r="W154" i="1" s="1"/>
  <c r="N154" i="1"/>
  <c r="J154" i="1"/>
  <c r="AT154" i="1" s="1"/>
  <c r="H154" i="1"/>
  <c r="R154" i="1" s="1"/>
  <c r="F154" i="1"/>
  <c r="AK153" i="1"/>
  <c r="AD153" i="1"/>
  <c r="Z153" i="1"/>
  <c r="V153" i="1"/>
  <c r="W153" i="1" s="1"/>
  <c r="N153" i="1"/>
  <c r="J153" i="1"/>
  <c r="AT153" i="1" s="1"/>
  <c r="H153" i="1"/>
  <c r="R153" i="1" s="1"/>
  <c r="F153" i="1"/>
  <c r="AK152" i="1"/>
  <c r="AD152" i="1"/>
  <c r="AA152" i="1"/>
  <c r="Z152" i="1"/>
  <c r="V152" i="1"/>
  <c r="W152" i="1" s="1"/>
  <c r="U152" i="1"/>
  <c r="N152" i="1"/>
  <c r="J152" i="1"/>
  <c r="AT152" i="1" s="1"/>
  <c r="H152" i="1"/>
  <c r="F152" i="1"/>
  <c r="BB152" i="1" s="1"/>
  <c r="AK151" i="1"/>
  <c r="AD151" i="1"/>
  <c r="AA151" i="1"/>
  <c r="Z151" i="1"/>
  <c r="AB151" i="1" s="1"/>
  <c r="V151" i="1"/>
  <c r="W151" i="1" s="1"/>
  <c r="AC151" i="1" s="1"/>
  <c r="U151" i="1"/>
  <c r="N151" i="1"/>
  <c r="J151" i="1"/>
  <c r="AT151" i="1" s="1"/>
  <c r="H151" i="1"/>
  <c r="F151" i="1"/>
  <c r="BB151" i="1" s="1"/>
  <c r="AK150" i="1"/>
  <c r="AD150" i="1"/>
  <c r="AM150" i="1" s="1"/>
  <c r="AP150" i="1" s="1"/>
  <c r="AA150" i="1"/>
  <c r="Z150" i="1"/>
  <c r="V150" i="1"/>
  <c r="W150" i="1" s="1"/>
  <c r="AC150" i="1" s="1"/>
  <c r="U150" i="1"/>
  <c r="N150" i="1"/>
  <c r="J150" i="1"/>
  <c r="AT150" i="1" s="1"/>
  <c r="H150" i="1"/>
  <c r="F150" i="1"/>
  <c r="BB150" i="1" s="1"/>
  <c r="AT149" i="1"/>
  <c r="AK149" i="1"/>
  <c r="AD149" i="1"/>
  <c r="AM149" i="1" s="1"/>
  <c r="AC149" i="1"/>
  <c r="Z149" i="1"/>
  <c r="V149" i="1"/>
  <c r="W149" i="1" s="1"/>
  <c r="N149" i="1"/>
  <c r="J149" i="1"/>
  <c r="H149" i="1"/>
  <c r="R149" i="1" s="1"/>
  <c r="F149" i="1"/>
  <c r="AK148" i="1"/>
  <c r="AD148" i="1"/>
  <c r="AA148" i="1"/>
  <c r="Z148" i="1"/>
  <c r="AB148" i="1" s="1"/>
  <c r="V148" i="1"/>
  <c r="W148" i="1" s="1"/>
  <c r="U148" i="1"/>
  <c r="N148" i="1"/>
  <c r="J148" i="1"/>
  <c r="AT148" i="1" s="1"/>
  <c r="H148" i="1"/>
  <c r="F148" i="1"/>
  <c r="BB148" i="1" s="1"/>
  <c r="AK147" i="1"/>
  <c r="AD147" i="1"/>
  <c r="AA147" i="1"/>
  <c r="Z147" i="1"/>
  <c r="V147" i="1"/>
  <c r="W147" i="1" s="1"/>
  <c r="U147" i="1"/>
  <c r="N147" i="1"/>
  <c r="J147" i="1"/>
  <c r="AT147" i="1" s="1"/>
  <c r="H147" i="1"/>
  <c r="F147" i="1"/>
  <c r="BB147" i="1" s="1"/>
  <c r="AK146" i="1"/>
  <c r="AD146" i="1"/>
  <c r="AA146" i="1"/>
  <c r="Z146" i="1"/>
  <c r="V146" i="1"/>
  <c r="W146" i="1" s="1"/>
  <c r="U146" i="1"/>
  <c r="N146" i="1"/>
  <c r="J146" i="1"/>
  <c r="AT146" i="1" s="1"/>
  <c r="H146" i="1"/>
  <c r="F146" i="1"/>
  <c r="BB146" i="1" s="1"/>
  <c r="AK145" i="1"/>
  <c r="AD145" i="1"/>
  <c r="AA145" i="1"/>
  <c r="Z145" i="1"/>
  <c r="V145" i="1"/>
  <c r="W145" i="1" s="1"/>
  <c r="AC145" i="1" s="1"/>
  <c r="U145" i="1"/>
  <c r="N145" i="1"/>
  <c r="J145" i="1"/>
  <c r="AT145" i="1" s="1"/>
  <c r="H145" i="1"/>
  <c r="F145" i="1"/>
  <c r="BB145" i="1" s="1"/>
  <c r="BB144" i="1"/>
  <c r="AK144" i="1"/>
  <c r="AD144" i="1"/>
  <c r="AA144" i="1"/>
  <c r="Z144" i="1"/>
  <c r="V144" i="1"/>
  <c r="W144" i="1" s="1"/>
  <c r="AC144" i="1" s="1"/>
  <c r="U144" i="1"/>
  <c r="N144" i="1"/>
  <c r="J144" i="1"/>
  <c r="AT144" i="1" s="1"/>
  <c r="H144" i="1"/>
  <c r="F144" i="1"/>
  <c r="AK143" i="1"/>
  <c r="AD143" i="1"/>
  <c r="Z143" i="1"/>
  <c r="V143" i="1"/>
  <c r="W143" i="1" s="1"/>
  <c r="AC143" i="1" s="1"/>
  <c r="N143" i="1"/>
  <c r="J143" i="1"/>
  <c r="AT143" i="1" s="1"/>
  <c r="H143" i="1"/>
  <c r="R143" i="1" s="1"/>
  <c r="AA143" i="1" s="1"/>
  <c r="AB143" i="1" s="1"/>
  <c r="F143" i="1"/>
  <c r="BB142" i="1"/>
  <c r="AK142" i="1"/>
  <c r="AD142" i="1"/>
  <c r="AM142" i="1" s="1"/>
  <c r="AA142" i="1"/>
  <c r="Z142" i="1"/>
  <c r="W142" i="1"/>
  <c r="V142" i="1"/>
  <c r="U142" i="1"/>
  <c r="N142" i="1"/>
  <c r="J142" i="1"/>
  <c r="AT142" i="1" s="1"/>
  <c r="H142" i="1"/>
  <c r="F142" i="1"/>
  <c r="AK141" i="1"/>
  <c r="AD141" i="1"/>
  <c r="AA141" i="1"/>
  <c r="Z141" i="1"/>
  <c r="W141" i="1"/>
  <c r="V141" i="1"/>
  <c r="U141" i="1"/>
  <c r="N141" i="1"/>
  <c r="J141" i="1"/>
  <c r="AT141" i="1" s="1"/>
  <c r="H141" i="1"/>
  <c r="F141" i="1"/>
  <c r="BB141" i="1" s="1"/>
  <c r="AK140" i="1"/>
  <c r="AD140" i="1"/>
  <c r="Z140" i="1"/>
  <c r="V140" i="1"/>
  <c r="W140" i="1" s="1"/>
  <c r="AC140" i="1" s="1"/>
  <c r="N140" i="1"/>
  <c r="J140" i="1"/>
  <c r="AT140" i="1" s="1"/>
  <c r="H140" i="1"/>
  <c r="R140" i="1" s="1"/>
  <c r="F140" i="1"/>
  <c r="BB139" i="1"/>
  <c r="AK139" i="1"/>
  <c r="AD139" i="1"/>
  <c r="AM139" i="1" s="1"/>
  <c r="AA139" i="1"/>
  <c r="Z139" i="1"/>
  <c r="V139" i="1"/>
  <c r="W139" i="1" s="1"/>
  <c r="U139" i="1"/>
  <c r="N139" i="1"/>
  <c r="J139" i="1"/>
  <c r="AT139" i="1" s="1"/>
  <c r="H139" i="1"/>
  <c r="F139" i="1"/>
  <c r="AK138" i="1"/>
  <c r="AD138" i="1"/>
  <c r="AA138" i="1"/>
  <c r="Z138" i="1"/>
  <c r="AB138" i="1" s="1"/>
  <c r="V138" i="1"/>
  <c r="W138" i="1" s="1"/>
  <c r="U138" i="1"/>
  <c r="N138" i="1"/>
  <c r="J138" i="1"/>
  <c r="AT138" i="1" s="1"/>
  <c r="H138" i="1"/>
  <c r="F138" i="1"/>
  <c r="BB138" i="1" s="1"/>
  <c r="AT137" i="1"/>
  <c r="AK137" i="1"/>
  <c r="AD137" i="1"/>
  <c r="AM137" i="1" s="1"/>
  <c r="AA137" i="1"/>
  <c r="Z137" i="1"/>
  <c r="V137" i="1"/>
  <c r="W137" i="1" s="1"/>
  <c r="U137" i="1"/>
  <c r="N137" i="1"/>
  <c r="J137" i="1"/>
  <c r="H137" i="1"/>
  <c r="F137" i="1"/>
  <c r="BB137" i="1" s="1"/>
  <c r="AK136" i="1"/>
  <c r="AD136" i="1"/>
  <c r="Z136" i="1"/>
  <c r="V136" i="1"/>
  <c r="W136" i="1" s="1"/>
  <c r="U136" i="1"/>
  <c r="N136" i="1"/>
  <c r="J136" i="1"/>
  <c r="AT136" i="1" s="1"/>
  <c r="H136" i="1"/>
  <c r="R136" i="1" s="1"/>
  <c r="F136" i="1"/>
  <c r="AK135" i="1"/>
  <c r="AD135" i="1"/>
  <c r="AA135" i="1"/>
  <c r="Z135" i="1"/>
  <c r="AB135" i="1" s="1"/>
  <c r="V135" i="1"/>
  <c r="W135" i="1" s="1"/>
  <c r="AC135" i="1" s="1"/>
  <c r="U135" i="1"/>
  <c r="N135" i="1"/>
  <c r="J135" i="1"/>
  <c r="AT135" i="1" s="1"/>
  <c r="H135" i="1"/>
  <c r="F135" i="1"/>
  <c r="BB135" i="1" s="1"/>
  <c r="AK134" i="1"/>
  <c r="AD134" i="1"/>
  <c r="AA134" i="1"/>
  <c r="Z134" i="1"/>
  <c r="V134" i="1"/>
  <c r="W134" i="1" s="1"/>
  <c r="U134" i="1"/>
  <c r="N134" i="1"/>
  <c r="J134" i="1"/>
  <c r="AT134" i="1" s="1"/>
  <c r="H134" i="1"/>
  <c r="F134" i="1"/>
  <c r="BB134" i="1" s="1"/>
  <c r="AK133" i="1"/>
  <c r="AD133" i="1"/>
  <c r="AA133" i="1"/>
  <c r="Z133" i="1"/>
  <c r="V133" i="1"/>
  <c r="W133" i="1" s="1"/>
  <c r="U133" i="1"/>
  <c r="N133" i="1"/>
  <c r="J133" i="1"/>
  <c r="AT133" i="1" s="1"/>
  <c r="H133" i="1"/>
  <c r="F133" i="1"/>
  <c r="BB133" i="1" s="1"/>
  <c r="AK132" i="1"/>
  <c r="AD132" i="1"/>
  <c r="AA132" i="1"/>
  <c r="Z132" i="1"/>
  <c r="V132" i="1"/>
  <c r="W132" i="1" s="1"/>
  <c r="N132" i="1"/>
  <c r="J132" i="1"/>
  <c r="AT132" i="1" s="1"/>
  <c r="H132" i="1"/>
  <c r="R132" i="1" s="1"/>
  <c r="F132" i="1"/>
  <c r="AK131" i="1"/>
  <c r="AD131" i="1"/>
  <c r="AA131" i="1"/>
  <c r="Z131" i="1"/>
  <c r="V131" i="1"/>
  <c r="W131" i="1" s="1"/>
  <c r="AC131" i="1" s="1"/>
  <c r="U131" i="1"/>
  <c r="N131" i="1"/>
  <c r="J131" i="1"/>
  <c r="AT131" i="1" s="1"/>
  <c r="H131" i="1"/>
  <c r="F131" i="1"/>
  <c r="BB131" i="1" s="1"/>
  <c r="AK130" i="1"/>
  <c r="AM130" i="1" s="1"/>
  <c r="AD130" i="1"/>
  <c r="AA130" i="1"/>
  <c r="Z130" i="1"/>
  <c r="V130" i="1"/>
  <c r="W130" i="1" s="1"/>
  <c r="U130" i="1"/>
  <c r="N130" i="1"/>
  <c r="J130" i="1"/>
  <c r="AT130" i="1" s="1"/>
  <c r="H130" i="1"/>
  <c r="F130" i="1"/>
  <c r="BB130" i="1" s="1"/>
  <c r="AK129" i="1"/>
  <c r="AD129" i="1"/>
  <c r="AA129" i="1"/>
  <c r="Z129" i="1"/>
  <c r="V129" i="1"/>
  <c r="W129" i="1" s="1"/>
  <c r="U129" i="1"/>
  <c r="N129" i="1"/>
  <c r="J129" i="1"/>
  <c r="AT129" i="1" s="1"/>
  <c r="H129" i="1"/>
  <c r="F129" i="1"/>
  <c r="BB129" i="1" s="1"/>
  <c r="AT128" i="1"/>
  <c r="AK128" i="1"/>
  <c r="AD128" i="1"/>
  <c r="AM128" i="1" s="1"/>
  <c r="Z128" i="1"/>
  <c r="V128" i="1"/>
  <c r="W128" i="1" s="1"/>
  <c r="N128" i="1"/>
  <c r="J128" i="1"/>
  <c r="H128" i="1"/>
  <c r="R128" i="1" s="1"/>
  <c r="AA128" i="1" s="1"/>
  <c r="F128" i="1"/>
  <c r="AK127" i="1"/>
  <c r="AD127" i="1"/>
  <c r="AA127" i="1"/>
  <c r="Z127" i="1"/>
  <c r="V127" i="1"/>
  <c r="W127" i="1" s="1"/>
  <c r="U127" i="1"/>
  <c r="N127" i="1"/>
  <c r="J127" i="1"/>
  <c r="AT127" i="1" s="1"/>
  <c r="H127" i="1"/>
  <c r="F127" i="1"/>
  <c r="BB127" i="1" s="1"/>
  <c r="AK126" i="1"/>
  <c r="AD126" i="1"/>
  <c r="Z126" i="1"/>
  <c r="V126" i="1"/>
  <c r="W126" i="1" s="1"/>
  <c r="AC126" i="1" s="1"/>
  <c r="N126" i="1"/>
  <c r="J126" i="1"/>
  <c r="AT126" i="1" s="1"/>
  <c r="H126" i="1"/>
  <c r="R126" i="1" s="1"/>
  <c r="F126" i="1"/>
  <c r="AT125" i="1"/>
  <c r="AK125" i="1"/>
  <c r="AD125" i="1"/>
  <c r="AA125" i="1"/>
  <c r="Z125" i="1"/>
  <c r="AC125" i="1" s="1"/>
  <c r="V125" i="1"/>
  <c r="W125" i="1" s="1"/>
  <c r="U125" i="1"/>
  <c r="N125" i="1"/>
  <c r="J125" i="1"/>
  <c r="H125" i="1"/>
  <c r="F125" i="1"/>
  <c r="BB125" i="1" s="1"/>
  <c r="AK124" i="1"/>
  <c r="AD124" i="1"/>
  <c r="Z124" i="1"/>
  <c r="V124" i="1"/>
  <c r="W124" i="1" s="1"/>
  <c r="R124" i="1"/>
  <c r="N124" i="1"/>
  <c r="J124" i="1"/>
  <c r="AT124" i="1" s="1"/>
  <c r="H124" i="1"/>
  <c r="F124" i="1"/>
  <c r="AM123" i="1"/>
  <c r="AK123" i="1"/>
  <c r="AD123" i="1"/>
  <c r="AA123" i="1"/>
  <c r="Z123" i="1"/>
  <c r="V123" i="1"/>
  <c r="W123" i="1" s="1"/>
  <c r="U123" i="1"/>
  <c r="N123" i="1"/>
  <c r="J123" i="1"/>
  <c r="AT123" i="1" s="1"/>
  <c r="H123" i="1"/>
  <c r="F123" i="1"/>
  <c r="BB123" i="1" s="1"/>
  <c r="AK122" i="1"/>
  <c r="AD122" i="1"/>
  <c r="AA122" i="1"/>
  <c r="AB122" i="1" s="1"/>
  <c r="Z122" i="1"/>
  <c r="V122" i="1"/>
  <c r="W122" i="1" s="1"/>
  <c r="AC122" i="1" s="1"/>
  <c r="U122" i="1"/>
  <c r="N122" i="1"/>
  <c r="J122" i="1"/>
  <c r="AT122" i="1" s="1"/>
  <c r="H122" i="1"/>
  <c r="F122" i="1"/>
  <c r="BB122" i="1" s="1"/>
  <c r="AM121" i="1"/>
  <c r="AK121" i="1"/>
  <c r="AD121" i="1"/>
  <c r="AA121" i="1"/>
  <c r="Z121" i="1"/>
  <c r="V121" i="1"/>
  <c r="W121" i="1" s="1"/>
  <c r="U121" i="1"/>
  <c r="N121" i="1"/>
  <c r="J121" i="1"/>
  <c r="AT121" i="1" s="1"/>
  <c r="H121" i="1"/>
  <c r="F121" i="1"/>
  <c r="BB121" i="1" s="1"/>
  <c r="AK120" i="1"/>
  <c r="AD120" i="1"/>
  <c r="Z120" i="1"/>
  <c r="V120" i="1"/>
  <c r="W120" i="1" s="1"/>
  <c r="N120" i="1"/>
  <c r="J120" i="1"/>
  <c r="AT120" i="1" s="1"/>
  <c r="H120" i="1"/>
  <c r="R120" i="1" s="1"/>
  <c r="AA120" i="1" s="1"/>
  <c r="AB120" i="1" s="1"/>
  <c r="F120" i="1"/>
  <c r="AK119" i="1"/>
  <c r="AD119" i="1"/>
  <c r="AA119" i="1"/>
  <c r="AB119" i="1" s="1"/>
  <c r="Z119" i="1"/>
  <c r="V119" i="1"/>
  <c r="W119" i="1" s="1"/>
  <c r="AC119" i="1" s="1"/>
  <c r="U119" i="1"/>
  <c r="N119" i="1"/>
  <c r="J119" i="1"/>
  <c r="AT119" i="1" s="1"/>
  <c r="H119" i="1"/>
  <c r="F119" i="1"/>
  <c r="BB119" i="1" s="1"/>
  <c r="AK118" i="1"/>
  <c r="AD118" i="1"/>
  <c r="AM118" i="1" s="1"/>
  <c r="AA118" i="1"/>
  <c r="Z118" i="1"/>
  <c r="W118" i="1"/>
  <c r="AC118" i="1" s="1"/>
  <c r="V118" i="1"/>
  <c r="U118" i="1"/>
  <c r="N118" i="1"/>
  <c r="J118" i="1"/>
  <c r="AT118" i="1" s="1"/>
  <c r="H118" i="1"/>
  <c r="F118" i="1"/>
  <c r="BB118" i="1" s="1"/>
  <c r="AK117" i="1"/>
  <c r="AD117" i="1"/>
  <c r="AA117" i="1"/>
  <c r="Z117" i="1"/>
  <c r="V117" i="1"/>
  <c r="W117" i="1" s="1"/>
  <c r="U117" i="1"/>
  <c r="N117" i="1"/>
  <c r="J117" i="1"/>
  <c r="AT117" i="1" s="1"/>
  <c r="H117" i="1"/>
  <c r="F117" i="1"/>
  <c r="BB117" i="1" s="1"/>
  <c r="AK116" i="1"/>
  <c r="AD116" i="1"/>
  <c r="AA116" i="1"/>
  <c r="Z116" i="1"/>
  <c r="W116" i="1"/>
  <c r="V116" i="1"/>
  <c r="U116" i="1"/>
  <c r="N116" i="1"/>
  <c r="J116" i="1"/>
  <c r="AT116" i="1" s="1"/>
  <c r="H116" i="1"/>
  <c r="F116" i="1"/>
  <c r="BB116" i="1" s="1"/>
  <c r="AK115" i="1"/>
  <c r="AM115" i="1" s="1"/>
  <c r="AP115" i="1" s="1"/>
  <c r="AD115" i="1"/>
  <c r="AA115" i="1"/>
  <c r="Z115" i="1"/>
  <c r="V115" i="1"/>
  <c r="W115" i="1" s="1"/>
  <c r="U115" i="1"/>
  <c r="N115" i="1"/>
  <c r="J115" i="1"/>
  <c r="AT115" i="1" s="1"/>
  <c r="H115" i="1"/>
  <c r="F115" i="1"/>
  <c r="BB115" i="1" s="1"/>
  <c r="AK114" i="1"/>
  <c r="AD114" i="1"/>
  <c r="AA114" i="1"/>
  <c r="Z114" i="1"/>
  <c r="V114" i="1"/>
  <c r="W114" i="1" s="1"/>
  <c r="AC114" i="1" s="1"/>
  <c r="U114" i="1"/>
  <c r="N114" i="1"/>
  <c r="J114" i="1"/>
  <c r="AT114" i="1" s="1"/>
  <c r="H114" i="1"/>
  <c r="F114" i="1"/>
  <c r="BB114" i="1" s="1"/>
  <c r="AK113" i="1"/>
  <c r="AD113" i="1"/>
  <c r="AA113" i="1"/>
  <c r="Z113" i="1"/>
  <c r="V113" i="1"/>
  <c r="W113" i="1" s="1"/>
  <c r="U113" i="1"/>
  <c r="N113" i="1"/>
  <c r="J113" i="1"/>
  <c r="AT113" i="1" s="1"/>
  <c r="H113" i="1"/>
  <c r="F113" i="1"/>
  <c r="BB113" i="1" s="1"/>
  <c r="BB112" i="1"/>
  <c r="AK112" i="1"/>
  <c r="AD112" i="1"/>
  <c r="AA112" i="1"/>
  <c r="Z112" i="1"/>
  <c r="AC112" i="1" s="1"/>
  <c r="V112" i="1"/>
  <c r="W112" i="1" s="1"/>
  <c r="U112" i="1"/>
  <c r="N112" i="1"/>
  <c r="J112" i="1"/>
  <c r="AT112" i="1" s="1"/>
  <c r="H112" i="1"/>
  <c r="F112" i="1"/>
  <c r="AK111" i="1"/>
  <c r="AD111" i="1"/>
  <c r="AA111" i="1"/>
  <c r="Z111" i="1"/>
  <c r="V111" i="1"/>
  <c r="W111" i="1" s="1"/>
  <c r="U111" i="1"/>
  <c r="N111" i="1"/>
  <c r="J111" i="1"/>
  <c r="AT111" i="1" s="1"/>
  <c r="H111" i="1"/>
  <c r="F111" i="1"/>
  <c r="BB111" i="1" s="1"/>
  <c r="AK110" i="1"/>
  <c r="AM110" i="1" s="1"/>
  <c r="AD110" i="1"/>
  <c r="AA110" i="1"/>
  <c r="Z110" i="1"/>
  <c r="V110" i="1"/>
  <c r="W110" i="1" s="1"/>
  <c r="U110" i="1"/>
  <c r="N110" i="1"/>
  <c r="J110" i="1"/>
  <c r="AT110" i="1" s="1"/>
  <c r="H110" i="1"/>
  <c r="F110" i="1"/>
  <c r="BB110" i="1" s="1"/>
  <c r="AK109" i="1"/>
  <c r="AD109" i="1"/>
  <c r="AA109" i="1"/>
  <c r="Z109" i="1"/>
  <c r="W109" i="1"/>
  <c r="AC109" i="1" s="1"/>
  <c r="V109" i="1"/>
  <c r="U109" i="1"/>
  <c r="N109" i="1"/>
  <c r="J109" i="1"/>
  <c r="AT109" i="1" s="1"/>
  <c r="H109" i="1"/>
  <c r="F109" i="1"/>
  <c r="BB109" i="1" s="1"/>
  <c r="AK108" i="1"/>
  <c r="AD108" i="1"/>
  <c r="AM108" i="1" s="1"/>
  <c r="AP108" i="1" s="1"/>
  <c r="AA108" i="1"/>
  <c r="Z108" i="1"/>
  <c r="V108" i="1"/>
  <c r="W108" i="1" s="1"/>
  <c r="AC108" i="1" s="1"/>
  <c r="U108" i="1"/>
  <c r="N108" i="1"/>
  <c r="J108" i="1"/>
  <c r="AT108" i="1" s="1"/>
  <c r="H108" i="1"/>
  <c r="F108" i="1"/>
  <c r="BB108" i="1" s="1"/>
  <c r="AK107" i="1"/>
  <c r="AD107" i="1"/>
  <c r="AA107" i="1"/>
  <c r="AB107" i="1" s="1"/>
  <c r="Z107" i="1"/>
  <c r="V107" i="1"/>
  <c r="W107" i="1" s="1"/>
  <c r="U107" i="1"/>
  <c r="N107" i="1"/>
  <c r="J107" i="1"/>
  <c r="AT107" i="1" s="1"/>
  <c r="H107" i="1"/>
  <c r="F107" i="1"/>
  <c r="AO106" i="1"/>
  <c r="AL106" i="1"/>
  <c r="AH106" i="1"/>
  <c r="AF106" i="1"/>
  <c r="AA106" i="1"/>
  <c r="X106" i="1"/>
  <c r="V106" i="1"/>
  <c r="Q106" i="1"/>
  <c r="P106" i="1"/>
  <c r="AM105" i="1"/>
  <c r="AK105" i="1"/>
  <c r="Z105" i="1"/>
  <c r="AB105" i="1" s="1"/>
  <c r="V105" i="1"/>
  <c r="W105" i="1" s="1"/>
  <c r="N105" i="1"/>
  <c r="J105" i="1"/>
  <c r="AT105" i="1" s="1"/>
  <c r="H105" i="1"/>
  <c r="R105" i="1" s="1"/>
  <c r="AA105" i="1" s="1"/>
  <c r="F105" i="1"/>
  <c r="AK104" i="1"/>
  <c r="AM104" i="1" s="1"/>
  <c r="AJ104" i="1" s="1"/>
  <c r="Z104" i="1"/>
  <c r="V104" i="1"/>
  <c r="W104" i="1" s="1"/>
  <c r="N104" i="1"/>
  <c r="J104" i="1"/>
  <c r="AT104" i="1" s="1"/>
  <c r="H104" i="1"/>
  <c r="R104" i="1" s="1"/>
  <c r="F104" i="1"/>
  <c r="AM103" i="1"/>
  <c r="AK103" i="1"/>
  <c r="AA103" i="1"/>
  <c r="Z103" i="1"/>
  <c r="V103" i="1"/>
  <c r="W103" i="1" s="1"/>
  <c r="U103" i="1"/>
  <c r="N103" i="1"/>
  <c r="J103" i="1"/>
  <c r="AT103" i="1" s="1"/>
  <c r="H103" i="1"/>
  <c r="F103" i="1"/>
  <c r="BB103" i="1" s="1"/>
  <c r="AK102" i="1"/>
  <c r="AM102" i="1" s="1"/>
  <c r="AD102" i="1"/>
  <c r="Z102" i="1"/>
  <c r="W102" i="1"/>
  <c r="AC102" i="1" s="1"/>
  <c r="V102" i="1"/>
  <c r="N102" i="1"/>
  <c r="J102" i="1"/>
  <c r="AT102" i="1" s="1"/>
  <c r="H102" i="1"/>
  <c r="R102" i="1" s="1"/>
  <c r="F102" i="1"/>
  <c r="BB101" i="1"/>
  <c r="AK101" i="1"/>
  <c r="AD101" i="1"/>
  <c r="AA101" i="1"/>
  <c r="Z101" i="1"/>
  <c r="W101" i="1"/>
  <c r="V101" i="1"/>
  <c r="U101" i="1"/>
  <c r="N101" i="1"/>
  <c r="J101" i="1"/>
  <c r="AT101" i="1" s="1"/>
  <c r="H101" i="1"/>
  <c r="F101" i="1"/>
  <c r="AK100" i="1"/>
  <c r="AD100" i="1"/>
  <c r="Z100" i="1"/>
  <c r="V100" i="1"/>
  <c r="W100" i="1" s="1"/>
  <c r="N100" i="1"/>
  <c r="J100" i="1"/>
  <c r="AT100" i="1" s="1"/>
  <c r="H100" i="1"/>
  <c r="R100" i="1" s="1"/>
  <c r="F100" i="1"/>
  <c r="AT99" i="1"/>
  <c r="AK99" i="1"/>
  <c r="AD99" i="1"/>
  <c r="Z99" i="1"/>
  <c r="V99" i="1"/>
  <c r="W99" i="1" s="1"/>
  <c r="N99" i="1"/>
  <c r="J99" i="1"/>
  <c r="H99" i="1"/>
  <c r="R99" i="1" s="1"/>
  <c r="F99" i="1"/>
  <c r="AK98" i="1"/>
  <c r="AD98" i="1"/>
  <c r="AB98" i="1"/>
  <c r="AA98" i="1"/>
  <c r="Z98" i="1"/>
  <c r="V98" i="1"/>
  <c r="W98" i="1" s="1"/>
  <c r="U98" i="1"/>
  <c r="N98" i="1"/>
  <c r="J98" i="1"/>
  <c r="AT98" i="1" s="1"/>
  <c r="H98" i="1"/>
  <c r="F98" i="1"/>
  <c r="BB98" i="1" s="1"/>
  <c r="AK97" i="1"/>
  <c r="AD97" i="1"/>
  <c r="AA97" i="1"/>
  <c r="AB97" i="1" s="1"/>
  <c r="Z97" i="1"/>
  <c r="V97" i="1"/>
  <c r="W97" i="1" s="1"/>
  <c r="AC97" i="1" s="1"/>
  <c r="U97" i="1"/>
  <c r="N97" i="1"/>
  <c r="J97" i="1"/>
  <c r="AT97" i="1" s="1"/>
  <c r="H97" i="1"/>
  <c r="F97" i="1"/>
  <c r="BB97" i="1" s="1"/>
  <c r="AK96" i="1"/>
  <c r="AD96" i="1"/>
  <c r="AA96" i="1"/>
  <c r="Z96" i="1"/>
  <c r="AB96" i="1" s="1"/>
  <c r="V96" i="1"/>
  <c r="W96" i="1" s="1"/>
  <c r="U96" i="1"/>
  <c r="N96" i="1"/>
  <c r="J96" i="1"/>
  <c r="AT96" i="1" s="1"/>
  <c r="H96" i="1"/>
  <c r="F96" i="1"/>
  <c r="BB96" i="1" s="1"/>
  <c r="AT95" i="1"/>
  <c r="AK95" i="1"/>
  <c r="AM95" i="1" s="1"/>
  <c r="AD95" i="1"/>
  <c r="AA95" i="1"/>
  <c r="Z95" i="1"/>
  <c r="V95" i="1"/>
  <c r="W95" i="1" s="1"/>
  <c r="U95" i="1"/>
  <c r="N95" i="1"/>
  <c r="J95" i="1"/>
  <c r="H95" i="1"/>
  <c r="F95" i="1"/>
  <c r="BB95" i="1" s="1"/>
  <c r="AK94" i="1"/>
  <c r="AD94" i="1"/>
  <c r="AM94" i="1" s="1"/>
  <c r="AA94" i="1"/>
  <c r="AB94" i="1" s="1"/>
  <c r="Z94" i="1"/>
  <c r="V94" i="1"/>
  <c r="W94" i="1" s="1"/>
  <c r="AC94" i="1" s="1"/>
  <c r="U94" i="1"/>
  <c r="N94" i="1"/>
  <c r="J94" i="1"/>
  <c r="AT94" i="1" s="1"/>
  <c r="H94" i="1"/>
  <c r="F94" i="1"/>
  <c r="BB94" i="1" s="1"/>
  <c r="AK93" i="1"/>
  <c r="AD93" i="1"/>
  <c r="AA93" i="1"/>
  <c r="Z93" i="1"/>
  <c r="V93" i="1"/>
  <c r="W93" i="1" s="1"/>
  <c r="AC93" i="1" s="1"/>
  <c r="U93" i="1"/>
  <c r="N93" i="1"/>
  <c r="J93" i="1"/>
  <c r="AT93" i="1" s="1"/>
  <c r="H93" i="1"/>
  <c r="F93" i="1"/>
  <c r="BB93" i="1" s="1"/>
  <c r="AK92" i="1"/>
  <c r="AD92" i="1"/>
  <c r="AM92" i="1" s="1"/>
  <c r="Z92" i="1"/>
  <c r="V92" i="1"/>
  <c r="W92" i="1" s="1"/>
  <c r="R92" i="1"/>
  <c r="AA92" i="1" s="1"/>
  <c r="N92" i="1"/>
  <c r="J92" i="1"/>
  <c r="AT92" i="1" s="1"/>
  <c r="H92" i="1"/>
  <c r="F92" i="1"/>
  <c r="AK91" i="1"/>
  <c r="AD91" i="1"/>
  <c r="AA91" i="1"/>
  <c r="Z91" i="1"/>
  <c r="AB91" i="1" s="1"/>
  <c r="V91" i="1"/>
  <c r="W91" i="1" s="1"/>
  <c r="AC91" i="1" s="1"/>
  <c r="U91" i="1"/>
  <c r="N91" i="1"/>
  <c r="J91" i="1"/>
  <c r="AT91" i="1" s="1"/>
  <c r="H91" i="1"/>
  <c r="F91" i="1"/>
  <c r="BB91" i="1" s="1"/>
  <c r="AK90" i="1"/>
  <c r="AD90" i="1"/>
  <c r="AM90" i="1" s="1"/>
  <c r="AA90" i="1"/>
  <c r="AB90" i="1" s="1"/>
  <c r="Z90" i="1"/>
  <c r="V90" i="1"/>
  <c r="W90" i="1" s="1"/>
  <c r="AC90" i="1" s="1"/>
  <c r="U90" i="1"/>
  <c r="N90" i="1"/>
  <c r="J90" i="1"/>
  <c r="AT90" i="1" s="1"/>
  <c r="H90" i="1"/>
  <c r="F90" i="1"/>
  <c r="BB90" i="1" s="1"/>
  <c r="AK89" i="1"/>
  <c r="AD89" i="1"/>
  <c r="AA89" i="1"/>
  <c r="Z89" i="1"/>
  <c r="V89" i="1"/>
  <c r="W89" i="1" s="1"/>
  <c r="AC89" i="1" s="1"/>
  <c r="U89" i="1"/>
  <c r="N89" i="1"/>
  <c r="J89" i="1"/>
  <c r="AT89" i="1" s="1"/>
  <c r="H89" i="1"/>
  <c r="F89" i="1"/>
  <c r="BB89" i="1" s="1"/>
  <c r="AT88" i="1"/>
  <c r="AM88" i="1"/>
  <c r="AK88" i="1"/>
  <c r="AD88" i="1"/>
  <c r="AA88" i="1"/>
  <c r="Z88" i="1"/>
  <c r="V88" i="1"/>
  <c r="W88" i="1" s="1"/>
  <c r="U88" i="1"/>
  <c r="N88" i="1"/>
  <c r="J88" i="1"/>
  <c r="H88" i="1"/>
  <c r="F88" i="1"/>
  <c r="BB88" i="1" s="1"/>
  <c r="AK87" i="1"/>
  <c r="AD87" i="1"/>
  <c r="AC87" i="1"/>
  <c r="Z87" i="1"/>
  <c r="V87" i="1"/>
  <c r="W87" i="1" s="1"/>
  <c r="N87" i="1"/>
  <c r="J87" i="1"/>
  <c r="AT87" i="1" s="1"/>
  <c r="H87" i="1"/>
  <c r="R87" i="1" s="1"/>
  <c r="F87" i="1"/>
  <c r="AK86" i="1"/>
  <c r="AD86" i="1"/>
  <c r="AM86" i="1" s="1"/>
  <c r="AA86" i="1"/>
  <c r="Z86" i="1"/>
  <c r="V86" i="1"/>
  <c r="W86" i="1" s="1"/>
  <c r="AC86" i="1" s="1"/>
  <c r="U86" i="1"/>
  <c r="N86" i="1"/>
  <c r="J86" i="1"/>
  <c r="AT86" i="1" s="1"/>
  <c r="H86" i="1"/>
  <c r="F86" i="1"/>
  <c r="BB86" i="1" s="1"/>
  <c r="AT85" i="1"/>
  <c r="AK85" i="1"/>
  <c r="AD85" i="1"/>
  <c r="AA85" i="1"/>
  <c r="Z85" i="1"/>
  <c r="V85" i="1"/>
  <c r="W85" i="1" s="1"/>
  <c r="U85" i="1"/>
  <c r="N85" i="1"/>
  <c r="J85" i="1"/>
  <c r="H85" i="1"/>
  <c r="F85" i="1"/>
  <c r="BB85" i="1" s="1"/>
  <c r="AK84" i="1"/>
  <c r="AD84" i="1"/>
  <c r="AM84" i="1" s="1"/>
  <c r="AP84" i="1" s="1"/>
  <c r="AA84" i="1"/>
  <c r="Z84" i="1"/>
  <c r="AB84" i="1" s="1"/>
  <c r="V84" i="1"/>
  <c r="W84" i="1" s="1"/>
  <c r="AC84" i="1" s="1"/>
  <c r="U84" i="1"/>
  <c r="N84" i="1"/>
  <c r="J84" i="1"/>
  <c r="AT84" i="1" s="1"/>
  <c r="H84" i="1"/>
  <c r="F84" i="1"/>
  <c r="BB84" i="1" s="1"/>
  <c r="AK83" i="1"/>
  <c r="AD83" i="1"/>
  <c r="AM83" i="1" s="1"/>
  <c r="Z83" i="1"/>
  <c r="V83" i="1"/>
  <c r="W83" i="1" s="1"/>
  <c r="N83" i="1"/>
  <c r="J83" i="1"/>
  <c r="AT83" i="1" s="1"/>
  <c r="H83" i="1"/>
  <c r="R83" i="1" s="1"/>
  <c r="U83" i="1" s="1"/>
  <c r="F83" i="1"/>
  <c r="AK82" i="1"/>
  <c r="AD82" i="1"/>
  <c r="Z82" i="1"/>
  <c r="V82" i="1"/>
  <c r="W82" i="1" s="1"/>
  <c r="AC82" i="1" s="1"/>
  <c r="R82" i="1"/>
  <c r="N82" i="1"/>
  <c r="J82" i="1"/>
  <c r="AT82" i="1" s="1"/>
  <c r="H82" i="1"/>
  <c r="F82" i="1"/>
  <c r="AO81" i="1"/>
  <c r="AL81" i="1"/>
  <c r="AH81" i="1"/>
  <c r="AF81" i="1"/>
  <c r="AA81" i="1"/>
  <c r="X81" i="1"/>
  <c r="V81" i="1"/>
  <c r="Q81" i="1"/>
  <c r="P81" i="1"/>
  <c r="P1" i="1" s="1"/>
  <c r="AK80" i="1"/>
  <c r="AD80" i="1"/>
  <c r="Z80" i="1"/>
  <c r="V80" i="1"/>
  <c r="W80" i="1" s="1"/>
  <c r="AC80" i="1" s="1"/>
  <c r="N80" i="1"/>
  <c r="J80" i="1"/>
  <c r="AT80" i="1" s="1"/>
  <c r="H80" i="1"/>
  <c r="R80" i="1" s="1"/>
  <c r="AA80" i="1" s="1"/>
  <c r="F80" i="1"/>
  <c r="AK79" i="1"/>
  <c r="AM79" i="1" s="1"/>
  <c r="AP79" i="1" s="1"/>
  <c r="AV79" i="1" s="1"/>
  <c r="AA79" i="1"/>
  <c r="Z79" i="1"/>
  <c r="V79" i="1"/>
  <c r="W79" i="1" s="1"/>
  <c r="U79" i="1"/>
  <c r="N79" i="1"/>
  <c r="J79" i="1"/>
  <c r="AT79" i="1" s="1"/>
  <c r="H79" i="1"/>
  <c r="R79" i="1" s="1"/>
  <c r="F79" i="1"/>
  <c r="AK78" i="1"/>
  <c r="AM78" i="1" s="1"/>
  <c r="AJ78" i="1" s="1"/>
  <c r="Z78" i="1"/>
  <c r="V78" i="1"/>
  <c r="W78" i="1" s="1"/>
  <c r="AC78" i="1" s="1"/>
  <c r="N78" i="1"/>
  <c r="J78" i="1"/>
  <c r="AT78" i="1" s="1"/>
  <c r="H78" i="1"/>
  <c r="R78" i="1" s="1"/>
  <c r="F78" i="1"/>
  <c r="AM77" i="1"/>
  <c r="AK77" i="1"/>
  <c r="Z77" i="1"/>
  <c r="V77" i="1"/>
  <c r="W77" i="1" s="1"/>
  <c r="N77" i="1"/>
  <c r="J77" i="1"/>
  <c r="AT77" i="1" s="1"/>
  <c r="H77" i="1"/>
  <c r="R77" i="1" s="1"/>
  <c r="F77" i="1"/>
  <c r="AK76" i="1"/>
  <c r="AD76" i="1"/>
  <c r="AM76" i="1" s="1"/>
  <c r="AJ76" i="1" s="1"/>
  <c r="Z76" i="1"/>
  <c r="V76" i="1"/>
  <c r="W76" i="1" s="1"/>
  <c r="N76" i="1"/>
  <c r="J76" i="1"/>
  <c r="AT76" i="1" s="1"/>
  <c r="H76" i="1"/>
  <c r="R76" i="1" s="1"/>
  <c r="F76" i="1"/>
  <c r="AK75" i="1"/>
  <c r="AD75" i="1"/>
  <c r="AM75" i="1" s="1"/>
  <c r="AA75" i="1"/>
  <c r="Z75" i="1"/>
  <c r="AB75" i="1" s="1"/>
  <c r="V75" i="1"/>
  <c r="W75" i="1" s="1"/>
  <c r="AC75" i="1" s="1"/>
  <c r="U75" i="1"/>
  <c r="N75" i="1"/>
  <c r="J75" i="1"/>
  <c r="AT75" i="1" s="1"/>
  <c r="H75" i="1"/>
  <c r="F75" i="1"/>
  <c r="BB75" i="1" s="1"/>
  <c r="AK74" i="1"/>
  <c r="AD74" i="1"/>
  <c r="Z74" i="1"/>
  <c r="V74" i="1"/>
  <c r="W74" i="1" s="1"/>
  <c r="AC74" i="1" s="1"/>
  <c r="N74" i="1"/>
  <c r="J74" i="1"/>
  <c r="AT74" i="1" s="1"/>
  <c r="H74" i="1"/>
  <c r="R74" i="1" s="1"/>
  <c r="F74" i="1"/>
  <c r="AK73" i="1"/>
  <c r="AD73" i="1"/>
  <c r="AM73" i="1" s="1"/>
  <c r="AA73" i="1"/>
  <c r="Z73" i="1"/>
  <c r="V73" i="1"/>
  <c r="W73" i="1" s="1"/>
  <c r="U73" i="1"/>
  <c r="N73" i="1"/>
  <c r="J73" i="1"/>
  <c r="AT73" i="1" s="1"/>
  <c r="H73" i="1"/>
  <c r="F73" i="1"/>
  <c r="BB73" i="1" s="1"/>
  <c r="AK72" i="1"/>
  <c r="AD72" i="1"/>
  <c r="Z72" i="1"/>
  <c r="V72" i="1"/>
  <c r="W72" i="1" s="1"/>
  <c r="AC72" i="1" s="1"/>
  <c r="N72" i="1"/>
  <c r="J72" i="1"/>
  <c r="AT72" i="1" s="1"/>
  <c r="H72" i="1"/>
  <c r="R72" i="1" s="1"/>
  <c r="F72" i="1"/>
  <c r="AK71" i="1"/>
  <c r="AM71" i="1" s="1"/>
  <c r="Z71" i="1"/>
  <c r="V71" i="1"/>
  <c r="W71" i="1" s="1"/>
  <c r="AC71" i="1" s="1"/>
  <c r="N71" i="1"/>
  <c r="J71" i="1"/>
  <c r="AT71" i="1" s="1"/>
  <c r="H71" i="1"/>
  <c r="R71" i="1" s="1"/>
  <c r="F71" i="1"/>
  <c r="BB70" i="1"/>
  <c r="AK70" i="1"/>
  <c r="AD70" i="1"/>
  <c r="AA70" i="1"/>
  <c r="Z70" i="1"/>
  <c r="V70" i="1"/>
  <c r="W70" i="1" s="1"/>
  <c r="U70" i="1"/>
  <c r="N70" i="1"/>
  <c r="J70" i="1"/>
  <c r="AT70" i="1" s="1"/>
  <c r="H70" i="1"/>
  <c r="F70" i="1"/>
  <c r="AK69" i="1"/>
  <c r="AD69" i="1"/>
  <c r="AM69" i="1" s="1"/>
  <c r="AJ69" i="1" s="1"/>
  <c r="Z69" i="1"/>
  <c r="V69" i="1"/>
  <c r="W69" i="1" s="1"/>
  <c r="N69" i="1"/>
  <c r="J69" i="1"/>
  <c r="AT69" i="1" s="1"/>
  <c r="H69" i="1"/>
  <c r="R69" i="1" s="1"/>
  <c r="F69" i="1"/>
  <c r="AK68" i="1"/>
  <c r="AD68" i="1"/>
  <c r="AM68" i="1" s="1"/>
  <c r="AP68" i="1" s="1"/>
  <c r="AR68" i="1" s="1"/>
  <c r="AA68" i="1"/>
  <c r="Z68" i="1"/>
  <c r="AB68" i="1" s="1"/>
  <c r="V68" i="1"/>
  <c r="W68" i="1" s="1"/>
  <c r="AC68" i="1" s="1"/>
  <c r="U68" i="1"/>
  <c r="N68" i="1"/>
  <c r="J68" i="1"/>
  <c r="AT68" i="1" s="1"/>
  <c r="H68" i="1"/>
  <c r="F68" i="1"/>
  <c r="BB68" i="1" s="1"/>
  <c r="AK67" i="1"/>
  <c r="AD67" i="1"/>
  <c r="AM67" i="1" s="1"/>
  <c r="AJ67" i="1" s="1"/>
  <c r="Z67" i="1"/>
  <c r="V67" i="1"/>
  <c r="W67" i="1" s="1"/>
  <c r="AC67" i="1" s="1"/>
  <c r="N67" i="1"/>
  <c r="J67" i="1"/>
  <c r="AT67" i="1" s="1"/>
  <c r="H67" i="1"/>
  <c r="R67" i="1" s="1"/>
  <c r="F67" i="1"/>
  <c r="AK66" i="1"/>
  <c r="AD66" i="1"/>
  <c r="Z66" i="1"/>
  <c r="V66" i="1"/>
  <c r="W66" i="1" s="1"/>
  <c r="AC66" i="1" s="1"/>
  <c r="N66" i="1"/>
  <c r="J66" i="1"/>
  <c r="AT66" i="1" s="1"/>
  <c r="H66" i="1"/>
  <c r="R66" i="1" s="1"/>
  <c r="F66" i="1"/>
  <c r="AK65" i="1"/>
  <c r="AD65" i="1"/>
  <c r="Z65" i="1"/>
  <c r="V65" i="1"/>
  <c r="W65" i="1" s="1"/>
  <c r="R65" i="1"/>
  <c r="BB65" i="1" s="1"/>
  <c r="N65" i="1"/>
  <c r="J65" i="1"/>
  <c r="AT65" i="1" s="1"/>
  <c r="H65" i="1"/>
  <c r="F65" i="1"/>
  <c r="AK64" i="1"/>
  <c r="AD64" i="1"/>
  <c r="AM64" i="1" s="1"/>
  <c r="Z64" i="1"/>
  <c r="V64" i="1"/>
  <c r="W64" i="1" s="1"/>
  <c r="AC64" i="1" s="1"/>
  <c r="N64" i="1"/>
  <c r="J64" i="1"/>
  <c r="AT64" i="1" s="1"/>
  <c r="H64" i="1"/>
  <c r="R64" i="1" s="1"/>
  <c r="F64" i="1"/>
  <c r="AT63" i="1"/>
  <c r="AK63" i="1"/>
  <c r="AM63" i="1" s="1"/>
  <c r="AD63" i="1"/>
  <c r="Z63" i="1"/>
  <c r="V63" i="1"/>
  <c r="W63" i="1" s="1"/>
  <c r="AC63" i="1" s="1"/>
  <c r="N63" i="1"/>
  <c r="J63" i="1"/>
  <c r="H63" i="1"/>
  <c r="R63" i="1" s="1"/>
  <c r="U63" i="1" s="1"/>
  <c r="F63" i="1"/>
  <c r="AK62" i="1"/>
  <c r="AD62" i="1"/>
  <c r="Z62" i="1"/>
  <c r="V62" i="1"/>
  <c r="W62" i="1" s="1"/>
  <c r="AC62" i="1" s="1"/>
  <c r="N62" i="1"/>
  <c r="J62" i="1"/>
  <c r="AT62" i="1" s="1"/>
  <c r="H62" i="1"/>
  <c r="R62" i="1" s="1"/>
  <c r="AA62" i="1" s="1"/>
  <c r="F62" i="1"/>
  <c r="AK61" i="1"/>
  <c r="AD61" i="1"/>
  <c r="AA61" i="1"/>
  <c r="Z61" i="1"/>
  <c r="AB61" i="1" s="1"/>
  <c r="V61" i="1"/>
  <c r="W61" i="1" s="1"/>
  <c r="AC61" i="1" s="1"/>
  <c r="U61" i="1"/>
  <c r="N61" i="1"/>
  <c r="J61" i="1"/>
  <c r="AT61" i="1" s="1"/>
  <c r="H61" i="1"/>
  <c r="F61" i="1"/>
  <c r="BB61" i="1" s="1"/>
  <c r="AK60" i="1"/>
  <c r="AD60" i="1"/>
  <c r="Z60" i="1"/>
  <c r="V60" i="1"/>
  <c r="W60" i="1" s="1"/>
  <c r="N60" i="1"/>
  <c r="J60" i="1"/>
  <c r="AT60" i="1" s="1"/>
  <c r="H60" i="1"/>
  <c r="R60" i="1" s="1"/>
  <c r="AA60" i="1" s="1"/>
  <c r="F60" i="1"/>
  <c r="AK59" i="1"/>
  <c r="AD59" i="1"/>
  <c r="AA59" i="1"/>
  <c r="Z59" i="1"/>
  <c r="AB59" i="1" s="1"/>
  <c r="V59" i="1"/>
  <c r="W59" i="1" s="1"/>
  <c r="U59" i="1"/>
  <c r="N59" i="1"/>
  <c r="J59" i="1"/>
  <c r="AT59" i="1" s="1"/>
  <c r="H59" i="1"/>
  <c r="F59" i="1"/>
  <c r="BB59" i="1" s="1"/>
  <c r="AK58" i="1"/>
  <c r="AD58" i="1"/>
  <c r="AA58" i="1"/>
  <c r="Z58" i="1"/>
  <c r="V58" i="1"/>
  <c r="W58" i="1" s="1"/>
  <c r="U58" i="1"/>
  <c r="N58" i="1"/>
  <c r="J58" i="1"/>
  <c r="AT58" i="1" s="1"/>
  <c r="H58" i="1"/>
  <c r="F58" i="1"/>
  <c r="BB58" i="1" s="1"/>
  <c r="AK57" i="1"/>
  <c r="AD57" i="1"/>
  <c r="AA57" i="1"/>
  <c r="Z57" i="1"/>
  <c r="V57" i="1"/>
  <c r="W57" i="1" s="1"/>
  <c r="U57" i="1"/>
  <c r="N57" i="1"/>
  <c r="J57" i="1"/>
  <c r="AT57" i="1" s="1"/>
  <c r="H57" i="1"/>
  <c r="F57" i="1"/>
  <c r="BB57" i="1" s="1"/>
  <c r="AT56" i="1"/>
  <c r="AK56" i="1"/>
  <c r="AD56" i="1"/>
  <c r="Z56" i="1"/>
  <c r="V56" i="1"/>
  <c r="W56" i="1" s="1"/>
  <c r="N56" i="1"/>
  <c r="J56" i="1"/>
  <c r="H56" i="1"/>
  <c r="R56" i="1" s="1"/>
  <c r="AA56" i="1" s="1"/>
  <c r="F56" i="1"/>
  <c r="AK55" i="1"/>
  <c r="AD55" i="1"/>
  <c r="AA55" i="1"/>
  <c r="Z55" i="1"/>
  <c r="AB55" i="1" s="1"/>
  <c r="V55" i="1"/>
  <c r="W55" i="1" s="1"/>
  <c r="U55" i="1"/>
  <c r="N55" i="1"/>
  <c r="J55" i="1"/>
  <c r="AT55" i="1" s="1"/>
  <c r="H55" i="1"/>
  <c r="F55" i="1"/>
  <c r="BB55" i="1" s="1"/>
  <c r="AK54" i="1"/>
  <c r="AD54" i="1"/>
  <c r="Z54" i="1"/>
  <c r="V54" i="1"/>
  <c r="W54" i="1" s="1"/>
  <c r="AC54" i="1" s="1"/>
  <c r="N54" i="1"/>
  <c r="J54" i="1"/>
  <c r="AT54" i="1" s="1"/>
  <c r="H54" i="1"/>
  <c r="R54" i="1" s="1"/>
  <c r="F54" i="1"/>
  <c r="AK53" i="1"/>
  <c r="AD53" i="1"/>
  <c r="AM53" i="1" s="1"/>
  <c r="AJ53" i="1" s="1"/>
  <c r="AA53" i="1"/>
  <c r="Z53" i="1"/>
  <c r="V53" i="1"/>
  <c r="W53" i="1" s="1"/>
  <c r="AC53" i="1" s="1"/>
  <c r="U53" i="1"/>
  <c r="N53" i="1"/>
  <c r="J53" i="1"/>
  <c r="AT53" i="1" s="1"/>
  <c r="H53" i="1"/>
  <c r="F53" i="1"/>
  <c r="BB53" i="1" s="1"/>
  <c r="AK52" i="1"/>
  <c r="AD52" i="1"/>
  <c r="Z52" i="1"/>
  <c r="V52" i="1"/>
  <c r="W52" i="1" s="1"/>
  <c r="N52" i="1"/>
  <c r="J52" i="1"/>
  <c r="AT52" i="1" s="1"/>
  <c r="H52" i="1"/>
  <c r="R52" i="1" s="1"/>
  <c r="F52" i="1"/>
  <c r="AK51" i="1"/>
  <c r="AD51" i="1"/>
  <c r="AA51" i="1"/>
  <c r="Z51" i="1"/>
  <c r="V51" i="1"/>
  <c r="W51" i="1" s="1"/>
  <c r="U51" i="1"/>
  <c r="N51" i="1"/>
  <c r="J51" i="1"/>
  <c r="AT51" i="1" s="1"/>
  <c r="H51" i="1"/>
  <c r="F51" i="1"/>
  <c r="BB51" i="1" s="1"/>
  <c r="AT50" i="1"/>
  <c r="AK50" i="1"/>
  <c r="AD50" i="1"/>
  <c r="AM50" i="1" s="1"/>
  <c r="AJ50" i="1" s="1"/>
  <c r="Z50" i="1"/>
  <c r="V50" i="1"/>
  <c r="W50" i="1" s="1"/>
  <c r="N50" i="1"/>
  <c r="J50" i="1"/>
  <c r="H50" i="1"/>
  <c r="R50" i="1" s="1"/>
  <c r="F50" i="1"/>
  <c r="AK49" i="1"/>
  <c r="AM49" i="1" s="1"/>
  <c r="AJ49" i="1" s="1"/>
  <c r="AD49" i="1"/>
  <c r="AA49" i="1"/>
  <c r="Z49" i="1"/>
  <c r="V49" i="1"/>
  <c r="W49" i="1" s="1"/>
  <c r="U49" i="1"/>
  <c r="N49" i="1"/>
  <c r="J49" i="1"/>
  <c r="AT49" i="1" s="1"/>
  <c r="H49" i="1"/>
  <c r="F49" i="1"/>
  <c r="BB49" i="1" s="1"/>
  <c r="AK48" i="1"/>
  <c r="AD48" i="1"/>
  <c r="AM48" i="1" s="1"/>
  <c r="AA48" i="1"/>
  <c r="Z48" i="1"/>
  <c r="V48" i="1"/>
  <c r="W48" i="1" s="1"/>
  <c r="AC48" i="1" s="1"/>
  <c r="U48" i="1"/>
  <c r="N48" i="1"/>
  <c r="J48" i="1"/>
  <c r="AT48" i="1" s="1"/>
  <c r="H48" i="1"/>
  <c r="F48" i="1"/>
  <c r="BB48" i="1" s="1"/>
  <c r="AK47" i="1"/>
  <c r="AD47" i="1"/>
  <c r="AM47" i="1" s="1"/>
  <c r="AA47" i="1"/>
  <c r="Z47" i="1"/>
  <c r="V47" i="1"/>
  <c r="W47" i="1" s="1"/>
  <c r="AC47" i="1" s="1"/>
  <c r="U47" i="1"/>
  <c r="N47" i="1"/>
  <c r="J47" i="1"/>
  <c r="AT47" i="1" s="1"/>
  <c r="H47" i="1"/>
  <c r="F47" i="1"/>
  <c r="BB47" i="1" s="1"/>
  <c r="AK46" i="1"/>
  <c r="AD46" i="1"/>
  <c r="Z46" i="1"/>
  <c r="V46" i="1"/>
  <c r="W46" i="1" s="1"/>
  <c r="AC46" i="1" s="1"/>
  <c r="N46" i="1"/>
  <c r="J46" i="1"/>
  <c r="AT46" i="1" s="1"/>
  <c r="H46" i="1"/>
  <c r="R46" i="1" s="1"/>
  <c r="AA46" i="1" s="1"/>
  <c r="F46" i="1"/>
  <c r="AK45" i="1"/>
  <c r="AD45" i="1"/>
  <c r="AA45" i="1"/>
  <c r="Z45" i="1"/>
  <c r="V45" i="1"/>
  <c r="W45" i="1" s="1"/>
  <c r="U45" i="1"/>
  <c r="N45" i="1"/>
  <c r="J45" i="1"/>
  <c r="AT45" i="1" s="1"/>
  <c r="H45" i="1"/>
  <c r="F45" i="1"/>
  <c r="BB45" i="1" s="1"/>
  <c r="AK44" i="1"/>
  <c r="AD44" i="1"/>
  <c r="Z44" i="1"/>
  <c r="V44" i="1"/>
  <c r="W44" i="1" s="1"/>
  <c r="AC44" i="1" s="1"/>
  <c r="N44" i="1"/>
  <c r="J44" i="1"/>
  <c r="AT44" i="1" s="1"/>
  <c r="H44" i="1"/>
  <c r="R44" i="1" s="1"/>
  <c r="F44" i="1"/>
  <c r="AT43" i="1"/>
  <c r="AK43" i="1"/>
  <c r="AD43" i="1"/>
  <c r="AM43" i="1" s="1"/>
  <c r="AA43" i="1"/>
  <c r="Z43" i="1"/>
  <c r="AB43" i="1" s="1"/>
  <c r="V43" i="1"/>
  <c r="W43" i="1" s="1"/>
  <c r="U43" i="1"/>
  <c r="N43" i="1"/>
  <c r="J43" i="1"/>
  <c r="H43" i="1"/>
  <c r="F43" i="1"/>
  <c r="BB43" i="1" s="1"/>
  <c r="AK42" i="1"/>
  <c r="AD42" i="1"/>
  <c r="AA42" i="1"/>
  <c r="Z42" i="1"/>
  <c r="V42" i="1"/>
  <c r="W42" i="1" s="1"/>
  <c r="U42" i="1"/>
  <c r="N42" i="1"/>
  <c r="J42" i="1"/>
  <c r="AT42" i="1" s="1"/>
  <c r="H42" i="1"/>
  <c r="F42" i="1"/>
  <c r="BB42" i="1" s="1"/>
  <c r="BB41" i="1"/>
  <c r="AT41" i="1"/>
  <c r="AK41" i="1"/>
  <c r="AD41" i="1"/>
  <c r="AA41" i="1"/>
  <c r="Z41" i="1"/>
  <c r="AB41" i="1" s="1"/>
  <c r="V41" i="1"/>
  <c r="W41" i="1" s="1"/>
  <c r="U41" i="1"/>
  <c r="N41" i="1"/>
  <c r="J41" i="1"/>
  <c r="H41" i="1"/>
  <c r="F41" i="1"/>
  <c r="AK40" i="1"/>
  <c r="AD40" i="1"/>
  <c r="AM40" i="1" s="1"/>
  <c r="Z40" i="1"/>
  <c r="V40" i="1"/>
  <c r="W40" i="1" s="1"/>
  <c r="AC40" i="1" s="1"/>
  <c r="N40" i="1"/>
  <c r="J40" i="1"/>
  <c r="AT40" i="1" s="1"/>
  <c r="H40" i="1"/>
  <c r="R40" i="1" s="1"/>
  <c r="F40" i="1"/>
  <c r="AK39" i="1"/>
  <c r="AD39" i="1"/>
  <c r="Z39" i="1"/>
  <c r="V39" i="1"/>
  <c r="W39" i="1" s="1"/>
  <c r="N39" i="1"/>
  <c r="J39" i="1"/>
  <c r="AT39" i="1" s="1"/>
  <c r="H39" i="1"/>
  <c r="R39" i="1" s="1"/>
  <c r="F39" i="1"/>
  <c r="BB38" i="1"/>
  <c r="AK38" i="1"/>
  <c r="AD38" i="1"/>
  <c r="AA38" i="1"/>
  <c r="Z38" i="1"/>
  <c r="V38" i="1"/>
  <c r="W38" i="1" s="1"/>
  <c r="AC38" i="1" s="1"/>
  <c r="U38" i="1"/>
  <c r="N38" i="1"/>
  <c r="J38" i="1"/>
  <c r="AT38" i="1" s="1"/>
  <c r="H38" i="1"/>
  <c r="F38" i="1"/>
  <c r="AK37" i="1"/>
  <c r="AD37" i="1"/>
  <c r="AA37" i="1"/>
  <c r="Z37" i="1"/>
  <c r="V37" i="1"/>
  <c r="W37" i="1" s="1"/>
  <c r="U37" i="1"/>
  <c r="N37" i="1"/>
  <c r="J37" i="1"/>
  <c r="AT37" i="1" s="1"/>
  <c r="H37" i="1"/>
  <c r="F37" i="1"/>
  <c r="BB37" i="1" s="1"/>
  <c r="AK36" i="1"/>
  <c r="AD36" i="1"/>
  <c r="AM36" i="1" s="1"/>
  <c r="AJ36" i="1" s="1"/>
  <c r="Z36" i="1"/>
  <c r="V36" i="1"/>
  <c r="W36" i="1" s="1"/>
  <c r="AC36" i="1" s="1"/>
  <c r="N36" i="1"/>
  <c r="J36" i="1"/>
  <c r="AT36" i="1" s="1"/>
  <c r="H36" i="1"/>
  <c r="R36" i="1" s="1"/>
  <c r="F36" i="1"/>
  <c r="AK35" i="1"/>
  <c r="AD35" i="1"/>
  <c r="AA35" i="1"/>
  <c r="Z35" i="1"/>
  <c r="AB35" i="1" s="1"/>
  <c r="V35" i="1"/>
  <c r="W35" i="1" s="1"/>
  <c r="U35" i="1"/>
  <c r="N35" i="1"/>
  <c r="J35" i="1"/>
  <c r="AT35" i="1" s="1"/>
  <c r="H35" i="1"/>
  <c r="F35" i="1"/>
  <c r="BB35" i="1" s="1"/>
  <c r="AK34" i="1"/>
  <c r="AD34" i="1"/>
  <c r="AM34" i="1" s="1"/>
  <c r="AJ34" i="1" s="1"/>
  <c r="Z34" i="1"/>
  <c r="V34" i="1"/>
  <c r="W34" i="1" s="1"/>
  <c r="AC34" i="1" s="1"/>
  <c r="N34" i="1"/>
  <c r="J34" i="1"/>
  <c r="AT34" i="1" s="1"/>
  <c r="H34" i="1"/>
  <c r="R34" i="1" s="1"/>
  <c r="F34" i="1"/>
  <c r="AK33" i="1"/>
  <c r="AM33" i="1" s="1"/>
  <c r="AD33" i="1"/>
  <c r="AA33" i="1"/>
  <c r="Z33" i="1"/>
  <c r="V33" i="1"/>
  <c r="W33" i="1" s="1"/>
  <c r="AC33" i="1" s="1"/>
  <c r="U33" i="1"/>
  <c r="N33" i="1"/>
  <c r="J33" i="1"/>
  <c r="AT33" i="1" s="1"/>
  <c r="H33" i="1"/>
  <c r="F33" i="1"/>
  <c r="BB33" i="1" s="1"/>
  <c r="AK32" i="1"/>
  <c r="AD32" i="1"/>
  <c r="AA32" i="1"/>
  <c r="Z32" i="1"/>
  <c r="V32" i="1"/>
  <c r="W32" i="1" s="1"/>
  <c r="U32" i="1"/>
  <c r="N32" i="1"/>
  <c r="J32" i="1"/>
  <c r="AT32" i="1" s="1"/>
  <c r="H32" i="1"/>
  <c r="F32" i="1"/>
  <c r="BB32" i="1" s="1"/>
  <c r="AK31" i="1"/>
  <c r="AD31" i="1"/>
  <c r="AA31" i="1"/>
  <c r="Z31" i="1"/>
  <c r="AB31" i="1" s="1"/>
  <c r="V31" i="1"/>
  <c r="W31" i="1" s="1"/>
  <c r="U31" i="1"/>
  <c r="N31" i="1"/>
  <c r="J31" i="1"/>
  <c r="AT31" i="1" s="1"/>
  <c r="H31" i="1"/>
  <c r="F31" i="1"/>
  <c r="BB31" i="1" s="1"/>
  <c r="AK30" i="1"/>
  <c r="AD30" i="1"/>
  <c r="AM30" i="1" s="1"/>
  <c r="AJ30" i="1" s="1"/>
  <c r="AA30" i="1"/>
  <c r="Z30" i="1"/>
  <c r="AB30" i="1" s="1"/>
  <c r="V30" i="1"/>
  <c r="W30" i="1" s="1"/>
  <c r="AC30" i="1" s="1"/>
  <c r="U30" i="1"/>
  <c r="N30" i="1"/>
  <c r="J30" i="1"/>
  <c r="AT30" i="1" s="1"/>
  <c r="H30" i="1"/>
  <c r="F30" i="1"/>
  <c r="BB30" i="1" s="1"/>
  <c r="AK29" i="1"/>
  <c r="AD29" i="1"/>
  <c r="AA29" i="1"/>
  <c r="AB29" i="1" s="1"/>
  <c r="Z29" i="1"/>
  <c r="V29" i="1"/>
  <c r="W29" i="1" s="1"/>
  <c r="U29" i="1"/>
  <c r="N29" i="1"/>
  <c r="J29" i="1"/>
  <c r="AT29" i="1" s="1"/>
  <c r="H29" i="1"/>
  <c r="F29" i="1"/>
  <c r="BB29" i="1" s="1"/>
  <c r="AK28" i="1"/>
  <c r="AD28" i="1"/>
  <c r="AA28" i="1"/>
  <c r="Z28" i="1"/>
  <c r="V28" i="1"/>
  <c r="W28" i="1" s="1"/>
  <c r="U28" i="1"/>
  <c r="N28" i="1"/>
  <c r="J28" i="1"/>
  <c r="AT28" i="1" s="1"/>
  <c r="H28" i="1"/>
  <c r="F28" i="1"/>
  <c r="BB28" i="1" s="1"/>
  <c r="AK27" i="1"/>
  <c r="AD27" i="1"/>
  <c r="AM27" i="1" s="1"/>
  <c r="Z27" i="1"/>
  <c r="V27" i="1"/>
  <c r="W27" i="1" s="1"/>
  <c r="AC27" i="1" s="1"/>
  <c r="R27" i="1"/>
  <c r="N27" i="1"/>
  <c r="J27" i="1"/>
  <c r="AT27" i="1" s="1"/>
  <c r="H27" i="1"/>
  <c r="F27" i="1"/>
  <c r="AK26" i="1"/>
  <c r="AD26" i="1"/>
  <c r="AA26" i="1"/>
  <c r="Z26" i="1"/>
  <c r="V26" i="1"/>
  <c r="W26" i="1" s="1"/>
  <c r="U26" i="1"/>
  <c r="N26" i="1"/>
  <c r="J26" i="1"/>
  <c r="AT26" i="1" s="1"/>
  <c r="H26" i="1"/>
  <c r="F26" i="1"/>
  <c r="BB26" i="1" s="1"/>
  <c r="AK25" i="1"/>
  <c r="AD25" i="1"/>
  <c r="AA25" i="1"/>
  <c r="Z25" i="1"/>
  <c r="V25" i="1"/>
  <c r="W25" i="1" s="1"/>
  <c r="U25" i="1"/>
  <c r="N25" i="1"/>
  <c r="J25" i="1"/>
  <c r="AT25" i="1" s="1"/>
  <c r="H25" i="1"/>
  <c r="F25" i="1"/>
  <c r="BB25" i="1" s="1"/>
  <c r="BB24" i="1"/>
  <c r="AK24" i="1"/>
  <c r="AD24" i="1"/>
  <c r="AA24" i="1"/>
  <c r="Z24" i="1"/>
  <c r="W24" i="1"/>
  <c r="AC24" i="1" s="1"/>
  <c r="V24" i="1"/>
  <c r="U24" i="1"/>
  <c r="N24" i="1"/>
  <c r="J24" i="1"/>
  <c r="AT24" i="1" s="1"/>
  <c r="H24" i="1"/>
  <c r="F24" i="1"/>
  <c r="AK23" i="1"/>
  <c r="AD23" i="1"/>
  <c r="AA23" i="1"/>
  <c r="Z23" i="1"/>
  <c r="AB23" i="1" s="1"/>
  <c r="V23" i="1"/>
  <c r="W23" i="1" s="1"/>
  <c r="AC23" i="1" s="1"/>
  <c r="U23" i="1"/>
  <c r="N23" i="1"/>
  <c r="J23" i="1"/>
  <c r="AT23" i="1" s="1"/>
  <c r="H23" i="1"/>
  <c r="F23" i="1"/>
  <c r="BB23" i="1" s="1"/>
  <c r="AK22" i="1"/>
  <c r="AD22" i="1"/>
  <c r="AA22" i="1"/>
  <c r="Z22" i="1"/>
  <c r="AB22" i="1" s="1"/>
  <c r="V22" i="1"/>
  <c r="W22" i="1" s="1"/>
  <c r="AC22" i="1" s="1"/>
  <c r="U22" i="1"/>
  <c r="N22" i="1"/>
  <c r="J22" i="1"/>
  <c r="AT22" i="1" s="1"/>
  <c r="H22" i="1"/>
  <c r="F22" i="1"/>
  <c r="BB22" i="1" s="1"/>
  <c r="AK21" i="1"/>
  <c r="AD21" i="1"/>
  <c r="AA21" i="1"/>
  <c r="Z21" i="1"/>
  <c r="AB21" i="1" s="1"/>
  <c r="V21" i="1"/>
  <c r="W21" i="1" s="1"/>
  <c r="U21" i="1"/>
  <c r="N21" i="1"/>
  <c r="J21" i="1"/>
  <c r="AT21" i="1" s="1"/>
  <c r="H21" i="1"/>
  <c r="F21" i="1"/>
  <c r="BB21" i="1" s="1"/>
  <c r="AT20" i="1"/>
  <c r="AK20" i="1"/>
  <c r="AD20" i="1"/>
  <c r="AA20" i="1"/>
  <c r="Z20" i="1"/>
  <c r="AB20" i="1" s="1"/>
  <c r="V20" i="1"/>
  <c r="W20" i="1" s="1"/>
  <c r="U20" i="1"/>
  <c r="N20" i="1"/>
  <c r="J20" i="1"/>
  <c r="H20" i="1"/>
  <c r="F20" i="1"/>
  <c r="BB20" i="1" s="1"/>
  <c r="AT19" i="1"/>
  <c r="AK19" i="1"/>
  <c r="AD19" i="1"/>
  <c r="AA19" i="1"/>
  <c r="Z19" i="1"/>
  <c r="V19" i="1"/>
  <c r="W19" i="1" s="1"/>
  <c r="U19" i="1"/>
  <c r="N19" i="1"/>
  <c r="J19" i="1"/>
  <c r="H19" i="1"/>
  <c r="F19" i="1"/>
  <c r="BB19" i="1" s="1"/>
  <c r="AK18" i="1"/>
  <c r="AD18" i="1"/>
  <c r="AA18" i="1"/>
  <c r="Z18" i="1"/>
  <c r="AB18" i="1" s="1"/>
  <c r="V18" i="1"/>
  <c r="W18" i="1" s="1"/>
  <c r="U18" i="1"/>
  <c r="N18" i="1"/>
  <c r="J18" i="1"/>
  <c r="AT18" i="1" s="1"/>
  <c r="H18" i="1"/>
  <c r="F18" i="1"/>
  <c r="BB18" i="1" s="1"/>
  <c r="AK17" i="1"/>
  <c r="AD17" i="1"/>
  <c r="AA17" i="1"/>
  <c r="Z17" i="1"/>
  <c r="AB17" i="1" s="1"/>
  <c r="V17" i="1"/>
  <c r="W17" i="1" s="1"/>
  <c r="U17" i="1"/>
  <c r="N17" i="1"/>
  <c r="J17" i="1"/>
  <c r="AT17" i="1" s="1"/>
  <c r="H17" i="1"/>
  <c r="F17" i="1"/>
  <c r="BB17" i="1" s="1"/>
  <c r="AK16" i="1"/>
  <c r="AD16" i="1"/>
  <c r="AA16" i="1"/>
  <c r="Z16" i="1"/>
  <c r="AB16" i="1" s="1"/>
  <c r="V16" i="1"/>
  <c r="W16" i="1" s="1"/>
  <c r="U16" i="1"/>
  <c r="N16" i="1"/>
  <c r="J16" i="1"/>
  <c r="AT16" i="1" s="1"/>
  <c r="H16" i="1"/>
  <c r="F16" i="1"/>
  <c r="BB16" i="1" s="1"/>
  <c r="BB15" i="1"/>
  <c r="AT15" i="1"/>
  <c r="AK15" i="1"/>
  <c r="AD15" i="1"/>
  <c r="AA15" i="1"/>
  <c r="Z15" i="1"/>
  <c r="V15" i="1"/>
  <c r="W15" i="1" s="1"/>
  <c r="U15" i="1"/>
  <c r="N15" i="1"/>
  <c r="J15" i="1"/>
  <c r="H15" i="1"/>
  <c r="F15" i="1"/>
  <c r="AH14" i="1"/>
  <c r="AF14" i="1"/>
  <c r="AA14" i="1"/>
  <c r="X14" i="1"/>
  <c r="V14" i="1"/>
  <c r="AK13" i="1"/>
  <c r="AD13" i="1"/>
  <c r="Z13" i="1"/>
  <c r="V13" i="1"/>
  <c r="W13" i="1" s="1"/>
  <c r="AC13" i="1" s="1"/>
  <c r="N13" i="1"/>
  <c r="J13" i="1"/>
  <c r="H13" i="1"/>
  <c r="R13" i="1" s="1"/>
  <c r="AA13" i="1" s="1"/>
  <c r="F13" i="1"/>
  <c r="AK12" i="1"/>
  <c r="AD12" i="1"/>
  <c r="Z12" i="1"/>
  <c r="V12" i="1"/>
  <c r="W12" i="1" s="1"/>
  <c r="AC12" i="1" s="1"/>
  <c r="N12" i="1"/>
  <c r="J12" i="1"/>
  <c r="H12" i="1"/>
  <c r="R12" i="1" s="1"/>
  <c r="F12" i="1"/>
  <c r="AK11" i="1"/>
  <c r="AD11" i="1"/>
  <c r="Z11" i="1"/>
  <c r="V11" i="1"/>
  <c r="W11" i="1" s="1"/>
  <c r="AC11" i="1" s="1"/>
  <c r="N11" i="1"/>
  <c r="J11" i="1"/>
  <c r="H11" i="1"/>
  <c r="R11" i="1" s="1"/>
  <c r="F11" i="1"/>
  <c r="BB10" i="1"/>
  <c r="AK10" i="1"/>
  <c r="AD10" i="1"/>
  <c r="AA10" i="1"/>
  <c r="Z10" i="1"/>
  <c r="V10" i="1"/>
  <c r="W10" i="1" s="1"/>
  <c r="AC10" i="1" s="1"/>
  <c r="U10" i="1"/>
  <c r="N10" i="1"/>
  <c r="J10" i="1"/>
  <c r="H10" i="1"/>
  <c r="F10" i="1"/>
  <c r="AK9" i="1"/>
  <c r="AD9" i="1"/>
  <c r="AM9" i="1" s="1"/>
  <c r="AA9" i="1"/>
  <c r="Z9" i="1"/>
  <c r="V9" i="1"/>
  <c r="W9" i="1" s="1"/>
  <c r="U9" i="1"/>
  <c r="N9" i="1"/>
  <c r="J9" i="1"/>
  <c r="H9" i="1"/>
  <c r="F9" i="1"/>
  <c r="BB9" i="1" s="1"/>
  <c r="AK8" i="1"/>
  <c r="AD8" i="1"/>
  <c r="AA8" i="1"/>
  <c r="Z8" i="1"/>
  <c r="AB8" i="1" s="1"/>
  <c r="V8" i="1"/>
  <c r="W8" i="1" s="1"/>
  <c r="AC8" i="1" s="1"/>
  <c r="U8" i="1"/>
  <c r="N8" i="1"/>
  <c r="J8" i="1"/>
  <c r="H8" i="1"/>
  <c r="F8" i="1"/>
  <c r="BB8" i="1" s="1"/>
  <c r="AK7" i="1"/>
  <c r="AD7" i="1"/>
  <c r="AM7" i="1" s="1"/>
  <c r="AA7" i="1"/>
  <c r="Z7" i="1"/>
  <c r="V7" i="1"/>
  <c r="W7" i="1" s="1"/>
  <c r="AC7" i="1" s="1"/>
  <c r="U7" i="1"/>
  <c r="N7" i="1"/>
  <c r="J7" i="1"/>
  <c r="H7" i="1"/>
  <c r="F7" i="1"/>
  <c r="BB7" i="1" s="1"/>
  <c r="AK6" i="1"/>
  <c r="AD6" i="1"/>
  <c r="AM6" i="1" s="1"/>
  <c r="AA6" i="1"/>
  <c r="Z6" i="1"/>
  <c r="AB6" i="1" s="1"/>
  <c r="V6" i="1"/>
  <c r="W6" i="1" s="1"/>
  <c r="AC6" i="1" s="1"/>
  <c r="U6" i="1"/>
  <c r="N6" i="1"/>
  <c r="J6" i="1"/>
  <c r="H6" i="1"/>
  <c r="F6" i="1"/>
  <c r="BB6" i="1" s="1"/>
  <c r="AK5" i="1"/>
  <c r="AD5" i="1"/>
  <c r="AM5" i="1" s="1"/>
  <c r="AA5" i="1"/>
  <c r="Z5" i="1"/>
  <c r="V5" i="1"/>
  <c r="W5" i="1" s="1"/>
  <c r="AC5" i="1" s="1"/>
  <c r="U5" i="1"/>
  <c r="N5" i="1"/>
  <c r="J5" i="1"/>
  <c r="H5" i="1"/>
  <c r="F5" i="1"/>
  <c r="BB5" i="1" s="1"/>
  <c r="AK4" i="1"/>
  <c r="AD4" i="1"/>
  <c r="AA4" i="1"/>
  <c r="Z4" i="1"/>
  <c r="V4" i="1"/>
  <c r="W4" i="1" s="1"/>
  <c r="U4" i="1"/>
  <c r="N4" i="1"/>
  <c r="J4" i="1"/>
  <c r="H4" i="1"/>
  <c r="F4" i="1"/>
  <c r="AF1" i="1"/>
  <c r="AJ280" i="1" l="1"/>
  <c r="AP280" i="1"/>
  <c r="U74" i="1"/>
  <c r="AA74" i="1"/>
  <c r="U154" i="1"/>
  <c r="AA154" i="1"/>
  <c r="AB154" i="1"/>
  <c r="AC55" i="1"/>
  <c r="AC73" i="1"/>
  <c r="AC79" i="1"/>
  <c r="AM99" i="1"/>
  <c r="AJ99" i="1" s="1"/>
  <c r="AB129" i="1"/>
  <c r="AM173" i="1"/>
  <c r="BB185" i="1"/>
  <c r="AC207" i="1"/>
  <c r="AM208" i="1"/>
  <c r="AC98" i="1"/>
  <c r="AP105" i="1"/>
  <c r="AV105" i="1" s="1"/>
  <c r="AC120" i="1"/>
  <c r="AM122" i="1"/>
  <c r="AJ122" i="1" s="1"/>
  <c r="AB150" i="1"/>
  <c r="AC157" i="1"/>
  <c r="AM161" i="1"/>
  <c r="AB164" i="1"/>
  <c r="AC247" i="1"/>
  <c r="AM252" i="1"/>
  <c r="AB303" i="1"/>
  <c r="AM35" i="1"/>
  <c r="AJ35" i="1" s="1"/>
  <c r="AM38" i="1"/>
  <c r="AM41" i="1"/>
  <c r="AM52" i="1"/>
  <c r="AC58" i="1"/>
  <c r="AM65" i="1"/>
  <c r="AJ65" i="1" s="1"/>
  <c r="AC70" i="1"/>
  <c r="AB207" i="1"/>
  <c r="AB239" i="1"/>
  <c r="AA247" i="1"/>
  <c r="AB247" i="1" s="1"/>
  <c r="W256" i="1"/>
  <c r="AB265" i="1"/>
  <c r="Z278" i="1"/>
  <c r="AC284" i="1"/>
  <c r="AB318" i="1"/>
  <c r="AB331" i="1"/>
  <c r="AC341" i="1"/>
  <c r="AM342" i="1"/>
  <c r="AM346" i="1"/>
  <c r="AJ346" i="1" s="1"/>
  <c r="AJ79" i="1"/>
  <c r="AC85" i="1"/>
  <c r="AM136" i="1"/>
  <c r="AM146" i="1"/>
  <c r="AC153" i="1"/>
  <c r="AM154" i="1"/>
  <c r="AC160" i="1"/>
  <c r="AM179" i="1"/>
  <c r="AC189" i="1"/>
  <c r="AM220" i="1"/>
  <c r="AC295" i="1"/>
  <c r="AC305" i="1"/>
  <c r="AC314" i="1"/>
  <c r="AC321" i="1"/>
  <c r="AB349" i="1"/>
  <c r="AB246" i="1"/>
  <c r="AM262" i="1"/>
  <c r="AC267" i="1"/>
  <c r="AB279" i="1"/>
  <c r="AC298" i="1"/>
  <c r="AC317" i="1"/>
  <c r="AM318" i="1"/>
  <c r="AP318" i="1" s="1"/>
  <c r="AC334" i="1"/>
  <c r="AM345" i="1"/>
  <c r="AM98" i="1"/>
  <c r="AC100" i="1"/>
  <c r="AC110" i="1"/>
  <c r="AB144" i="1"/>
  <c r="AM145" i="1"/>
  <c r="AC148" i="1"/>
  <c r="AA185" i="1"/>
  <c r="AB185" i="1" s="1"/>
  <c r="AB192" i="1"/>
  <c r="AC216" i="1"/>
  <c r="AB219" i="1"/>
  <c r="J312" i="1"/>
  <c r="AT312" i="1" s="1"/>
  <c r="AM44" i="1"/>
  <c r="AP44" i="1" s="1"/>
  <c r="AM85" i="1"/>
  <c r="AJ85" i="1" s="1"/>
  <c r="BB87" i="1"/>
  <c r="AC88" i="1"/>
  <c r="AB89" i="1"/>
  <c r="AB110" i="1"/>
  <c r="AB127" i="1"/>
  <c r="AC139" i="1"/>
  <c r="AP160" i="1"/>
  <c r="BB165" i="1"/>
  <c r="AM171" i="1"/>
  <c r="AM181" i="1"/>
  <c r="AP181" i="1" s="1"/>
  <c r="AV181" i="1" s="1"/>
  <c r="AC188" i="1"/>
  <c r="AB195" i="1"/>
  <c r="AM206" i="1"/>
  <c r="AC213" i="1"/>
  <c r="AB216" i="1"/>
  <c r="AM219" i="1"/>
  <c r="N226" i="1"/>
  <c r="AC225" i="1"/>
  <c r="AB233" i="1"/>
  <c r="AC245" i="1"/>
  <c r="AM246" i="1"/>
  <c r="AM284" i="1"/>
  <c r="AM295" i="1"/>
  <c r="AM310" i="1"/>
  <c r="AB313" i="1"/>
  <c r="AB334" i="1"/>
  <c r="AB340" i="1"/>
  <c r="AM261" i="1"/>
  <c r="AB287" i="1"/>
  <c r="AB301" i="1"/>
  <c r="AC309" i="1"/>
  <c r="AM317" i="1"/>
  <c r="AM334" i="1"/>
  <c r="AM29" i="1"/>
  <c r="AC39" i="1"/>
  <c r="AM51" i="1"/>
  <c r="AJ51" i="1" s="1"/>
  <c r="AM57" i="1"/>
  <c r="AM93" i="1"/>
  <c r="AC96" i="1"/>
  <c r="AM100" i="1"/>
  <c r="AP100" i="1" s="1"/>
  <c r="AB103" i="1"/>
  <c r="AM119" i="1"/>
  <c r="AJ119" i="1" s="1"/>
  <c r="AC138" i="1"/>
  <c r="U143" i="1"/>
  <c r="AB159" i="1"/>
  <c r="AB162" i="1"/>
  <c r="AB166" i="1"/>
  <c r="AC205" i="1"/>
  <c r="AP225" i="1"/>
  <c r="N229" i="1"/>
  <c r="AD328" i="1"/>
  <c r="AM8" i="1"/>
  <c r="AJ8" i="1" s="1"/>
  <c r="AM46" i="1"/>
  <c r="AM11" i="1"/>
  <c r="AB24" i="1"/>
  <c r="AB49" i="1"/>
  <c r="J14" i="1"/>
  <c r="AM13" i="1"/>
  <c r="AP13" i="1" s="1"/>
  <c r="AB85" i="1"/>
  <c r="AM120" i="1"/>
  <c r="AH1" i="1"/>
  <c r="AB13" i="1"/>
  <c r="AC32" i="1"/>
  <c r="AB80" i="1"/>
  <c r="BB82" i="1"/>
  <c r="U187" i="1"/>
  <c r="AU256" i="1"/>
  <c r="AM283" i="1"/>
  <c r="AM294" i="1"/>
  <c r="BB315" i="1"/>
  <c r="AM320" i="1"/>
  <c r="AJ320" i="1" s="1"/>
  <c r="AC338" i="1"/>
  <c r="AB53" i="1"/>
  <c r="AM56" i="1"/>
  <c r="AM66" i="1"/>
  <c r="AC99" i="1"/>
  <c r="U105" i="1"/>
  <c r="AB147" i="1"/>
  <c r="AB205" i="1"/>
  <c r="F256" i="1"/>
  <c r="AB286" i="1"/>
  <c r="AC289" i="1"/>
  <c r="AC95" i="1"/>
  <c r="AM96" i="1"/>
  <c r="AJ96" i="1" s="1"/>
  <c r="AB109" i="1"/>
  <c r="AB113" i="1"/>
  <c r="AB117" i="1"/>
  <c r="AM143" i="1"/>
  <c r="AC154" i="1"/>
  <c r="AC158" i="1"/>
  <c r="AM166" i="1"/>
  <c r="AC169" i="1"/>
  <c r="AB180" i="1"/>
  <c r="AM184" i="1"/>
  <c r="AP184" i="1" s="1"/>
  <c r="AC200" i="1"/>
  <c r="AM215" i="1"/>
  <c r="AC240" i="1"/>
  <c r="AC255" i="1"/>
  <c r="AM297" i="1"/>
  <c r="N312" i="1"/>
  <c r="AV316" i="1"/>
  <c r="AB338" i="1"/>
  <c r="AA187" i="1"/>
  <c r="J256" i="1"/>
  <c r="AC268" i="1"/>
  <c r="N278" i="1"/>
  <c r="AB281" i="1"/>
  <c r="AM286" i="1"/>
  <c r="AB288" i="1"/>
  <c r="AC303" i="1"/>
  <c r="AC308" i="1"/>
  <c r="AM338" i="1"/>
  <c r="AJ338" i="1" s="1"/>
  <c r="AC346" i="1"/>
  <c r="AM347" i="1"/>
  <c r="AP98" i="1"/>
  <c r="AJ98" i="1"/>
  <c r="U102" i="1"/>
  <c r="AA102" i="1"/>
  <c r="AB102" i="1" s="1"/>
  <c r="AP33" i="1"/>
  <c r="AR33" i="1" s="1"/>
  <c r="AJ33" i="1"/>
  <c r="BB72" i="1"/>
  <c r="AA72" i="1"/>
  <c r="AB72" i="1" s="1"/>
  <c r="U72" i="1"/>
  <c r="AA178" i="1"/>
  <c r="AB178" i="1" s="1"/>
  <c r="BB178" i="1"/>
  <c r="U178" i="1"/>
  <c r="AP250" i="1"/>
  <c r="AJ250" i="1"/>
  <c r="AR293" i="1"/>
  <c r="AV293" i="1"/>
  <c r="AC214" i="1"/>
  <c r="AM37" i="1"/>
  <c r="AP37" i="1" s="1"/>
  <c r="AB73" i="1"/>
  <c r="AP139" i="1"/>
  <c r="AV139" i="1" s="1"/>
  <c r="AJ139" i="1"/>
  <c r="AJ143" i="1"/>
  <c r="AP143" i="1"/>
  <c r="Z81" i="1"/>
  <c r="AM25" i="1"/>
  <c r="AJ25" i="1" s="1"/>
  <c r="AC31" i="1"/>
  <c r="AP53" i="1"/>
  <c r="AR53" i="1" s="1"/>
  <c r="AC69" i="1"/>
  <c r="AP73" i="1"/>
  <c r="AR73" i="1" s="1"/>
  <c r="AJ73" i="1"/>
  <c r="AM80" i="1"/>
  <c r="AA87" i="1"/>
  <c r="AB87" i="1" s="1"/>
  <c r="U87" i="1"/>
  <c r="AC116" i="1"/>
  <c r="AJ160" i="1"/>
  <c r="AC195" i="1"/>
  <c r="AC128" i="1"/>
  <c r="AM192" i="1"/>
  <c r="AP192" i="1" s="1"/>
  <c r="AA218" i="1"/>
  <c r="AB218" i="1" s="1"/>
  <c r="U218" i="1"/>
  <c r="AM28" i="1"/>
  <c r="AP28" i="1" s="1"/>
  <c r="AB79" i="1"/>
  <c r="AP27" i="1"/>
  <c r="AV27" i="1" s="1"/>
  <c r="N106" i="1"/>
  <c r="AB128" i="1"/>
  <c r="Z14" i="1"/>
  <c r="AC17" i="1"/>
  <c r="AB42" i="1"/>
  <c r="AB51" i="1"/>
  <c r="BB56" i="1"/>
  <c r="AC57" i="1"/>
  <c r="AM58" i="1"/>
  <c r="AJ58" i="1" s="1"/>
  <c r="AM151" i="1"/>
  <c r="AP151" i="1" s="1"/>
  <c r="U153" i="1"/>
  <c r="BB153" i="1"/>
  <c r="AV115" i="1"/>
  <c r="AR115" i="1"/>
  <c r="AM124" i="1"/>
  <c r="AP124" i="1" s="1"/>
  <c r="AC127" i="1"/>
  <c r="AJ195" i="1"/>
  <c r="AP195" i="1"/>
  <c r="AA27" i="1"/>
  <c r="AB27" i="1" s="1"/>
  <c r="BB27" i="1"/>
  <c r="AJ93" i="1"/>
  <c r="AP93" i="1"/>
  <c r="AJ84" i="1"/>
  <c r="AB141" i="1"/>
  <c r="AC141" i="1"/>
  <c r="AB57" i="1"/>
  <c r="U77" i="1"/>
  <c r="BB77" i="1"/>
  <c r="AJ150" i="1"/>
  <c r="BB186" i="1"/>
  <c r="AA196" i="1"/>
  <c r="U196" i="1"/>
  <c r="AA217" i="1"/>
  <c r="AB217" i="1" s="1"/>
  <c r="U217" i="1"/>
  <c r="BB217" i="1"/>
  <c r="U100" i="1"/>
  <c r="BB100" i="1"/>
  <c r="AA100" i="1"/>
  <c r="AB100" i="1" s="1"/>
  <c r="AJ102" i="1"/>
  <c r="AP102" i="1"/>
  <c r="AV102" i="1" s="1"/>
  <c r="U27" i="1"/>
  <c r="U65" i="1"/>
  <c r="AB47" i="1"/>
  <c r="AM97" i="1"/>
  <c r="AB56" i="1"/>
  <c r="AD14" i="1"/>
  <c r="AJ68" i="1"/>
  <c r="AB95" i="1"/>
  <c r="AR150" i="1"/>
  <c r="AV150" i="1"/>
  <c r="AC37" i="1"/>
  <c r="AA40" i="1"/>
  <c r="AB40" i="1" s="1"/>
  <c r="BB40" i="1"/>
  <c r="AB74" i="1"/>
  <c r="AC123" i="1"/>
  <c r="U40" i="1"/>
  <c r="AM91" i="1"/>
  <c r="AC117" i="1"/>
  <c r="AC172" i="1"/>
  <c r="AB93" i="1"/>
  <c r="AB157" i="1"/>
  <c r="AC170" i="1"/>
  <c r="AJ252" i="1"/>
  <c r="AP252" i="1"/>
  <c r="AV252" i="1" s="1"/>
  <c r="AJ292" i="1"/>
  <c r="AP292" i="1"/>
  <c r="AP315" i="1"/>
  <c r="AR315" i="1" s="1"/>
  <c r="AJ315" i="1"/>
  <c r="AC21" i="1"/>
  <c r="AM23" i="1"/>
  <c r="AM32" i="1"/>
  <c r="AP32" i="1" s="1"/>
  <c r="AC59" i="1"/>
  <c r="AB60" i="1"/>
  <c r="AM61" i="1"/>
  <c r="AJ61" i="1" s="1"/>
  <c r="BB80" i="1"/>
  <c r="AC130" i="1"/>
  <c r="BB154" i="1"/>
  <c r="AC161" i="1"/>
  <c r="AC165" i="1"/>
  <c r="AB170" i="1"/>
  <c r="AC174" i="1"/>
  <c r="AM183" i="1"/>
  <c r="AP220" i="1"/>
  <c r="AR220" i="1" s="1"/>
  <c r="AJ220" i="1"/>
  <c r="AJ243" i="1"/>
  <c r="AP243" i="1"/>
  <c r="AR243" i="1" s="1"/>
  <c r="BB169" i="1"/>
  <c r="U169" i="1"/>
  <c r="AJ265" i="1"/>
  <c r="AP265" i="1"/>
  <c r="AR265" i="1" s="1"/>
  <c r="AJ336" i="1"/>
  <c r="AP336" i="1"/>
  <c r="AV336" i="1" s="1"/>
  <c r="AB5" i="1"/>
  <c r="AM10" i="1"/>
  <c r="AB15" i="1"/>
  <c r="AM16" i="1"/>
  <c r="AC20" i="1"/>
  <c r="AM21" i="1"/>
  <c r="AP21" i="1" s="1"/>
  <c r="AV21" i="1" s="1"/>
  <c r="AB26" i="1"/>
  <c r="AM55" i="1"/>
  <c r="AM60" i="1"/>
  <c r="AJ60" i="1" s="1"/>
  <c r="U80" i="1"/>
  <c r="AM87" i="1"/>
  <c r="AJ87" i="1" s="1"/>
  <c r="AM109" i="1"/>
  <c r="AP109" i="1" s="1"/>
  <c r="AC113" i="1"/>
  <c r="AC137" i="1"/>
  <c r="AB139" i="1"/>
  <c r="AB152" i="1"/>
  <c r="AC164" i="1"/>
  <c r="AM178" i="1"/>
  <c r="AM189" i="1"/>
  <c r="AJ189" i="1" s="1"/>
  <c r="AP345" i="1"/>
  <c r="AJ345" i="1"/>
  <c r="AP349" i="1"/>
  <c r="AV349" i="1" s="1"/>
  <c r="AJ349" i="1"/>
  <c r="AB62" i="1"/>
  <c r="AP122" i="1"/>
  <c r="AJ157" i="1"/>
  <c r="AP157" i="1"/>
  <c r="BB184" i="1"/>
  <c r="AA184" i="1"/>
  <c r="AB184" i="1" s="1"/>
  <c r="U184" i="1"/>
  <c r="AA191" i="1"/>
  <c r="AB191" i="1" s="1"/>
  <c r="BB191" i="1"/>
  <c r="AM59" i="1"/>
  <c r="AP59" i="1" s="1"/>
  <c r="AM114" i="1"/>
  <c r="AJ114" i="1" s="1"/>
  <c r="AB125" i="1"/>
  <c r="AM152" i="1"/>
  <c r="AP152" i="1" s="1"/>
  <c r="AJ181" i="1"/>
  <c r="U191" i="1"/>
  <c r="AB9" i="1"/>
  <c r="AM20" i="1"/>
  <c r="AJ20" i="1" s="1"/>
  <c r="AC42" i="1"/>
  <c r="AB48" i="1"/>
  <c r="AM54" i="1"/>
  <c r="AC104" i="1"/>
  <c r="AJ108" i="1"/>
  <c r="AC132" i="1"/>
  <c r="AC155" i="1"/>
  <c r="AM177" i="1"/>
  <c r="AB188" i="1"/>
  <c r="AA190" i="1"/>
  <c r="AB190" i="1" s="1"/>
  <c r="BB190" i="1"/>
  <c r="U190" i="1"/>
  <c r="AB203" i="1"/>
  <c r="BB206" i="1"/>
  <c r="AA206" i="1"/>
  <c r="AB206" i="1" s="1"/>
  <c r="AA306" i="1"/>
  <c r="U306" i="1"/>
  <c r="AJ317" i="1"/>
  <c r="AP317" i="1"/>
  <c r="AC224" i="1"/>
  <c r="AC244" i="1"/>
  <c r="AB244" i="1"/>
  <c r="U206" i="1"/>
  <c r="BB243" i="1"/>
  <c r="AA243" i="1"/>
  <c r="AB243" i="1" s="1"/>
  <c r="U243" i="1"/>
  <c r="AB274" i="1"/>
  <c r="AB171" i="1"/>
  <c r="AB210" i="1"/>
  <c r="AB211" i="1"/>
  <c r="AM212" i="1"/>
  <c r="BB218" i="1"/>
  <c r="AC220" i="1"/>
  <c r="AB230" i="1"/>
  <c r="AK253" i="1"/>
  <c r="AC243" i="1"/>
  <c r="AC252" i="1"/>
  <c r="AP254" i="1"/>
  <c r="AR254" i="1" s="1"/>
  <c r="AC265" i="1"/>
  <c r="AC272" i="1"/>
  <c r="AV281" i="1"/>
  <c r="AT289" i="1"/>
  <c r="AM299" i="1"/>
  <c r="AD322" i="1"/>
  <c r="AM344" i="1"/>
  <c r="AP344" i="1" s="1"/>
  <c r="AC348" i="1"/>
  <c r="AT254" i="1"/>
  <c r="AK271" i="1"/>
  <c r="J290" i="1"/>
  <c r="AK307" i="1"/>
  <c r="AC324" i="1"/>
  <c r="AC329" i="1"/>
  <c r="AB343" i="1"/>
  <c r="AB348" i="1"/>
  <c r="AK238" i="1"/>
  <c r="AM235" i="1"/>
  <c r="BB254" i="1"/>
  <c r="AB259" i="1"/>
  <c r="AM287" i="1"/>
  <c r="W328" i="1"/>
  <c r="AC264" i="1"/>
  <c r="AM268" i="1"/>
  <c r="AJ268" i="1" s="1"/>
  <c r="AB276" i="1"/>
  <c r="AM298" i="1"/>
  <c r="AM307" i="1" s="1"/>
  <c r="AC301" i="1"/>
  <c r="AC310" i="1"/>
  <c r="AB323" i="1"/>
  <c r="AB324" i="1"/>
  <c r="AP337" i="1"/>
  <c r="AC343" i="1"/>
  <c r="AM348" i="1"/>
  <c r="BB235" i="1"/>
  <c r="F271" i="1"/>
  <c r="AD278" i="1"/>
  <c r="W322" i="1"/>
  <c r="AM132" i="1"/>
  <c r="AP132" i="1" s="1"/>
  <c r="AM140" i="1"/>
  <c r="AP140" i="1" s="1"/>
  <c r="AC146" i="1"/>
  <c r="AM170" i="1"/>
  <c r="AB175" i="1"/>
  <c r="AB194" i="1"/>
  <c r="F222" i="1"/>
  <c r="AM214" i="1"/>
  <c r="AC228" i="1"/>
  <c r="AC249" i="1"/>
  <c r="AM264" i="1"/>
  <c r="AM285" i="1"/>
  <c r="AP285" i="1" s="1"/>
  <c r="AR285" i="1" s="1"/>
  <c r="AB296" i="1"/>
  <c r="AB306" i="1"/>
  <c r="AM311" i="1"/>
  <c r="AJ311" i="1" s="1"/>
  <c r="AC319" i="1"/>
  <c r="AC323" i="1"/>
  <c r="AC332" i="1"/>
  <c r="AB342" i="1"/>
  <c r="AM343" i="1"/>
  <c r="AP343" i="1" s="1"/>
  <c r="AB228" i="1"/>
  <c r="AM234" i="1"/>
  <c r="AM242" i="1"/>
  <c r="AC274" i="1"/>
  <c r="AC280" i="1"/>
  <c r="AC283" i="1"/>
  <c r="AV209" i="1"/>
  <c r="AM12" i="1"/>
  <c r="AO12" i="1" s="1"/>
  <c r="AC18" i="1"/>
  <c r="AM19" i="1"/>
  <c r="AJ19" i="1" s="1"/>
  <c r="AB25" i="1"/>
  <c r="AM26" i="1"/>
  <c r="AP26" i="1" s="1"/>
  <c r="AV26" i="1" s="1"/>
  <c r="AC29" i="1"/>
  <c r="AC35" i="1"/>
  <c r="AC52" i="1"/>
  <c r="AB58" i="1"/>
  <c r="AM72" i="1"/>
  <c r="AB108" i="1"/>
  <c r="AM111" i="1"/>
  <c r="AB118" i="1"/>
  <c r="AB131" i="1"/>
  <c r="AB145" i="1"/>
  <c r="AB146" i="1"/>
  <c r="AM148" i="1"/>
  <c r="AP148" i="1" s="1"/>
  <c r="AM163" i="1"/>
  <c r="AM223" i="1"/>
  <c r="N307" i="1"/>
  <c r="N352" i="1"/>
  <c r="AM180" i="1"/>
  <c r="AP180" i="1" s="1"/>
  <c r="AV180" i="1" s="1"/>
  <c r="AM228" i="1"/>
  <c r="AB241" i="1"/>
  <c r="AP244" i="1"/>
  <c r="AC248" i="1"/>
  <c r="AC282" i="1"/>
  <c r="AB283" i="1"/>
  <c r="AJ316" i="1"/>
  <c r="AM319" i="1"/>
  <c r="AP319" i="1" s="1"/>
  <c r="AM323" i="1"/>
  <c r="AJ323" i="1" s="1"/>
  <c r="AB346" i="1"/>
  <c r="W278" i="1"/>
  <c r="AC278" i="1" s="1"/>
  <c r="AC292" i="1"/>
  <c r="AB295" i="1"/>
  <c r="AM309" i="1"/>
  <c r="AP309" i="1" s="1"/>
  <c r="AM332" i="1"/>
  <c r="AC340" i="1"/>
  <c r="AB345" i="1"/>
  <c r="AM191" i="1"/>
  <c r="F226" i="1"/>
  <c r="N238" i="1"/>
  <c r="AD256" i="1"/>
  <c r="AM267" i="1"/>
  <c r="AP267" i="1" s="1"/>
  <c r="AC269" i="1"/>
  <c r="AM270" i="1"/>
  <c r="AB282" i="1"/>
  <c r="AC288" i="1"/>
  <c r="J307" i="1"/>
  <c r="AB294" i="1"/>
  <c r="AM296" i="1"/>
  <c r="AC304" i="1"/>
  <c r="AB314" i="1"/>
  <c r="Z328" i="1"/>
  <c r="AC339" i="1"/>
  <c r="AB116" i="1"/>
  <c r="AB130" i="1"/>
  <c r="AM131" i="1"/>
  <c r="AP131" i="1" s="1"/>
  <c r="AM162" i="1"/>
  <c r="AB168" i="1"/>
  <c r="N14" i="1"/>
  <c r="AM18" i="1"/>
  <c r="AJ18" i="1" s="1"/>
  <c r="AM24" i="1"/>
  <c r="AP24" i="1" s="1"/>
  <c r="AR24" i="1" s="1"/>
  <c r="AC28" i="1"/>
  <c r="AB38" i="1"/>
  <c r="AM62" i="1"/>
  <c r="AB70" i="1"/>
  <c r="BB79" i="1"/>
  <c r="AB88" i="1"/>
  <c r="AM101" i="1"/>
  <c r="AM117" i="1"/>
  <c r="AP117" i="1" s="1"/>
  <c r="AC124" i="1"/>
  <c r="AM125" i="1"/>
  <c r="AJ125" i="1" s="1"/>
  <c r="AM144" i="1"/>
  <c r="AJ144" i="1" s="1"/>
  <c r="AM153" i="1"/>
  <c r="AJ153" i="1" s="1"/>
  <c r="AM155" i="1"/>
  <c r="AP155" i="1" s="1"/>
  <c r="AM233" i="1"/>
  <c r="AM241" i="1"/>
  <c r="AJ241" i="1" s="1"/>
  <c r="AK256" i="1"/>
  <c r="AC260" i="1"/>
  <c r="AK275" i="1"/>
  <c r="N81" i="1"/>
  <c r="AC16" i="1"/>
  <c r="AM22" i="1"/>
  <c r="AB28" i="1"/>
  <c r="AM39" i="1"/>
  <c r="AP39" i="1" s="1"/>
  <c r="AV39" i="1" s="1"/>
  <c r="AC43" i="1"/>
  <c r="AM45" i="1"/>
  <c r="AP45" i="1" s="1"/>
  <c r="AR45" i="1" s="1"/>
  <c r="AC49" i="1"/>
  <c r="AC56" i="1"/>
  <c r="AC65" i="1"/>
  <c r="AC76" i="1"/>
  <c r="AK106" i="1"/>
  <c r="AB114" i="1"/>
  <c r="AM135" i="1"/>
  <c r="AC142" i="1"/>
  <c r="AC152" i="1"/>
  <c r="AM168" i="1"/>
  <c r="AJ168" i="1" s="1"/>
  <c r="AC173" i="1"/>
  <c r="AB183" i="1"/>
  <c r="AM198" i="1"/>
  <c r="AJ198" i="1" s="1"/>
  <c r="AM204" i="1"/>
  <c r="AJ204" i="1" s="1"/>
  <c r="AB212" i="1"/>
  <c r="AM227" i="1"/>
  <c r="AM229" i="1" s="1"/>
  <c r="AM232" i="1"/>
  <c r="AJ232" i="1" s="1"/>
  <c r="U235" i="1"/>
  <c r="AM255" i="1"/>
  <c r="AC266" i="1"/>
  <c r="W275" i="1"/>
  <c r="AC275" i="1" s="1"/>
  <c r="AC287" i="1"/>
  <c r="AB335" i="1"/>
  <c r="AC344" i="1"/>
  <c r="AC351" i="1"/>
  <c r="BB12" i="1"/>
  <c r="U12" i="1"/>
  <c r="AA12" i="1"/>
  <c r="AB12" i="1" s="1"/>
  <c r="W81" i="1"/>
  <c r="AC15" i="1"/>
  <c r="AJ23" i="1"/>
  <c r="AP23" i="1"/>
  <c r="AA36" i="1"/>
  <c r="AB36" i="1" s="1"/>
  <c r="U36" i="1"/>
  <c r="BB36" i="1"/>
  <c r="AJ56" i="1"/>
  <c r="AP56" i="1"/>
  <c r="AT10" i="1"/>
  <c r="AJ10" i="1"/>
  <c r="AP10" i="1"/>
  <c r="AO10" i="1"/>
  <c r="AJ28" i="1"/>
  <c r="AO5" i="1"/>
  <c r="AJ5" i="1"/>
  <c r="AT5" i="1"/>
  <c r="AP5" i="1"/>
  <c r="AJ32" i="1"/>
  <c r="AP61" i="1"/>
  <c r="AV13" i="1"/>
  <c r="AA66" i="1"/>
  <c r="AB66" i="1" s="1"/>
  <c r="BB66" i="1"/>
  <c r="U66" i="1"/>
  <c r="U11" i="1"/>
  <c r="AA11" i="1"/>
  <c r="AB11" i="1" s="1"/>
  <c r="BB11" i="1"/>
  <c r="AP54" i="1"/>
  <c r="AJ54" i="1"/>
  <c r="AJ41" i="1"/>
  <c r="AP41" i="1"/>
  <c r="AP47" i="1"/>
  <c r="AJ47" i="1"/>
  <c r="AP16" i="1"/>
  <c r="AJ16" i="1"/>
  <c r="AP52" i="1"/>
  <c r="AJ52" i="1"/>
  <c r="AJ66" i="1"/>
  <c r="AP66" i="1"/>
  <c r="AJ91" i="1"/>
  <c r="AP91" i="1"/>
  <c r="AJ64" i="1"/>
  <c r="AP64" i="1"/>
  <c r="AP9" i="1"/>
  <c r="AT9" i="1"/>
  <c r="AJ9" i="1"/>
  <c r="AO9" i="1"/>
  <c r="AO7" i="1"/>
  <c r="AT7" i="1" s="1"/>
  <c r="AP7" i="1"/>
  <c r="AV7" i="1" s="1"/>
  <c r="AJ7" i="1"/>
  <c r="AJ29" i="1"/>
  <c r="AP29" i="1"/>
  <c r="AJ46" i="1"/>
  <c r="AP46" i="1"/>
  <c r="AP71" i="1"/>
  <c r="AJ71" i="1"/>
  <c r="AP90" i="1"/>
  <c r="AJ90" i="1"/>
  <c r="AP6" i="1"/>
  <c r="AT6" i="1"/>
  <c r="AJ6" i="1"/>
  <c r="AO6" i="1"/>
  <c r="AJ62" i="1"/>
  <c r="AP62" i="1"/>
  <c r="W14" i="1"/>
  <c r="AC14" i="1" s="1"/>
  <c r="AP18" i="1"/>
  <c r="AO11" i="1"/>
  <c r="AJ11" i="1"/>
  <c r="AT11" i="1"/>
  <c r="AP11" i="1"/>
  <c r="BB54" i="1"/>
  <c r="AA54" i="1"/>
  <c r="AB54" i="1" s="1"/>
  <c r="U54" i="1"/>
  <c r="AJ57" i="1"/>
  <c r="AP57" i="1"/>
  <c r="AB111" i="1"/>
  <c r="Z201" i="1"/>
  <c r="AK14" i="1"/>
  <c r="BB64" i="1"/>
  <c r="U64" i="1"/>
  <c r="AA64" i="1"/>
  <c r="AB64" i="1" s="1"/>
  <c r="AJ43" i="1"/>
  <c r="AP43" i="1"/>
  <c r="BB39" i="1"/>
  <c r="U39" i="1"/>
  <c r="AA39" i="1"/>
  <c r="AB39" i="1" s="1"/>
  <c r="AA78" i="1"/>
  <c r="AB78" i="1" s="1"/>
  <c r="U78" i="1"/>
  <c r="BB78" i="1"/>
  <c r="Z106" i="1"/>
  <c r="W201" i="1"/>
  <c r="AC107" i="1"/>
  <c r="U126" i="1"/>
  <c r="BB126" i="1"/>
  <c r="AA126" i="1"/>
  <c r="AB126" i="1" s="1"/>
  <c r="BB50" i="1"/>
  <c r="U50" i="1"/>
  <c r="AP76" i="1"/>
  <c r="AC4" i="1"/>
  <c r="AB7" i="1"/>
  <c r="AB10" i="1"/>
  <c r="U13" i="1"/>
  <c r="BB13" i="1"/>
  <c r="AP34" i="1"/>
  <c r="AC50" i="1"/>
  <c r="AC51" i="1"/>
  <c r="BB60" i="1"/>
  <c r="U60" i="1"/>
  <c r="BB63" i="1"/>
  <c r="AV68" i="1"/>
  <c r="AV73" i="1"/>
  <c r="AM82" i="1"/>
  <c r="AC83" i="1"/>
  <c r="AV84" i="1"/>
  <c r="AR84" i="1"/>
  <c r="AP111" i="1"/>
  <c r="AJ111" i="1"/>
  <c r="AO13" i="1"/>
  <c r="AR13" i="1" s="1"/>
  <c r="AJ44" i="1"/>
  <c r="AB19" i="1"/>
  <c r="AP86" i="1"/>
  <c r="AJ86" i="1"/>
  <c r="AC19" i="1"/>
  <c r="AV33" i="1"/>
  <c r="AB37" i="1"/>
  <c r="AP83" i="1"/>
  <c r="AJ83" i="1"/>
  <c r="W106" i="1"/>
  <c r="AR108" i="1"/>
  <c r="AV108" i="1"/>
  <c r="AP121" i="1"/>
  <c r="AJ121" i="1"/>
  <c r="AR122" i="1"/>
  <c r="AV122" i="1"/>
  <c r="AP128" i="1"/>
  <c r="AJ128" i="1"/>
  <c r="AT8" i="1"/>
  <c r="AJ27" i="1"/>
  <c r="AP35" i="1"/>
  <c r="AP36" i="1"/>
  <c r="AC41" i="1"/>
  <c r="BB46" i="1"/>
  <c r="AA50" i="1"/>
  <c r="AB50" i="1" s="1"/>
  <c r="AC60" i="1"/>
  <c r="BB67" i="1"/>
  <c r="U67" i="1"/>
  <c r="BB69" i="1"/>
  <c r="U69" i="1"/>
  <c r="AA69" i="1"/>
  <c r="AB69" i="1" s="1"/>
  <c r="AP75" i="1"/>
  <c r="AJ75" i="1"/>
  <c r="AJ48" i="1"/>
  <c r="AP48" i="1"/>
  <c r="BB71" i="1"/>
  <c r="U71" i="1"/>
  <c r="BB76" i="1"/>
  <c r="U76" i="1"/>
  <c r="AA76" i="1"/>
  <c r="AB76" i="1" s="1"/>
  <c r="AB115" i="1"/>
  <c r="AC115" i="1"/>
  <c r="AT13" i="1"/>
  <c r="AM4" i="1"/>
  <c r="AJ148" i="1"/>
  <c r="AM15" i="1"/>
  <c r="AD81" i="1"/>
  <c r="BB34" i="1"/>
  <c r="U34" i="1"/>
  <c r="AA34" i="1"/>
  <c r="AB34" i="1" s="1"/>
  <c r="AJ38" i="1"/>
  <c r="AP38" i="1"/>
  <c r="AJ97" i="1"/>
  <c r="AP97" i="1"/>
  <c r="AC26" i="1"/>
  <c r="BB52" i="1"/>
  <c r="U52" i="1"/>
  <c r="AA52" i="1"/>
  <c r="AB52" i="1" s="1"/>
  <c r="BB62" i="1"/>
  <c r="U62" i="1"/>
  <c r="AP69" i="1"/>
  <c r="AP20" i="1"/>
  <c r="AK81" i="1"/>
  <c r="AA63" i="1"/>
  <c r="AB63" i="1" s="1"/>
  <c r="BB44" i="1"/>
  <c r="U44" i="1"/>
  <c r="AA44" i="1"/>
  <c r="AB44" i="1" s="1"/>
  <c r="U46" i="1"/>
  <c r="AA67" i="1"/>
  <c r="AB67" i="1" s="1"/>
  <c r="AP78" i="1"/>
  <c r="F106" i="1"/>
  <c r="AJ92" i="1"/>
  <c r="AP92" i="1"/>
  <c r="AO8" i="1"/>
  <c r="AJ24" i="1"/>
  <c r="AP50" i="1"/>
  <c r="AJ21" i="1"/>
  <c r="AJ39" i="1"/>
  <c r="AP30" i="1"/>
  <c r="AB32" i="1"/>
  <c r="AB33" i="1"/>
  <c r="AJ40" i="1"/>
  <c r="AP40" i="1"/>
  <c r="AJ63" i="1"/>
  <c r="AP63" i="1"/>
  <c r="AA71" i="1"/>
  <c r="AB71" i="1" s="1"/>
  <c r="AC77" i="1"/>
  <c r="AP72" i="1"/>
  <c r="AJ72" i="1"/>
  <c r="F14" i="1"/>
  <c r="AR27" i="1"/>
  <c r="AP49" i="1"/>
  <c r="AC9" i="1"/>
  <c r="AJ13" i="1"/>
  <c r="AM42" i="1"/>
  <c r="AC45" i="1"/>
  <c r="AP65" i="1"/>
  <c r="AP67" i="1"/>
  <c r="J106" i="1"/>
  <c r="AT106" i="1" s="1"/>
  <c r="AP95" i="1"/>
  <c r="AJ95" i="1"/>
  <c r="BB104" i="1"/>
  <c r="U104" i="1"/>
  <c r="AA104" i="1"/>
  <c r="AB104" i="1" s="1"/>
  <c r="BB120" i="1"/>
  <c r="U120" i="1"/>
  <c r="AP94" i="1"/>
  <c r="AJ94" i="1"/>
  <c r="AB4" i="1"/>
  <c r="AP58" i="1"/>
  <c r="BB4" i="1"/>
  <c r="J81" i="1"/>
  <c r="AT81" i="1" s="1"/>
  <c r="AM17" i="1"/>
  <c r="AC25" i="1"/>
  <c r="AB45" i="1"/>
  <c r="AB46" i="1"/>
  <c r="U56" i="1"/>
  <c r="AP77" i="1"/>
  <c r="AJ77" i="1"/>
  <c r="AP88" i="1"/>
  <c r="AJ88" i="1"/>
  <c r="BB140" i="1"/>
  <c r="U140" i="1"/>
  <c r="AA140" i="1"/>
  <c r="AB140" i="1" s="1"/>
  <c r="AA161" i="1"/>
  <c r="AB161" i="1" s="1"/>
  <c r="U161" i="1"/>
  <c r="AA77" i="1"/>
  <c r="AB77" i="1" s="1"/>
  <c r="AC92" i="1"/>
  <c r="AP123" i="1"/>
  <c r="AJ123" i="1"/>
  <c r="AC136" i="1"/>
  <c r="AP165" i="1"/>
  <c r="AJ165" i="1"/>
  <c r="AM31" i="1"/>
  <c r="AB92" i="1"/>
  <c r="AA99" i="1"/>
  <c r="AB99" i="1" s="1"/>
  <c r="U99" i="1"/>
  <c r="BB99" i="1"/>
  <c r="AP103" i="1"/>
  <c r="AJ103" i="1"/>
  <c r="AM129" i="1"/>
  <c r="AP130" i="1"/>
  <c r="AJ130" i="1"/>
  <c r="AB136" i="1"/>
  <c r="AP142" i="1"/>
  <c r="AJ142" i="1"/>
  <c r="AR157" i="1"/>
  <c r="AV157" i="1"/>
  <c r="AJ172" i="1"/>
  <c r="AP172" i="1"/>
  <c r="AP137" i="1"/>
  <c r="AJ137" i="1"/>
  <c r="AP154" i="1"/>
  <c r="AJ154" i="1"/>
  <c r="AC111" i="1"/>
  <c r="U174" i="1"/>
  <c r="BB174" i="1"/>
  <c r="AA174" i="1"/>
  <c r="AB174" i="1" s="1"/>
  <c r="AP135" i="1"/>
  <c r="AJ135" i="1"/>
  <c r="AJ136" i="1"/>
  <c r="AP136" i="1"/>
  <c r="AR139" i="1"/>
  <c r="AP161" i="1"/>
  <c r="AJ161" i="1"/>
  <c r="AP118" i="1"/>
  <c r="AJ118" i="1"/>
  <c r="AM74" i="1"/>
  <c r="AA65" i="1"/>
  <c r="AB65" i="1" s="1"/>
  <c r="AB86" i="1"/>
  <c r="AP96" i="1"/>
  <c r="AC105" i="1"/>
  <c r="AA124" i="1"/>
  <c r="AB124" i="1" s="1"/>
  <c r="U124" i="1"/>
  <c r="BB124" i="1"/>
  <c r="AP149" i="1"/>
  <c r="AJ149" i="1"/>
  <c r="AC186" i="1"/>
  <c r="BB161" i="1"/>
  <c r="AP146" i="1"/>
  <c r="AJ146" i="1"/>
  <c r="BB177" i="1"/>
  <c r="AA177" i="1"/>
  <c r="AB177" i="1" s="1"/>
  <c r="U177" i="1"/>
  <c r="AB101" i="1"/>
  <c r="AC101" i="1"/>
  <c r="AJ110" i="1"/>
  <c r="AP110" i="1"/>
  <c r="AR195" i="1"/>
  <c r="AV195" i="1"/>
  <c r="AM70" i="1"/>
  <c r="AR79" i="1"/>
  <c r="AJ100" i="1"/>
  <c r="AC103" i="1"/>
  <c r="AK201" i="1"/>
  <c r="AM107" i="1"/>
  <c r="AJ109" i="1"/>
  <c r="AJ124" i="1"/>
  <c r="BB128" i="1"/>
  <c r="U128" i="1"/>
  <c r="AA136" i="1"/>
  <c r="BB136" i="1"/>
  <c r="AT163" i="1"/>
  <c r="BB74" i="1"/>
  <c r="AA82" i="1"/>
  <c r="AB82" i="1" s="1"/>
  <c r="U82" i="1"/>
  <c r="BB92" i="1"/>
  <c r="AP99" i="1"/>
  <c r="BB149" i="1"/>
  <c r="U149" i="1"/>
  <c r="AA149" i="1"/>
  <c r="AB149" i="1" s="1"/>
  <c r="AP173" i="1"/>
  <c r="AJ173" i="1"/>
  <c r="F81" i="1"/>
  <c r="U92" i="1"/>
  <c r="AP104" i="1"/>
  <c r="AB121" i="1"/>
  <c r="AC129" i="1"/>
  <c r="AJ131" i="1"/>
  <c r="AB137" i="1"/>
  <c r="AP159" i="1"/>
  <c r="AP166" i="1"/>
  <c r="AJ166" i="1"/>
  <c r="AJ115" i="1"/>
  <c r="AB132" i="1"/>
  <c r="AC147" i="1"/>
  <c r="AB160" i="1"/>
  <c r="AV167" i="1"/>
  <c r="AR167" i="1"/>
  <c r="AJ176" i="1"/>
  <c r="AP176" i="1"/>
  <c r="AA186" i="1"/>
  <c r="AB186" i="1" s="1"/>
  <c r="AB112" i="1"/>
  <c r="AJ145" i="1"/>
  <c r="AP145" i="1"/>
  <c r="J226" i="1"/>
  <c r="AT226" i="1" s="1"/>
  <c r="AT223" i="1"/>
  <c r="AM116" i="1"/>
  <c r="AB133" i="1"/>
  <c r="AB134" i="1"/>
  <c r="AA179" i="1"/>
  <c r="AB179" i="1" s="1"/>
  <c r="U179" i="1"/>
  <c r="BB179" i="1"/>
  <c r="AJ183" i="1"/>
  <c r="AP183" i="1"/>
  <c r="AP174" i="1"/>
  <c r="AR184" i="1"/>
  <c r="AV184" i="1"/>
  <c r="AJ185" i="1"/>
  <c r="AP185" i="1"/>
  <c r="AM112" i="1"/>
  <c r="AB123" i="1"/>
  <c r="AM127" i="1"/>
  <c r="AC133" i="1"/>
  <c r="AC134" i="1"/>
  <c r="AP156" i="1"/>
  <c r="AV160" i="1"/>
  <c r="AR160" i="1"/>
  <c r="AJ174" i="1"/>
  <c r="AJ184" i="1"/>
  <c r="BB83" i="1"/>
  <c r="BB102" i="1"/>
  <c r="AJ105" i="1"/>
  <c r="AM133" i="1"/>
  <c r="AM134" i="1"/>
  <c r="AJ140" i="1"/>
  <c r="AA165" i="1"/>
  <c r="AB165" i="1" s="1"/>
  <c r="U165" i="1"/>
  <c r="AR181" i="1"/>
  <c r="AP194" i="1"/>
  <c r="AJ194" i="1"/>
  <c r="Z226" i="1"/>
  <c r="AB223" i="1"/>
  <c r="AT227" i="1"/>
  <c r="J229" i="1"/>
  <c r="AU229" i="1" s="1"/>
  <c r="AM89" i="1"/>
  <c r="AJ171" i="1"/>
  <c r="AP171" i="1"/>
  <c r="J222" i="1"/>
  <c r="AT202" i="1"/>
  <c r="AP219" i="1"/>
  <c r="AJ219" i="1"/>
  <c r="AR105" i="1"/>
  <c r="AD106" i="1"/>
  <c r="F201" i="1"/>
  <c r="AM113" i="1"/>
  <c r="AP179" i="1"/>
  <c r="AJ179" i="1"/>
  <c r="N222" i="1"/>
  <c r="AJ178" i="1"/>
  <c r="AP178" i="1"/>
  <c r="AP206" i="1"/>
  <c r="AJ206" i="1"/>
  <c r="AA83" i="1"/>
  <c r="AB83" i="1" s="1"/>
  <c r="BB105" i="1"/>
  <c r="U132" i="1"/>
  <c r="BB132" i="1"/>
  <c r="AB163" i="1"/>
  <c r="AA181" i="1"/>
  <c r="AB181" i="1" s="1"/>
  <c r="U181" i="1"/>
  <c r="U186" i="1"/>
  <c r="AP188" i="1"/>
  <c r="AJ188" i="1"/>
  <c r="AR199" i="1"/>
  <c r="AV199" i="1"/>
  <c r="N201" i="1"/>
  <c r="BB107" i="1"/>
  <c r="AC121" i="1"/>
  <c r="AA153" i="1"/>
  <c r="AB153" i="1" s="1"/>
  <c r="W222" i="1"/>
  <c r="AC202" i="1"/>
  <c r="AA158" i="1"/>
  <c r="AB158" i="1" s="1"/>
  <c r="U158" i="1"/>
  <c r="AJ167" i="1"/>
  <c r="AP168" i="1"/>
  <c r="AC175" i="1"/>
  <c r="J201" i="1"/>
  <c r="AU201" i="1" s="1"/>
  <c r="AM147" i="1"/>
  <c r="AM196" i="1"/>
  <c r="AJ197" i="1"/>
  <c r="AP197" i="1"/>
  <c r="AP235" i="1"/>
  <c r="AJ235" i="1"/>
  <c r="BB197" i="1"/>
  <c r="AA200" i="1"/>
  <c r="AB200" i="1" s="1"/>
  <c r="BB200" i="1"/>
  <c r="W226" i="1"/>
  <c r="AC226" i="1" s="1"/>
  <c r="AC223" i="1"/>
  <c r="AA237" i="1"/>
  <c r="AB237" i="1" s="1"/>
  <c r="BB237" i="1"/>
  <c r="U237" i="1"/>
  <c r="AP334" i="1"/>
  <c r="AJ334" i="1"/>
  <c r="AJ335" i="1"/>
  <c r="AP335" i="1"/>
  <c r="BB143" i="1"/>
  <c r="AB156" i="1"/>
  <c r="AB169" i="1"/>
  <c r="AM186" i="1"/>
  <c r="AA189" i="1"/>
  <c r="AB189" i="1" s="1"/>
  <c r="U200" i="1"/>
  <c r="AB209" i="1"/>
  <c r="AC209" i="1"/>
  <c r="AP234" i="1"/>
  <c r="AJ234" i="1"/>
  <c r="BB292" i="1"/>
  <c r="F307" i="1"/>
  <c r="U215" i="1"/>
  <c r="BB215" i="1"/>
  <c r="AA215" i="1"/>
  <c r="AB215" i="1" s="1"/>
  <c r="AM126" i="1"/>
  <c r="AM141" i="1"/>
  <c r="AB142" i="1"/>
  <c r="AJ212" i="1"/>
  <c r="AP212" i="1"/>
  <c r="AP217" i="1"/>
  <c r="AJ217" i="1"/>
  <c r="AJ228" i="1"/>
  <c r="AP228" i="1"/>
  <c r="BB236" i="1"/>
  <c r="BB238" i="1" s="1"/>
  <c r="U236" i="1"/>
  <c r="AA236" i="1"/>
  <c r="AB236" i="1" s="1"/>
  <c r="AD271" i="1"/>
  <c r="AM257" i="1"/>
  <c r="BB173" i="1"/>
  <c r="AP203" i="1"/>
  <c r="AJ203" i="1"/>
  <c r="AJ209" i="1"/>
  <c r="AC227" i="1"/>
  <c r="W229" i="1"/>
  <c r="AT230" i="1"/>
  <c r="J238" i="1"/>
  <c r="AU238" i="1" s="1"/>
  <c r="AV244" i="1"/>
  <c r="AR244" i="1"/>
  <c r="AP245" i="1"/>
  <c r="AJ245" i="1"/>
  <c r="AB254" i="1"/>
  <c r="AC254" i="1"/>
  <c r="Z256" i="1"/>
  <c r="AC256" i="1" s="1"/>
  <c r="AP177" i="1"/>
  <c r="AA193" i="1"/>
  <c r="AB193" i="1" s="1"/>
  <c r="BB193" i="1"/>
  <c r="U193" i="1"/>
  <c r="U197" i="1"/>
  <c r="BB214" i="1"/>
  <c r="AA214" i="1"/>
  <c r="AB214" i="1" s="1"/>
  <c r="U214" i="1"/>
  <c r="AJ215" i="1"/>
  <c r="AP215" i="1"/>
  <c r="AD201" i="1"/>
  <c r="AM138" i="1"/>
  <c r="AC159" i="1"/>
  <c r="BB160" i="1"/>
  <c r="U160" i="1"/>
  <c r="AC166" i="1"/>
  <c r="AJ177" i="1"/>
  <c r="BB203" i="1"/>
  <c r="AR209" i="1"/>
  <c r="AP233" i="1"/>
  <c r="AJ233" i="1"/>
  <c r="AC183" i="1"/>
  <c r="AP189" i="1"/>
  <c r="U213" i="1"/>
  <c r="AA213" i="1"/>
  <c r="AB213" i="1" s="1"/>
  <c r="BB213" i="1"/>
  <c r="BB189" i="1"/>
  <c r="AP200" i="1"/>
  <c r="AV207" i="1"/>
  <c r="AR207" i="1"/>
  <c r="Z238" i="1"/>
  <c r="AB167" i="1"/>
  <c r="AM169" i="1"/>
  <c r="AM175" i="1"/>
  <c r="AC194" i="1"/>
  <c r="BB196" i="1"/>
  <c r="AJ208" i="1"/>
  <c r="AP208" i="1"/>
  <c r="AM210" i="1"/>
  <c r="AM213" i="1"/>
  <c r="AA221" i="1"/>
  <c r="AB221" i="1" s="1"/>
  <c r="BB221" i="1"/>
  <c r="U221" i="1"/>
  <c r="AD222" i="1"/>
  <c r="U225" i="1"/>
  <c r="AA225" i="1"/>
  <c r="AB225" i="1" s="1"/>
  <c r="W238" i="1"/>
  <c r="AC230" i="1"/>
  <c r="AD226" i="1"/>
  <c r="AD229" i="1"/>
  <c r="AB250" i="1"/>
  <c r="AC250" i="1"/>
  <c r="AA266" i="1"/>
  <c r="AB266" i="1" s="1"/>
  <c r="U266" i="1"/>
  <c r="BB266" i="1"/>
  <c r="BB287" i="1"/>
  <c r="F290" i="1"/>
  <c r="AM158" i="1"/>
  <c r="AM164" i="1"/>
  <c r="AM182" i="1"/>
  <c r="AM190" i="1"/>
  <c r="AM193" i="1"/>
  <c r="BB198" i="1"/>
  <c r="U198" i="1"/>
  <c r="Z222" i="1"/>
  <c r="Z229" i="1"/>
  <c r="AM230" i="1"/>
  <c r="AD238" i="1"/>
  <c r="AP237" i="1"/>
  <c r="AJ237" i="1"/>
  <c r="AJ247" i="1"/>
  <c r="AP247" i="1"/>
  <c r="AA268" i="1"/>
  <c r="BB268" i="1"/>
  <c r="U268" i="1"/>
  <c r="AP268" i="1"/>
  <c r="AB187" i="1"/>
  <c r="AB204" i="1"/>
  <c r="AC204" i="1"/>
  <c r="AP211" i="1"/>
  <c r="AJ211" i="1"/>
  <c r="AJ221" i="1"/>
  <c r="AP221" i="1"/>
  <c r="AV225" i="1"/>
  <c r="AR225" i="1"/>
  <c r="AP231" i="1"/>
  <c r="AJ231" i="1"/>
  <c r="AP284" i="1"/>
  <c r="AO284" i="1"/>
  <c r="AJ284" i="1"/>
  <c r="AJ225" i="1"/>
  <c r="AB227" i="1"/>
  <c r="F253" i="1"/>
  <c r="BB239" i="1"/>
  <c r="AC258" i="1"/>
  <c r="W271" i="1"/>
  <c r="AK290" i="1"/>
  <c r="AK222" i="1"/>
  <c r="F238" i="1"/>
  <c r="AJ246" i="1"/>
  <c r="AP246" i="1"/>
  <c r="AM266" i="1"/>
  <c r="AC163" i="1"/>
  <c r="AM187" i="1"/>
  <c r="AM205" i="1"/>
  <c r="BB234" i="1"/>
  <c r="AA234" i="1"/>
  <c r="AB234" i="1" s="1"/>
  <c r="U234" i="1"/>
  <c r="AP236" i="1"/>
  <c r="AJ236" i="1"/>
  <c r="AP242" i="1"/>
  <c r="AJ242" i="1"/>
  <c r="U248" i="1"/>
  <c r="BB248" i="1"/>
  <c r="BB255" i="1"/>
  <c r="U255" i="1"/>
  <c r="AA255" i="1"/>
  <c r="AB255" i="1" s="1"/>
  <c r="AP255" i="1"/>
  <c r="BB219" i="1"/>
  <c r="U219" i="1"/>
  <c r="BB225" i="1"/>
  <c r="BB226" i="1" s="1"/>
  <c r="N253" i="1"/>
  <c r="AT240" i="1"/>
  <c r="J253" i="1"/>
  <c r="AU253" i="1" s="1"/>
  <c r="AJ259" i="1"/>
  <c r="AP259" i="1"/>
  <c r="AJ299" i="1"/>
  <c r="AP299" i="1"/>
  <c r="AC218" i="1"/>
  <c r="AV220" i="1"/>
  <c r="AD253" i="1"/>
  <c r="AM249" i="1"/>
  <c r="AP258" i="1"/>
  <c r="AJ258" i="1"/>
  <c r="AV279" i="1"/>
  <c r="AR279" i="1"/>
  <c r="AJ282" i="1"/>
  <c r="AP282" i="1"/>
  <c r="AJ298" i="1"/>
  <c r="AP298" i="1"/>
  <c r="AP310" i="1"/>
  <c r="AJ310" i="1"/>
  <c r="AP240" i="1"/>
  <c r="AJ240" i="1"/>
  <c r="AC297" i="1"/>
  <c r="AB297" i="1"/>
  <c r="AB333" i="1"/>
  <c r="AC333" i="1"/>
  <c r="AJ239" i="1"/>
  <c r="AP248" i="1"/>
  <c r="AJ248" i="1"/>
  <c r="AP269" i="1"/>
  <c r="AJ269" i="1"/>
  <c r="J271" i="1"/>
  <c r="AT271" i="1" s="1"/>
  <c r="AA273" i="1"/>
  <c r="AB273" i="1" s="1"/>
  <c r="U273" i="1"/>
  <c r="BB273" i="1"/>
  <c r="AP304" i="1"/>
  <c r="AJ304" i="1"/>
  <c r="Z322" i="1"/>
  <c r="AC322" i="1" s="1"/>
  <c r="AV239" i="1"/>
  <c r="AR239" i="1"/>
  <c r="BB256" i="1"/>
  <c r="AV265" i="1"/>
  <c r="J275" i="1"/>
  <c r="AU275" i="1" s="1"/>
  <c r="AT272" i="1"/>
  <c r="AC302" i="1"/>
  <c r="AB302" i="1"/>
  <c r="N322" i="1"/>
  <c r="AR349" i="1"/>
  <c r="AB196" i="1"/>
  <c r="AM218" i="1"/>
  <c r="AC237" i="1"/>
  <c r="AV243" i="1"/>
  <c r="AC263" i="1"/>
  <c r="AB263" i="1"/>
  <c r="AV288" i="1"/>
  <c r="F328" i="1"/>
  <c r="AU307" i="1"/>
  <c r="AT307" i="1"/>
  <c r="AA300" i="1"/>
  <c r="AB300" i="1" s="1"/>
  <c r="U300" i="1"/>
  <c r="BB300" i="1"/>
  <c r="J352" i="1"/>
  <c r="AU352" i="1" s="1"/>
  <c r="AT329" i="1"/>
  <c r="AB252" i="1"/>
  <c r="N290" i="1"/>
  <c r="AC291" i="1"/>
  <c r="W307" i="1"/>
  <c r="AC294" i="1"/>
  <c r="AV341" i="1"/>
  <c r="AR341" i="1"/>
  <c r="AD275" i="1"/>
  <c r="AM272" i="1"/>
  <c r="AP286" i="1"/>
  <c r="AJ286" i="1"/>
  <c r="AA298" i="1"/>
  <c r="AB298" i="1" s="1"/>
  <c r="U298" i="1"/>
  <c r="BB298" i="1"/>
  <c r="AP301" i="1"/>
  <c r="AJ301" i="1"/>
  <c r="AC311" i="1"/>
  <c r="AJ341" i="1"/>
  <c r="AM202" i="1"/>
  <c r="F229" i="1"/>
  <c r="BB227" i="1"/>
  <c r="BB229" i="1" s="1"/>
  <c r="W253" i="1"/>
  <c r="Z271" i="1"/>
  <c r="AB257" i="1"/>
  <c r="AP262" i="1"/>
  <c r="AJ262" i="1"/>
  <c r="AV267" i="1"/>
  <c r="AR267" i="1"/>
  <c r="AP273" i="1"/>
  <c r="Z290" i="1"/>
  <c r="AJ294" i="1"/>
  <c r="AP294" i="1"/>
  <c r="AB311" i="1"/>
  <c r="Z312" i="1"/>
  <c r="AB208" i="1"/>
  <c r="AM216" i="1"/>
  <c r="AK226" i="1"/>
  <c r="AM224" i="1"/>
  <c r="AC241" i="1"/>
  <c r="AB242" i="1"/>
  <c r="AP260" i="1"/>
  <c r="AJ260" i="1"/>
  <c r="AA264" i="1"/>
  <c r="AB264" i="1" s="1"/>
  <c r="U264" i="1"/>
  <c r="BB264" i="1"/>
  <c r="AJ291" i="1"/>
  <c r="AP291" i="1"/>
  <c r="AA308" i="1"/>
  <c r="AB308" i="1" s="1"/>
  <c r="U308" i="1"/>
  <c r="BB308" i="1"/>
  <c r="AP308" i="1"/>
  <c r="AP321" i="1"/>
  <c r="AJ321" i="1"/>
  <c r="AT256" i="1"/>
  <c r="AM274" i="1"/>
  <c r="BB288" i="1"/>
  <c r="AC316" i="1"/>
  <c r="AP340" i="1"/>
  <c r="AJ340" i="1"/>
  <c r="AC345" i="1"/>
  <c r="AC279" i="1"/>
  <c r="W290" i="1"/>
  <c r="AV292" i="1"/>
  <c r="AR292" i="1"/>
  <c r="AJ293" i="1"/>
  <c r="AP300" i="1"/>
  <c r="AJ300" i="1"/>
  <c r="AJ305" i="1"/>
  <c r="AP306" i="1"/>
  <c r="AD312" i="1"/>
  <c r="AC315" i="1"/>
  <c r="W352" i="1"/>
  <c r="AV339" i="1"/>
  <c r="AR339" i="1"/>
  <c r="AP347" i="1"/>
  <c r="AJ347" i="1"/>
  <c r="BB327" i="1"/>
  <c r="AC330" i="1"/>
  <c r="AB330" i="1"/>
  <c r="Z352" i="1"/>
  <c r="AP333" i="1"/>
  <c r="AJ333" i="1"/>
  <c r="AK278" i="1"/>
  <c r="AP303" i="1"/>
  <c r="AJ303" i="1"/>
  <c r="AK312" i="1"/>
  <c r="BB320" i="1"/>
  <c r="U320" i="1"/>
  <c r="AC328" i="1"/>
  <c r="AC261" i="1"/>
  <c r="BB267" i="1"/>
  <c r="U267" i="1"/>
  <c r="AP276" i="1"/>
  <c r="AJ276" i="1"/>
  <c r="BB291" i="1"/>
  <c r="U291" i="1"/>
  <c r="AP295" i="1"/>
  <c r="AJ295" i="1"/>
  <c r="AP302" i="1"/>
  <c r="AC320" i="1"/>
  <c r="AB321" i="1"/>
  <c r="AC327" i="1"/>
  <c r="AD352" i="1"/>
  <c r="AM330" i="1"/>
  <c r="AV331" i="1"/>
  <c r="AR331" i="1"/>
  <c r="AP346" i="1"/>
  <c r="AM314" i="1"/>
  <c r="AB320" i="1"/>
  <c r="AV344" i="1"/>
  <c r="AR344" i="1"/>
  <c r="AB262" i="1"/>
  <c r="AC270" i="1"/>
  <c r="AM277" i="1"/>
  <c r="AC286" i="1"/>
  <c r="U288" i="1"/>
  <c r="F312" i="1"/>
  <c r="AK322" i="1"/>
  <c r="AV315" i="1"/>
  <c r="AA320" i="1"/>
  <c r="AP327" i="1"/>
  <c r="AJ327" i="1"/>
  <c r="AC342" i="1"/>
  <c r="AJ344" i="1"/>
  <c r="AV345" i="1"/>
  <c r="AR345" i="1"/>
  <c r="AM313" i="1"/>
  <c r="AV317" i="1"/>
  <c r="AR317" i="1"/>
  <c r="AB319" i="1"/>
  <c r="AK352" i="1"/>
  <c r="AM329" i="1"/>
  <c r="AC262" i="1"/>
  <c r="AB268" i="1"/>
  <c r="AV280" i="1"/>
  <c r="AR280" i="1"/>
  <c r="AJ281" i="1"/>
  <c r="AC285" i="1"/>
  <c r="AB285" i="1"/>
  <c r="AD290" i="1"/>
  <c r="Z307" i="1"/>
  <c r="AR316" i="1"/>
  <c r="AM326" i="1"/>
  <c r="AJ343" i="1"/>
  <c r="Z253" i="1"/>
  <c r="AA267" i="1"/>
  <c r="AB267" i="1" s="1"/>
  <c r="AA272" i="1"/>
  <c r="AB272" i="1" s="1"/>
  <c r="BB272" i="1"/>
  <c r="BB275" i="1" s="1"/>
  <c r="U272" i="1"/>
  <c r="BB274" i="1"/>
  <c r="U274" i="1"/>
  <c r="AA291" i="1"/>
  <c r="AB291" i="1" s="1"/>
  <c r="BB296" i="1"/>
  <c r="U296" i="1"/>
  <c r="F322" i="1"/>
  <c r="BB317" i="1"/>
  <c r="AP320" i="1"/>
  <c r="AK328" i="1"/>
  <c r="AP324" i="1"/>
  <c r="AJ324" i="1"/>
  <c r="J328" i="1"/>
  <c r="AP342" i="1"/>
  <c r="AJ342" i="1"/>
  <c r="AT352" i="1"/>
  <c r="N271" i="1"/>
  <c r="AV263" i="1"/>
  <c r="AV285" i="1"/>
  <c r="AP323" i="1"/>
  <c r="AP325" i="1"/>
  <c r="AJ325" i="1"/>
  <c r="F352" i="1"/>
  <c r="AJ263" i="1"/>
  <c r="AP283" i="1"/>
  <c r="AJ283" i="1"/>
  <c r="AJ285" i="1"/>
  <c r="AO288" i="1"/>
  <c r="AT288" i="1" s="1"/>
  <c r="AJ288" i="1"/>
  <c r="AD307" i="1"/>
  <c r="W312" i="1"/>
  <c r="AC312" i="1" s="1"/>
  <c r="AA309" i="1"/>
  <c r="AB309" i="1" s="1"/>
  <c r="BB309" i="1"/>
  <c r="U309" i="1"/>
  <c r="J322" i="1"/>
  <c r="AU322" i="1" s="1"/>
  <c r="AP348" i="1"/>
  <c r="AJ348" i="1"/>
  <c r="AV351" i="1"/>
  <c r="AR351" i="1"/>
  <c r="AM290" i="1"/>
  <c r="BB313" i="1"/>
  <c r="AA315" i="1"/>
  <c r="AB315" i="1" s="1"/>
  <c r="BB325" i="1"/>
  <c r="AA327" i="1"/>
  <c r="AB327" i="1" s="1"/>
  <c r="BB329" i="1"/>
  <c r="BB352" i="1" s="1"/>
  <c r="J278" i="1"/>
  <c r="AU278" i="1" s="1"/>
  <c r="AJ339" i="1"/>
  <c r="AJ351" i="1"/>
  <c r="BB306" i="1"/>
  <c r="AJ331" i="1"/>
  <c r="AB344" i="1"/>
  <c r="U315" i="1"/>
  <c r="AV44" i="1" l="1"/>
  <c r="AR44" i="1"/>
  <c r="AR318" i="1"/>
  <c r="AV318" i="1"/>
  <c r="AJ180" i="1"/>
  <c r="AP119" i="1"/>
  <c r="AZ307" i="1"/>
  <c r="AP338" i="1"/>
  <c r="AP241" i="1"/>
  <c r="AV241" i="1" s="1"/>
  <c r="AR180" i="1"/>
  <c r="AP85" i="1"/>
  <c r="AJ312" i="1"/>
  <c r="AP232" i="1"/>
  <c r="AR232" i="1" s="1"/>
  <c r="AJ318" i="1"/>
  <c r="AP261" i="1"/>
  <c r="AJ261" i="1"/>
  <c r="AU226" i="1"/>
  <c r="AJ309" i="1"/>
  <c r="AT201" i="1"/>
  <c r="AJ59" i="1"/>
  <c r="AU271" i="1"/>
  <c r="AJ227" i="1"/>
  <c r="AJ229" i="1" s="1"/>
  <c r="AP227" i="1"/>
  <c r="AP25" i="1"/>
  <c r="AJ120" i="1"/>
  <c r="AP120" i="1"/>
  <c r="AR336" i="1"/>
  <c r="AV24" i="1"/>
  <c r="AV45" i="1"/>
  <c r="AJ132" i="1"/>
  <c r="AP51" i="1"/>
  <c r="AU312" i="1"/>
  <c r="BB328" i="1"/>
  <c r="AT229" i="1"/>
  <c r="AP8" i="1"/>
  <c r="AR21" i="1"/>
  <c r="AP297" i="1"/>
  <c r="AJ297" i="1"/>
  <c r="AP256" i="1"/>
  <c r="AW256" i="1" s="1"/>
  <c r="AJ270" i="1"/>
  <c r="AP270" i="1"/>
  <c r="AJ163" i="1"/>
  <c r="AP163" i="1"/>
  <c r="AV254" i="1"/>
  <c r="AR252" i="1"/>
  <c r="BB222" i="1"/>
  <c r="AJ162" i="1"/>
  <c r="AP162" i="1"/>
  <c r="AM312" i="1"/>
  <c r="AZ312" i="1" s="1"/>
  <c r="AP204" i="1"/>
  <c r="AJ151" i="1"/>
  <c r="AP55" i="1"/>
  <c r="AJ55" i="1"/>
  <c r="AV143" i="1"/>
  <c r="AR143" i="1"/>
  <c r="AC238" i="1"/>
  <c r="AJ45" i="1"/>
  <c r="AR26" i="1"/>
  <c r="AJ22" i="1"/>
  <c r="AP22" i="1"/>
  <c r="AJ101" i="1"/>
  <c r="AP101" i="1"/>
  <c r="AJ152" i="1"/>
  <c r="AP287" i="1"/>
  <c r="AJ287" i="1"/>
  <c r="AJ290" i="1" s="1"/>
  <c r="AP311" i="1"/>
  <c r="AP144" i="1"/>
  <c r="AV144" i="1" s="1"/>
  <c r="AV53" i="1"/>
  <c r="AR39" i="1"/>
  <c r="AP19" i="1"/>
  <c r="AJ191" i="1"/>
  <c r="AP191" i="1"/>
  <c r="AJ264" i="1"/>
  <c r="AP264" i="1"/>
  <c r="AR93" i="1"/>
  <c r="AV93" i="1"/>
  <c r="AJ155" i="1"/>
  <c r="AC106" i="1"/>
  <c r="AJ255" i="1"/>
  <c r="AJ256" i="1" s="1"/>
  <c r="AM256" i="1"/>
  <c r="AZ256" i="1" s="1"/>
  <c r="AR102" i="1"/>
  <c r="AP223" i="1"/>
  <c r="AJ223" i="1"/>
  <c r="AP198" i="1"/>
  <c r="AP125" i="1"/>
  <c r="AV125" i="1" s="1"/>
  <c r="BB81" i="1"/>
  <c r="AJ26" i="1"/>
  <c r="AJ12" i="1"/>
  <c r="AR100" i="1"/>
  <c r="AV100" i="1"/>
  <c r="BB253" i="1"/>
  <c r="BB271" i="1"/>
  <c r="AJ319" i="1"/>
  <c r="AJ192" i="1"/>
  <c r="AU106" i="1"/>
  <c r="AP153" i="1"/>
  <c r="AR153" i="1" s="1"/>
  <c r="AP114" i="1"/>
  <c r="AP60" i="1"/>
  <c r="AP87" i="1"/>
  <c r="AV87" i="1" s="1"/>
  <c r="AT12" i="1"/>
  <c r="AJ37" i="1"/>
  <c r="AP296" i="1"/>
  <c r="AJ296" i="1"/>
  <c r="AJ332" i="1"/>
  <c r="AP332" i="1"/>
  <c r="AP214" i="1"/>
  <c r="AJ214" i="1"/>
  <c r="AR337" i="1"/>
  <c r="AV337" i="1"/>
  <c r="AV124" i="1"/>
  <c r="AR124" i="1"/>
  <c r="AP80" i="1"/>
  <c r="AJ80" i="1"/>
  <c r="BB290" i="1"/>
  <c r="AR288" i="1"/>
  <c r="AJ117" i="1"/>
  <c r="AP12" i="1"/>
  <c r="AV12" i="1" s="1"/>
  <c r="AJ170" i="1"/>
  <c r="AP170" i="1"/>
  <c r="AJ267" i="1"/>
  <c r="AZ290" i="1"/>
  <c r="BB106" i="1"/>
  <c r="AC201" i="1"/>
  <c r="AC81" i="1"/>
  <c r="AV98" i="1"/>
  <c r="AR98" i="1"/>
  <c r="AV283" i="1"/>
  <c r="AR283" i="1"/>
  <c r="AV276" i="1"/>
  <c r="AR276" i="1"/>
  <c r="AV304" i="1"/>
  <c r="AR304" i="1"/>
  <c r="AP138" i="1"/>
  <c r="AJ138" i="1"/>
  <c r="AU222" i="1"/>
  <c r="AT222" i="1"/>
  <c r="AV117" i="1"/>
  <c r="AR117" i="1"/>
  <c r="AR63" i="1"/>
  <c r="AV63" i="1"/>
  <c r="AV333" i="1"/>
  <c r="AR333" i="1"/>
  <c r="AC307" i="1"/>
  <c r="AJ213" i="1"/>
  <c r="AP213" i="1"/>
  <c r="AP126" i="1"/>
  <c r="AJ126" i="1"/>
  <c r="AP186" i="1"/>
  <c r="AJ186" i="1"/>
  <c r="AR178" i="1"/>
  <c r="AV178" i="1"/>
  <c r="AR171" i="1"/>
  <c r="AV171" i="1"/>
  <c r="AV176" i="1"/>
  <c r="AR176" i="1"/>
  <c r="AV131" i="1"/>
  <c r="AR131" i="1"/>
  <c r="AR142" i="1"/>
  <c r="AV142" i="1"/>
  <c r="AR88" i="1"/>
  <c r="AV88" i="1"/>
  <c r="AV35" i="1"/>
  <c r="AR35" i="1"/>
  <c r="AR85" i="1"/>
  <c r="AV85" i="1"/>
  <c r="AV152" i="1"/>
  <c r="AR152" i="1"/>
  <c r="AV54" i="1"/>
  <c r="AR54" i="1"/>
  <c r="AV56" i="1"/>
  <c r="AR56" i="1"/>
  <c r="BA256" i="1"/>
  <c r="AV256" i="1"/>
  <c r="AP141" i="1"/>
  <c r="AJ141" i="1"/>
  <c r="AP147" i="1"/>
  <c r="AJ147" i="1"/>
  <c r="AV161" i="1"/>
  <c r="AR161" i="1"/>
  <c r="AV36" i="1"/>
  <c r="AR36" i="1"/>
  <c r="AT278" i="1"/>
  <c r="AV242" i="1"/>
  <c r="AR242" i="1"/>
  <c r="AP210" i="1"/>
  <c r="AJ210" i="1"/>
  <c r="AR200" i="1"/>
  <c r="AV200" i="1"/>
  <c r="AR189" i="1"/>
  <c r="AV189" i="1"/>
  <c r="AR215" i="1"/>
  <c r="AV215" i="1"/>
  <c r="AJ257" i="1"/>
  <c r="AM271" i="1"/>
  <c r="AZ271" i="1" s="1"/>
  <c r="AP257" i="1"/>
  <c r="AV136" i="1"/>
  <c r="AR136" i="1"/>
  <c r="AR94" i="1"/>
  <c r="AV94" i="1"/>
  <c r="AJ42" i="1"/>
  <c r="AP42" i="1"/>
  <c r="AV40" i="1"/>
  <c r="AR40" i="1"/>
  <c r="AR78" i="1"/>
  <c r="AV78" i="1"/>
  <c r="AV34" i="1"/>
  <c r="AR34" i="1"/>
  <c r="AR43" i="1"/>
  <c r="AV43" i="1"/>
  <c r="AR6" i="1"/>
  <c r="AV6" i="1"/>
  <c r="AV19" i="1"/>
  <c r="AR19" i="1"/>
  <c r="AR32" i="1"/>
  <c r="AV32" i="1"/>
  <c r="AP313" i="1"/>
  <c r="AJ313" i="1"/>
  <c r="AM322" i="1"/>
  <c r="AZ322" i="1" s="1"/>
  <c r="AR273" i="1"/>
  <c r="AV273" i="1"/>
  <c r="AR301" i="1"/>
  <c r="AV301" i="1"/>
  <c r="AO290" i="1"/>
  <c r="AT284" i="1"/>
  <c r="AV268" i="1"/>
  <c r="AR268" i="1"/>
  <c r="AV208" i="1"/>
  <c r="AR208" i="1"/>
  <c r="AV245" i="1"/>
  <c r="AR245" i="1"/>
  <c r="AP89" i="1"/>
  <c r="AJ89" i="1"/>
  <c r="AV140" i="1"/>
  <c r="AR140" i="1"/>
  <c r="AP127" i="1"/>
  <c r="AJ127" i="1"/>
  <c r="AV154" i="1"/>
  <c r="AR154" i="1"/>
  <c r="AV123" i="1"/>
  <c r="AR123" i="1"/>
  <c r="AV77" i="1"/>
  <c r="AR77" i="1"/>
  <c r="AJ15" i="1"/>
  <c r="AM81" i="1"/>
  <c r="AZ81" i="1" s="1"/>
  <c r="AP15" i="1"/>
  <c r="AV9" i="1"/>
  <c r="AR9" i="1"/>
  <c r="AR206" i="1"/>
  <c r="AV206" i="1"/>
  <c r="AP330" i="1"/>
  <c r="AJ330" i="1"/>
  <c r="AP277" i="1"/>
  <c r="AJ277" i="1"/>
  <c r="AJ278" i="1" s="1"/>
  <c r="AR260" i="1"/>
  <c r="AV260" i="1"/>
  <c r="AR258" i="1"/>
  <c r="AV258" i="1"/>
  <c r="AV236" i="1"/>
  <c r="AR236" i="1"/>
  <c r="AV284" i="1"/>
  <c r="AR284" i="1"/>
  <c r="AR241" i="1"/>
  <c r="AR168" i="1"/>
  <c r="AV168" i="1"/>
  <c r="AR188" i="1"/>
  <c r="AV188" i="1"/>
  <c r="AP134" i="1"/>
  <c r="AJ134" i="1"/>
  <c r="AV104" i="1"/>
  <c r="AR104" i="1"/>
  <c r="AV130" i="1"/>
  <c r="AR130" i="1"/>
  <c r="AV148" i="1"/>
  <c r="AR148" i="1"/>
  <c r="AV83" i="1"/>
  <c r="AR83" i="1"/>
  <c r="AV11" i="1"/>
  <c r="AR11" i="1"/>
  <c r="AV90" i="1"/>
  <c r="AR90" i="1"/>
  <c r="AV64" i="1"/>
  <c r="AR64" i="1"/>
  <c r="AV348" i="1"/>
  <c r="AR348" i="1"/>
  <c r="AV300" i="1"/>
  <c r="AR300" i="1"/>
  <c r="AR342" i="1"/>
  <c r="AV342" i="1"/>
  <c r="AJ249" i="1"/>
  <c r="AJ253" i="1" s="1"/>
  <c r="AP249" i="1"/>
  <c r="AP193" i="1"/>
  <c r="AJ193" i="1"/>
  <c r="AR233" i="1"/>
  <c r="AV233" i="1"/>
  <c r="AV335" i="1"/>
  <c r="AR335" i="1"/>
  <c r="AR192" i="1"/>
  <c r="AV192" i="1"/>
  <c r="AJ133" i="1"/>
  <c r="AP133" i="1"/>
  <c r="AP112" i="1"/>
  <c r="AJ112" i="1"/>
  <c r="AJ70" i="1"/>
  <c r="AP70" i="1"/>
  <c r="AR146" i="1"/>
  <c r="AV146" i="1"/>
  <c r="AV96" i="1"/>
  <c r="AR96" i="1"/>
  <c r="AV135" i="1"/>
  <c r="AR135" i="1"/>
  <c r="AR137" i="1"/>
  <c r="AV137" i="1"/>
  <c r="AJ129" i="1"/>
  <c r="AP129" i="1"/>
  <c r="AR49" i="1"/>
  <c r="AV49" i="1"/>
  <c r="AV5" i="1"/>
  <c r="AR5" i="1"/>
  <c r="AV319" i="1"/>
  <c r="AR319" i="1"/>
  <c r="AV198" i="1"/>
  <c r="AR198" i="1"/>
  <c r="AV156" i="1"/>
  <c r="AR156" i="1"/>
  <c r="AM201" i="1"/>
  <c r="AZ201" i="1" s="1"/>
  <c r="AP107" i="1"/>
  <c r="AJ107" i="1"/>
  <c r="AR165" i="1"/>
  <c r="AV165" i="1"/>
  <c r="AR321" i="1"/>
  <c r="AV321" i="1"/>
  <c r="J1" i="1"/>
  <c r="AV269" i="1"/>
  <c r="AR269" i="1"/>
  <c r="AV240" i="1"/>
  <c r="AR240" i="1"/>
  <c r="AC271" i="1"/>
  <c r="AJ190" i="1"/>
  <c r="AP190" i="1"/>
  <c r="AV179" i="1"/>
  <c r="AR179" i="1"/>
  <c r="AR185" i="1"/>
  <c r="AV185" i="1"/>
  <c r="AR172" i="1"/>
  <c r="AV172" i="1"/>
  <c r="AR30" i="1"/>
  <c r="AV30" i="1"/>
  <c r="AV132" i="1"/>
  <c r="AR132" i="1"/>
  <c r="AM106" i="1"/>
  <c r="AZ106" i="1" s="1"/>
  <c r="AJ82" i="1"/>
  <c r="AP82" i="1"/>
  <c r="AR71" i="1"/>
  <c r="AV71" i="1"/>
  <c r="AR91" i="1"/>
  <c r="AV91" i="1"/>
  <c r="AV37" i="1"/>
  <c r="AR37" i="1"/>
  <c r="AR23" i="1"/>
  <c r="AV23" i="1"/>
  <c r="AR325" i="1"/>
  <c r="AV325" i="1"/>
  <c r="AV347" i="1"/>
  <c r="AR347" i="1"/>
  <c r="AV308" i="1"/>
  <c r="AR308" i="1"/>
  <c r="AP312" i="1"/>
  <c r="AV262" i="1"/>
  <c r="AR262" i="1"/>
  <c r="AT275" i="1"/>
  <c r="AT238" i="1"/>
  <c r="AV231" i="1"/>
  <c r="AR231" i="1"/>
  <c r="AT253" i="1"/>
  <c r="AJ182" i="1"/>
  <c r="AP182" i="1"/>
  <c r="AV228" i="1"/>
  <c r="AR228" i="1"/>
  <c r="AR235" i="1"/>
  <c r="AV235" i="1"/>
  <c r="AJ113" i="1"/>
  <c r="AP113" i="1"/>
  <c r="AP116" i="1"/>
  <c r="AJ116" i="1"/>
  <c r="AR103" i="1"/>
  <c r="AV103" i="1"/>
  <c r="AV48" i="1"/>
  <c r="AR48" i="1"/>
  <c r="AR46" i="1"/>
  <c r="AV46" i="1"/>
  <c r="AV323" i="1"/>
  <c r="AP328" i="1"/>
  <c r="AR323" i="1"/>
  <c r="AV324" i="1"/>
  <c r="AR324" i="1"/>
  <c r="BB312" i="1"/>
  <c r="AJ224" i="1"/>
  <c r="AJ226" i="1" s="1"/>
  <c r="AP224" i="1"/>
  <c r="AV286" i="1"/>
  <c r="AR286" i="1"/>
  <c r="AJ205" i="1"/>
  <c r="AP205" i="1"/>
  <c r="AV247" i="1"/>
  <c r="AR247" i="1"/>
  <c r="AP164" i="1"/>
  <c r="AJ164" i="1"/>
  <c r="AP175" i="1"/>
  <c r="AJ175" i="1"/>
  <c r="AC229" i="1"/>
  <c r="AV234" i="1"/>
  <c r="AR234" i="1"/>
  <c r="AV334" i="1"/>
  <c r="AR334" i="1"/>
  <c r="AV197" i="1"/>
  <c r="AR197" i="1"/>
  <c r="AV173" i="1"/>
  <c r="AR173" i="1"/>
  <c r="AJ74" i="1"/>
  <c r="AP74" i="1"/>
  <c r="AJ17" i="1"/>
  <c r="AP17" i="1"/>
  <c r="AV18" i="1"/>
  <c r="AR18" i="1"/>
  <c r="AR66" i="1"/>
  <c r="AV66" i="1"/>
  <c r="AP274" i="1"/>
  <c r="AJ274" i="1"/>
  <c r="AC290" i="1"/>
  <c r="AP272" i="1"/>
  <c r="AJ272" i="1"/>
  <c r="AM275" i="1"/>
  <c r="AZ275" i="1" s="1"/>
  <c r="AP218" i="1"/>
  <c r="AJ218" i="1"/>
  <c r="AV248" i="1"/>
  <c r="AR248" i="1"/>
  <c r="AR310" i="1"/>
  <c r="AV310" i="1"/>
  <c r="AR255" i="1"/>
  <c r="AV255" i="1"/>
  <c r="AJ187" i="1"/>
  <c r="AP187" i="1"/>
  <c r="AP158" i="1"/>
  <c r="AJ158" i="1"/>
  <c r="AP169" i="1"/>
  <c r="AJ169" i="1"/>
  <c r="AV227" i="1"/>
  <c r="AR227" i="1"/>
  <c r="AP229" i="1"/>
  <c r="AV95" i="1"/>
  <c r="AR95" i="1"/>
  <c r="AR50" i="1"/>
  <c r="AV50" i="1"/>
  <c r="AV97" i="1"/>
  <c r="AR97" i="1"/>
  <c r="AM14" i="1"/>
  <c r="AP4" i="1"/>
  <c r="AO4" i="1"/>
  <c r="AO14" i="1" s="1"/>
  <c r="AT4" i="1"/>
  <c r="AJ4" i="1"/>
  <c r="AS2" i="1"/>
  <c r="AV128" i="1"/>
  <c r="AR128" i="1"/>
  <c r="AR86" i="1"/>
  <c r="AV86" i="1"/>
  <c r="AV25" i="1"/>
  <c r="AR25" i="1"/>
  <c r="AV29" i="1"/>
  <c r="AR29" i="1"/>
  <c r="AV59" i="1"/>
  <c r="AR59" i="1"/>
  <c r="AV28" i="1"/>
  <c r="AR28" i="1"/>
  <c r="Z1" i="1"/>
  <c r="AR327" i="1"/>
  <c r="AV327" i="1"/>
  <c r="AR303" i="1"/>
  <c r="AV303" i="1"/>
  <c r="AC253" i="1"/>
  <c r="AV298" i="1"/>
  <c r="AR298" i="1"/>
  <c r="AV299" i="1"/>
  <c r="AR299" i="1"/>
  <c r="AR221" i="1"/>
  <c r="AV221" i="1"/>
  <c r="AR311" i="1"/>
  <c r="AV311" i="1"/>
  <c r="AZ229" i="1"/>
  <c r="AV217" i="1"/>
  <c r="AR217" i="1"/>
  <c r="AP196" i="1"/>
  <c r="AJ196" i="1"/>
  <c r="AC222" i="1"/>
  <c r="AR174" i="1"/>
  <c r="AV174" i="1"/>
  <c r="AV145" i="1"/>
  <c r="AR145" i="1"/>
  <c r="AV110" i="1"/>
  <c r="AR110" i="1"/>
  <c r="AR72" i="1"/>
  <c r="AV72" i="1"/>
  <c r="AR75" i="1"/>
  <c r="AV75" i="1"/>
  <c r="AR57" i="1"/>
  <c r="AV57" i="1"/>
  <c r="AD1" i="1"/>
  <c r="BB322" i="1"/>
  <c r="AV343" i="1"/>
  <c r="AR343" i="1"/>
  <c r="AC352" i="1"/>
  <c r="W1" i="1"/>
  <c r="AP216" i="1"/>
  <c r="AJ216" i="1"/>
  <c r="AP326" i="1"/>
  <c r="AJ326" i="1"/>
  <c r="AJ328" i="1" s="1"/>
  <c r="AM328" i="1"/>
  <c r="AZ328" i="1" s="1"/>
  <c r="AT322" i="1"/>
  <c r="AP314" i="1"/>
  <c r="AJ314" i="1"/>
  <c r="BB307" i="1"/>
  <c r="AV291" i="1"/>
  <c r="AR291" i="1"/>
  <c r="AP307" i="1"/>
  <c r="AM253" i="1"/>
  <c r="AZ253" i="1" s="1"/>
  <c r="AP266" i="1"/>
  <c r="AJ266" i="1"/>
  <c r="AM226" i="1"/>
  <c r="AZ226" i="1" s="1"/>
  <c r="AV237" i="1"/>
  <c r="AR237" i="1"/>
  <c r="AR212" i="1"/>
  <c r="AV212" i="1"/>
  <c r="AR204" i="1"/>
  <c r="AV204" i="1"/>
  <c r="AV166" i="1"/>
  <c r="AR166" i="1"/>
  <c r="AV119" i="1"/>
  <c r="AR119" i="1"/>
  <c r="AR155" i="1"/>
  <c r="AV155" i="1"/>
  <c r="BB14" i="1"/>
  <c r="AR67" i="1"/>
  <c r="AV67" i="1"/>
  <c r="AR38" i="1"/>
  <c r="AV38" i="1"/>
  <c r="AR8" i="1"/>
  <c r="AV8" i="1"/>
  <c r="AV76" i="1"/>
  <c r="AR76" i="1"/>
  <c r="AV62" i="1"/>
  <c r="AR62" i="1"/>
  <c r="AV52" i="1"/>
  <c r="AR52" i="1"/>
  <c r="AV47" i="1"/>
  <c r="AR47" i="1"/>
  <c r="AV294" i="1"/>
  <c r="AR294" i="1"/>
  <c r="AV111" i="1"/>
  <c r="AR111" i="1"/>
  <c r="F1" i="1"/>
  <c r="AU328" i="1"/>
  <c r="AT328" i="1"/>
  <c r="AV295" i="1"/>
  <c r="AR295" i="1"/>
  <c r="AP329" i="1"/>
  <c r="AM352" i="1"/>
  <c r="AJ329" i="1"/>
  <c r="AJ352" i="1" s="1"/>
  <c r="AV346" i="1"/>
  <c r="AR346" i="1"/>
  <c r="AV338" i="1"/>
  <c r="AR338" i="1"/>
  <c r="N1" i="1"/>
  <c r="N2" i="1" s="1"/>
  <c r="AR309" i="1"/>
  <c r="AV309" i="1"/>
  <c r="AV282" i="1"/>
  <c r="AR282" i="1"/>
  <c r="AR259" i="1"/>
  <c r="AV259" i="1"/>
  <c r="AR177" i="1"/>
  <c r="AV177" i="1"/>
  <c r="AV219" i="1"/>
  <c r="AR219" i="1"/>
  <c r="AV194" i="1"/>
  <c r="AR194" i="1"/>
  <c r="AR183" i="1"/>
  <c r="AV183" i="1"/>
  <c r="AV159" i="1"/>
  <c r="AR159" i="1"/>
  <c r="AV99" i="1"/>
  <c r="AR99" i="1"/>
  <c r="AV109" i="1"/>
  <c r="AR109" i="1"/>
  <c r="AV118" i="1"/>
  <c r="AR118" i="1"/>
  <c r="AP31" i="1"/>
  <c r="AJ31" i="1"/>
  <c r="AR114" i="1"/>
  <c r="AV114" i="1"/>
  <c r="AR58" i="1"/>
  <c r="AV58" i="1"/>
  <c r="AR65" i="1"/>
  <c r="AV65" i="1"/>
  <c r="AV20" i="1"/>
  <c r="AR20" i="1"/>
  <c r="AV151" i="1"/>
  <c r="AR151" i="1"/>
  <c r="AV41" i="1"/>
  <c r="AR41" i="1"/>
  <c r="AR10" i="1"/>
  <c r="AV10" i="1"/>
  <c r="AV302" i="1"/>
  <c r="AR302" i="1"/>
  <c r="AR320" i="1"/>
  <c r="AV320" i="1"/>
  <c r="AM278" i="1"/>
  <c r="AZ278" i="1" s="1"/>
  <c r="AV306" i="1"/>
  <c r="AR306" i="1"/>
  <c r="AR340" i="1"/>
  <c r="AV340" i="1"/>
  <c r="AJ307" i="1"/>
  <c r="AM222" i="1"/>
  <c r="AZ222" i="1" s="1"/>
  <c r="AJ202" i="1"/>
  <c r="AP202" i="1"/>
  <c r="AR246" i="1"/>
  <c r="AV246" i="1"/>
  <c r="AR211" i="1"/>
  <c r="AV211" i="1"/>
  <c r="AJ230" i="1"/>
  <c r="AJ238" i="1" s="1"/>
  <c r="AP230" i="1"/>
  <c r="AM238" i="1"/>
  <c r="AZ238" i="1" s="1"/>
  <c r="AV203" i="1"/>
  <c r="AR203" i="1"/>
  <c r="BB201" i="1"/>
  <c r="AU81" i="1"/>
  <c r="AV149" i="1"/>
  <c r="AR149" i="1"/>
  <c r="AR60" i="1"/>
  <c r="AV60" i="1"/>
  <c r="AR92" i="1"/>
  <c r="AV92" i="1"/>
  <c r="AV69" i="1"/>
  <c r="AR69" i="1"/>
  <c r="AV121" i="1"/>
  <c r="AR121" i="1"/>
  <c r="AR16" i="1"/>
  <c r="AV16" i="1"/>
  <c r="AV61" i="1"/>
  <c r="AR61" i="1"/>
  <c r="AR120" i="1" l="1"/>
  <c r="AV120" i="1"/>
  <c r="AV232" i="1"/>
  <c r="AV297" i="1"/>
  <c r="AR297" i="1"/>
  <c r="AR256" i="1"/>
  <c r="AR51" i="1"/>
  <c r="AV51" i="1"/>
  <c r="AR144" i="1"/>
  <c r="AV153" i="1"/>
  <c r="AP253" i="1"/>
  <c r="AR253" i="1" s="1"/>
  <c r="AR261" i="1"/>
  <c r="AV261" i="1"/>
  <c r="AR214" i="1"/>
  <c r="AV214" i="1"/>
  <c r="AV170" i="1"/>
  <c r="AR170" i="1"/>
  <c r="AV332" i="1"/>
  <c r="AR332" i="1"/>
  <c r="AV287" i="1"/>
  <c r="AR287" i="1"/>
  <c r="AV101" i="1"/>
  <c r="AR101" i="1"/>
  <c r="AR12" i="1"/>
  <c r="AR296" i="1"/>
  <c r="AV296" i="1"/>
  <c r="AV264" i="1"/>
  <c r="AR264" i="1"/>
  <c r="AR22" i="1"/>
  <c r="AV22" i="1"/>
  <c r="AR162" i="1"/>
  <c r="AV162" i="1"/>
  <c r="AR191" i="1"/>
  <c r="AV191" i="1"/>
  <c r="AR87" i="1"/>
  <c r="AV80" i="1"/>
  <c r="AR80" i="1"/>
  <c r="AR163" i="1"/>
  <c r="AV163" i="1"/>
  <c r="AR223" i="1"/>
  <c r="AV223" i="1"/>
  <c r="AJ14" i="1"/>
  <c r="AR125" i="1"/>
  <c r="AJ106" i="1"/>
  <c r="AV270" i="1"/>
  <c r="AR270" i="1"/>
  <c r="BB1" i="1"/>
  <c r="AP290" i="1"/>
  <c r="AJ222" i="1"/>
  <c r="AJ275" i="1"/>
  <c r="AJ322" i="1"/>
  <c r="BB353" i="1"/>
  <c r="AR55" i="1"/>
  <c r="AV55" i="1"/>
  <c r="BA253" i="1"/>
  <c r="AW253" i="1"/>
  <c r="AV218" i="1"/>
  <c r="AR218" i="1"/>
  <c r="AV164" i="1"/>
  <c r="AR164" i="1"/>
  <c r="AR129" i="1"/>
  <c r="AV129" i="1"/>
  <c r="AR133" i="1"/>
  <c r="AV133" i="1"/>
  <c r="AW328" i="1"/>
  <c r="AV328" i="1"/>
  <c r="AS328" i="1"/>
  <c r="AR328" i="1"/>
  <c r="BA328" i="1"/>
  <c r="AV182" i="1"/>
  <c r="AR182" i="1"/>
  <c r="AJ201" i="1"/>
  <c r="AR31" i="1"/>
  <c r="AV31" i="1"/>
  <c r="AU14" i="1"/>
  <c r="AT14" i="1"/>
  <c r="AP275" i="1"/>
  <c r="AR272" i="1"/>
  <c r="AV272" i="1"/>
  <c r="AR190" i="1"/>
  <c r="AV190" i="1"/>
  <c r="AP201" i="1"/>
  <c r="AR107" i="1"/>
  <c r="AV107" i="1"/>
  <c r="AR15" i="1"/>
  <c r="AV15" i="1"/>
  <c r="AP81" i="1"/>
  <c r="AR89" i="1"/>
  <c r="AV89" i="1"/>
  <c r="AR147" i="1"/>
  <c r="AV147" i="1"/>
  <c r="AV266" i="1"/>
  <c r="AR266" i="1"/>
  <c r="BA307" i="1"/>
  <c r="AV307" i="1"/>
  <c r="AR307" i="1"/>
  <c r="AW307" i="1"/>
  <c r="AP14" i="1"/>
  <c r="AV4" i="1"/>
  <c r="AR4" i="1"/>
  <c r="AR158" i="1"/>
  <c r="AV158" i="1"/>
  <c r="AV205" i="1"/>
  <c r="AR205" i="1"/>
  <c r="AR313" i="1"/>
  <c r="AP322" i="1"/>
  <c r="AV313" i="1"/>
  <c r="AP352" i="1"/>
  <c r="AV329" i="1"/>
  <c r="AR329" i="1"/>
  <c r="AZ14" i="1"/>
  <c r="AT2" i="1"/>
  <c r="AV187" i="1"/>
  <c r="AR187" i="1"/>
  <c r="AJ81" i="1"/>
  <c r="AV42" i="1"/>
  <c r="AR42" i="1"/>
  <c r="AR141" i="1"/>
  <c r="AV141" i="1"/>
  <c r="AV186" i="1"/>
  <c r="AR186" i="1"/>
  <c r="AZ352" i="1"/>
  <c r="AM1" i="1"/>
  <c r="AT1" i="1" s="1"/>
  <c r="AC1" i="1"/>
  <c r="AR274" i="1"/>
  <c r="AV274" i="1"/>
  <c r="AR138" i="1"/>
  <c r="AV138" i="1"/>
  <c r="AR216" i="1"/>
  <c r="AV216" i="1"/>
  <c r="AV210" i="1"/>
  <c r="AR210" i="1"/>
  <c r="AV126" i="1"/>
  <c r="AR126" i="1"/>
  <c r="AR169" i="1"/>
  <c r="AV169" i="1"/>
  <c r="AP238" i="1"/>
  <c r="AR230" i="1"/>
  <c r="AV230" i="1"/>
  <c r="AV224" i="1"/>
  <c r="AR224" i="1"/>
  <c r="AP226" i="1"/>
  <c r="AV134" i="1"/>
  <c r="AR134" i="1"/>
  <c r="AR213" i="1"/>
  <c r="AV213" i="1"/>
  <c r="AV112" i="1"/>
  <c r="AR112" i="1"/>
  <c r="AV116" i="1"/>
  <c r="AR116" i="1"/>
  <c r="AR82" i="1"/>
  <c r="AP106" i="1"/>
  <c r="AV82" i="1"/>
  <c r="AR113" i="1"/>
  <c r="AV113" i="1"/>
  <c r="AR193" i="1"/>
  <c r="AV193" i="1"/>
  <c r="AR277" i="1"/>
  <c r="AV277" i="1"/>
  <c r="BA290" i="1"/>
  <c r="AV290" i="1"/>
  <c r="AR290" i="1"/>
  <c r="AW290" i="1"/>
  <c r="AS290" i="1"/>
  <c r="AR314" i="1"/>
  <c r="AV314" i="1"/>
  <c r="AR17" i="1"/>
  <c r="AV17" i="1"/>
  <c r="AR70" i="1"/>
  <c r="AV70" i="1"/>
  <c r="AT290" i="1"/>
  <c r="AU290" i="1"/>
  <c r="AO1" i="1"/>
  <c r="AP271" i="1"/>
  <c r="AR257" i="1"/>
  <c r="AV257" i="1"/>
  <c r="AP278" i="1"/>
  <c r="AV312" i="1"/>
  <c r="AR312" i="1"/>
  <c r="BA312" i="1"/>
  <c r="AW312" i="1"/>
  <c r="BA229" i="1"/>
  <c r="AW229" i="1"/>
  <c r="AR229" i="1"/>
  <c r="AV229" i="1"/>
  <c r="AV330" i="1"/>
  <c r="AR330" i="1"/>
  <c r="AV196" i="1"/>
  <c r="AR196" i="1"/>
  <c r="AV202" i="1"/>
  <c r="AR202" i="1"/>
  <c r="AP222" i="1"/>
  <c r="AR326" i="1"/>
  <c r="AV326" i="1"/>
  <c r="AR74" i="1"/>
  <c r="AV74" i="1"/>
  <c r="AV175" i="1"/>
  <c r="AR175" i="1"/>
  <c r="AV127" i="1"/>
  <c r="AR127" i="1"/>
  <c r="AJ271" i="1"/>
  <c r="AJ1" i="1" l="1"/>
  <c r="AJ2" i="1" s="1"/>
  <c r="AS253" i="1"/>
  <c r="AV253" i="1"/>
  <c r="AW322" i="1"/>
  <c r="BA322" i="1"/>
  <c r="AV322" i="1"/>
  <c r="AR322" i="1"/>
  <c r="AV271" i="1"/>
  <c r="BA271" i="1"/>
  <c r="AR271" i="1"/>
  <c r="AW271" i="1"/>
  <c r="AR275" i="1"/>
  <c r="BA275" i="1"/>
  <c r="AW275" i="1"/>
  <c r="AV275" i="1"/>
  <c r="AU353" i="1"/>
  <c r="BA226" i="1"/>
  <c r="AW226" i="1"/>
  <c r="AV226" i="1"/>
  <c r="AR226" i="1"/>
  <c r="AW81" i="1"/>
  <c r="BA81" i="1"/>
  <c r="AV81" i="1"/>
  <c r="AS81" i="1"/>
  <c r="AR81" i="1"/>
  <c r="BA14" i="1"/>
  <c r="AW14" i="1"/>
  <c r="AV14" i="1"/>
  <c r="AS14" i="1"/>
  <c r="AR14" i="1"/>
  <c r="AS106" i="1"/>
  <c r="AW106" i="1"/>
  <c r="AV106" i="1"/>
  <c r="AR106" i="1"/>
  <c r="BA106" i="1"/>
  <c r="AV238" i="1"/>
  <c r="AR238" i="1"/>
  <c r="BA238" i="1"/>
  <c r="AW238" i="1"/>
  <c r="AW201" i="1"/>
  <c r="AV201" i="1"/>
  <c r="BA201" i="1"/>
  <c r="AR201" i="1"/>
  <c r="AR222" i="1"/>
  <c r="AV222" i="1"/>
  <c r="BA222" i="1"/>
  <c r="AW222" i="1"/>
  <c r="AW278" i="1"/>
  <c r="AV278" i="1"/>
  <c r="AS278" i="1"/>
  <c r="BA278" i="1"/>
  <c r="AR278" i="1"/>
  <c r="BA352" i="1"/>
  <c r="AW352" i="1"/>
  <c r="AV352" i="1"/>
  <c r="AS352" i="1"/>
  <c r="AR352" i="1"/>
  <c r="AP1" i="1"/>
  <c r="AC2" i="1" s="1"/>
  <c r="AS353" i="1" l="1"/>
  <c r="AW353" i="1"/>
  <c r="AR1" i="1"/>
  <c r="AV1" i="1"/>
  <c r="AX2" i="1"/>
  <c r="AX1" i="1"/>
  <c r="AZ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Mickaël ROQUES</author>
  </authors>
  <commentList>
    <comment ref="AC2" authorId="0" shapeId="0" xr:uid="{3B53FF0E-2036-4218-A4F6-D3586D4E0D3C}">
      <text>
        <r>
          <rPr>
            <b/>
            <sz val="9"/>
            <color indexed="81"/>
            <rFont val="Tahoma"/>
            <family val="2"/>
          </rPr>
          <t>Mickaël ROQUES:</t>
        </r>
        <r>
          <rPr>
            <sz val="9"/>
            <color indexed="81"/>
            <rFont val="Tahoma"/>
            <family val="2"/>
          </rPr>
          <t xml:space="preserve">
Atterissage par rapport au budget</t>
        </r>
      </text>
    </comment>
    <comment ref="X3" authorId="0" shapeId="0" xr:uid="{8A82FC1F-43DA-4671-97FE-DF6E5B2C4BD7}">
      <text>
        <r>
          <rPr>
            <b/>
            <sz val="9"/>
            <color indexed="81"/>
            <rFont val="Tahoma"/>
            <family val="2"/>
          </rPr>
          <t>Mickaël ROQUES:</t>
        </r>
        <r>
          <rPr>
            <sz val="9"/>
            <color indexed="81"/>
            <rFont val="Tahoma"/>
            <family val="2"/>
          </rPr>
          <t xml:space="preserve">
Prix achat prévu si pas d'historique</t>
        </r>
      </text>
    </comment>
  </commentList>
</comments>
</file>

<file path=xl/sharedStrings.xml><?xml version="1.0" encoding="utf-8"?>
<sst xmlns="http://schemas.openxmlformats.org/spreadsheetml/2006/main" count="3943" uniqueCount="431">
  <si>
    <t>TOTAUX</t>
  </si>
  <si>
    <t>Famille Appro code</t>
  </si>
  <si>
    <t>Famille Appro lib</t>
  </si>
  <si>
    <t>Prod code</t>
  </si>
  <si>
    <t>Prod lib</t>
  </si>
  <si>
    <t>Famille Compta</t>
  </si>
  <si>
    <t>Qte N-1 24-25</t>
  </si>
  <si>
    <t>PMP N-1 24-25</t>
  </si>
  <si>
    <t>Unité</t>
  </si>
  <si>
    <t>CA N-1 24-25</t>
  </si>
  <si>
    <t>Budget N-1 24-25</t>
  </si>
  <si>
    <t>CA Budget N-1 24-25 (Stock déduit)</t>
  </si>
  <si>
    <t>Previsonnel budget N+1 25-26</t>
  </si>
  <si>
    <t>Prev PA N+1 25-26</t>
  </si>
  <si>
    <t>PMP 04/25-09/25</t>
  </si>
  <si>
    <t>Evo vs prix budget</t>
  </si>
  <si>
    <t>QTE achat au 30/09</t>
  </si>
  <si>
    <t>Valo Achats déjà realisés au 30/09</t>
  </si>
  <si>
    <t>Dernier prix achat 25/26</t>
  </si>
  <si>
    <t>Projection avec Besoin stock déduit - achat réalisés au 30/09/25</t>
  </si>
  <si>
    <t>Valo Achats restant au 30/09 au dernier prix achat</t>
  </si>
  <si>
    <t>REEL + PREV AU 30/09</t>
  </si>
  <si>
    <t>PIC N+1</t>
  </si>
  <si>
    <t>Unité Fact</t>
  </si>
  <si>
    <t>Ca Prev Budget N+1 PIC 25-26</t>
  </si>
  <si>
    <t>Ca Budget N-1 PIC 24-25 PBesoinsBruts*ColprixbudgetLigVal</t>
  </si>
  <si>
    <t>Projection budget 26/27</t>
  </si>
  <si>
    <t>Stock à date</t>
  </si>
  <si>
    <t>Besoin Stock deduit (PIC-stock)</t>
  </si>
  <si>
    <t xml:space="preserve">Unité </t>
  </si>
  <si>
    <t>N-1 (PMP) * PIC 25-26 (stock déduit)</t>
  </si>
  <si>
    <t>CA previsonnel stock deduit</t>
  </si>
  <si>
    <t>Évolution PA</t>
  </si>
  <si>
    <t>Delta Prix achat</t>
  </si>
  <si>
    <t>Évolution volume (stock déduit)</t>
  </si>
  <si>
    <t>Delta lié à la variation volume</t>
  </si>
  <si>
    <t>Évolution CA 24-25 vs PIC (SD) 25 26</t>
  </si>
  <si>
    <t>Delta budget / budget*</t>
  </si>
  <si>
    <t>Evol prix catégorie</t>
  </si>
  <si>
    <t>EVOLUTION DES VOLUMES KG (pic 24/25 sur pic 25-26-stock)</t>
  </si>
  <si>
    <t>EVOLUTION CA</t>
  </si>
  <si>
    <t>CA : qte 24-25*buget 25-26</t>
  </si>
  <si>
    <t>Champignons</t>
  </si>
  <si>
    <t>CEPES MORCEAUX NON BLANCHI 2/3CM IQF CAT A 1X10KG (CCE10005)</t>
  </si>
  <si>
    <t>ACH111</t>
  </si>
  <si>
    <t>KG</t>
  </si>
  <si>
    <t>€</t>
  </si>
  <si>
    <t>CHAMPIGNON DE PARIS QUARTIER SURGELE S02 INF ORIG POLOGNE (14210</t>
  </si>
  <si>
    <t>CHAMPIGNONS DE PARIS EMINCES 6MM INF SANS S02 (CCP10044-10810105</t>
  </si>
  <si>
    <t>CHAMPIGNON DE PARIS MINIATURE IQF 15/28 SANS SULFITE ORIGINE FRA</t>
  </si>
  <si>
    <t>GIROLLES ENTIERES 20-40 MM BLANCHIES IQF (CGI05002)</t>
  </si>
  <si>
    <t>CHAMPIGNONS NOIRS BLANCHIS LANIERE 4-6 MM (CCON001)</t>
  </si>
  <si>
    <t>MORILLES MORCEAUX NON BLANCHIS INF 2.5 CM (CM010001)</t>
  </si>
  <si>
    <t>Pas d'achat</t>
  </si>
  <si>
    <t>TRUFFE BRISURES BTE</t>
  </si>
  <si>
    <t>SHIITAKE LAMELLE SURG CHAMPIGNON</t>
  </si>
  <si>
    <t>CHAMPIGNON TROMPETTE SURG</t>
  </si>
  <si>
    <t>T Champignons</t>
  </si>
  <si>
    <t>Epicerie-Additif</t>
  </si>
  <si>
    <t>FARINE MANIOC HOMECRAFT CREATE 365 tapioca</t>
  </si>
  <si>
    <t>ACH203</t>
  </si>
  <si>
    <t>EXTRAIT CULINAIRE SIGNATURE VEAU OF 1207-01</t>
  </si>
  <si>
    <t>ACH113</t>
  </si>
  <si>
    <t>MIX PAELLA AROME NATUREL DE00162</t>
  </si>
  <si>
    <t>SAUCE SOJA JAPONAISE SALE CUVE 1000L (ou BIDON 4,5L 5,3KG)</t>
  </si>
  <si>
    <t>PI</t>
  </si>
  <si>
    <t>MIX TYPE COUSCOUS (DG00087)</t>
  </si>
  <si>
    <t xml:space="preserve">MIX SAUCE LANGUE  AROME NATUREL DL00560 </t>
  </si>
  <si>
    <t>AROME NATUREL VEAU CC00215 EN 15KG</t>
  </si>
  <si>
    <t>MIX GIBIER FOND AROME NATUREL CG00056</t>
  </si>
  <si>
    <t>COMPLET S/DEST VIANDES CUITES  EM00014</t>
  </si>
  <si>
    <t>AROME NATUREL FOND DE CANARD CD00953 EN 15KG</t>
  </si>
  <si>
    <t>COCO POUDRE</t>
  </si>
  <si>
    <t>AROME NATUREL FOND DE BOEUF CA00650 EN 15KG</t>
  </si>
  <si>
    <t>FIBRE DE LIN VEGETALE EMULSIFIANTE (HiI SMOOTH)</t>
  </si>
  <si>
    <t>AROME NATUREL VOLAILLE CD00954 EN 15KG</t>
  </si>
  <si>
    <t>GELATINE BOVINE 250 BLOOM 20MESH</t>
  </si>
  <si>
    <t>AROME NAT CHAMPIGNON CUISINE</t>
  </si>
  <si>
    <t>CARAMEL AROMATIQ FO</t>
  </si>
  <si>
    <t>FUMET POISSON AROME NAT CK00257</t>
  </si>
  <si>
    <t>CUMIN POUDRE</t>
  </si>
  <si>
    <t>MOUTARDE:A L'ANCIENNE S/SO2</t>
  </si>
  <si>
    <t>SEL FIN</t>
  </si>
  <si>
    <t xml:space="preserve">MOUTARDE GRAINE BLANCHE </t>
  </si>
  <si>
    <t>POIVRE BLANC MOULU</t>
  </si>
  <si>
    <t>SUCRE CRISTAL 25KG</t>
  </si>
  <si>
    <t xml:space="preserve">AGAR AGAR </t>
  </si>
  <si>
    <t>ACH133</t>
  </si>
  <si>
    <t>EPICE 5 PARFUMS</t>
  </si>
  <si>
    <t>FOND DE VOLAILLE ROTIE - LES CUISINES (3333-10)</t>
  </si>
  <si>
    <t>MIEL SEAU 25 KG ORIGINE FRANCE</t>
  </si>
  <si>
    <t>PUREE PIMENTS ROUGE (EA00177)</t>
  </si>
  <si>
    <t>MIX POUR CHILI</t>
  </si>
  <si>
    <t xml:space="preserve">GINGEMBRE POUDRE </t>
  </si>
  <si>
    <t>POIVRE DE SICHOUAN MOULU</t>
  </si>
  <si>
    <t>CARDAMOME POUDRE</t>
  </si>
  <si>
    <t>HARISSA 4/4 760G NET</t>
  </si>
  <si>
    <t>CURCUMA POUDRE</t>
  </si>
  <si>
    <t>AMANDE HACHEE 2-4MM</t>
  </si>
  <si>
    <t>CORIANDRE MOULU</t>
  </si>
  <si>
    <t>MOUTARDE : FORTE S/SO2</t>
  </si>
  <si>
    <t>POIVRE VERT SAUMURE</t>
  </si>
  <si>
    <t>PAPRIKA MOULU</t>
  </si>
  <si>
    <t>CURRY MADRAS</t>
  </si>
  <si>
    <t>CARAMEL COLORANT TS</t>
  </si>
  <si>
    <t>AROME NATUREL TERIYAKI ( EE00639)</t>
  </si>
  <si>
    <t>EXTRAIT CULINAIRE LEG BRAISES 1441-04</t>
  </si>
  <si>
    <t>AMANDES ENTIERES EMONDEES</t>
  </si>
  <si>
    <t>PIMENT POUDRE</t>
  </si>
  <si>
    <t>MUSCADE POUDRE</t>
  </si>
  <si>
    <t>SESAME GRAINE DORE</t>
  </si>
  <si>
    <t>PIMENT POUDRE ESPELETTE</t>
  </si>
  <si>
    <t>AMIDON DE RIZ BIO</t>
  </si>
  <si>
    <t>MOUTARDE NOIRE GRAIN</t>
  </si>
  <si>
    <t>MIX SAUCE HOISIN EE00779</t>
  </si>
  <si>
    <t>POUDRE DE LAIT ECREME BIO</t>
  </si>
  <si>
    <t>CANNELLE POUDRE</t>
  </si>
  <si>
    <t>RAZ EL HANOUT</t>
  </si>
  <si>
    <t>FENUGREC TT POUDRE</t>
  </si>
  <si>
    <t>CUMIN GRAINE</t>
  </si>
  <si>
    <t>CLOU DE GIROFLE POUDRE</t>
  </si>
  <si>
    <t>GOCHUJANG SAUCE LIQUIDE</t>
  </si>
  <si>
    <t>SAUCE POISSON NUOC MAN</t>
  </si>
  <si>
    <t>POLENTA TRAD GRAIN MOYEN</t>
  </si>
  <si>
    <t>SEL DE GUERANDE MOULU TRADITION 10 KG MARIN GRIS</t>
  </si>
  <si>
    <t>CHAPELURE BAN  35</t>
  </si>
  <si>
    <t>ÉMINCÉS 100% VÉGÉTAUX SURGELÉS - 5.5KG</t>
  </si>
  <si>
    <t>JAUNE D'OEUF POUDRE PASTEURISE</t>
  </si>
  <si>
    <t>AROME NATUREL TYPE TRUFFE</t>
  </si>
  <si>
    <t>T Epicerie-Additif</t>
  </si>
  <si>
    <t>Féculent</t>
  </si>
  <si>
    <t xml:space="preserve">RIZ LONG ETUVE </t>
  </si>
  <si>
    <t>NOUILLES NODDLE SANS OEUFS QUICK COOKING</t>
  </si>
  <si>
    <t>RIZ LONG BASMATI QS</t>
  </si>
  <si>
    <t>TORTELLONI TRICOLORE 3 FROMAGES PATES FARCIES SURG</t>
  </si>
  <si>
    <t>TAGLIATELLE PLATE 5mm 24cm 7 OEUFS PLEIN AIR</t>
  </si>
  <si>
    <t xml:space="preserve">TORTILLA BLE 8*15CM 240G COLZA NOUVEAU ZD GLY + GLY </t>
  </si>
  <si>
    <t>SEMOULE COUSCOUS Qualité Standard</t>
  </si>
  <si>
    <t>SPAGHETTI QS</t>
  </si>
  <si>
    <t>RIZ LONG ETUVE DE CAMARGUE QS</t>
  </si>
  <si>
    <t>FARFALLES 3 OEUFS FRAIS</t>
  </si>
  <si>
    <t>RIZ ETUVE RISOTTO</t>
  </si>
  <si>
    <t>TORTELLI AUX BOLETS SURG</t>
  </si>
  <si>
    <t>PENNE EPAIS 5 OEUFS 270G</t>
  </si>
  <si>
    <t>RIZ SAUVAGE</t>
  </si>
  <si>
    <t>SPAETZLE PLAT 7 OEUFS PLEIN AIR</t>
  </si>
  <si>
    <t xml:space="preserve">RIZ ROUGE </t>
  </si>
  <si>
    <t>PATES MACARONIS QS 5 KG</t>
  </si>
  <si>
    <t xml:space="preserve">COQUILLETTE QS 100% ble dur </t>
  </si>
  <si>
    <t>PDT FLOCONS S/PALME</t>
  </si>
  <si>
    <t>COQUILLAGE OU CONCHIGLIE 3 OEUFS FRAIS UE</t>
  </si>
  <si>
    <t>LINGUINE QS HAUTE RESISTANCE 100% BLE DUR FRANCE</t>
  </si>
  <si>
    <t xml:space="preserve">PEPINETTE BRONZE ORZO RISONI  (semoule QS) </t>
  </si>
  <si>
    <t xml:space="preserve">NOUILLES CHINOISES DE BLE </t>
  </si>
  <si>
    <t>QUINOA GOURMAND melange boulgour quinoa (f 810432)</t>
  </si>
  <si>
    <t>T Féculent</t>
  </si>
  <si>
    <t>Fruits-Légumes</t>
  </si>
  <si>
    <t>TOMATES CONCASSÉES</t>
  </si>
  <si>
    <t>ACH109</t>
  </si>
  <si>
    <t>PDT RONDELLE 5/7 SAUTEE TOURNESOL SGL 55A</t>
  </si>
  <si>
    <t>LEGUMES COUSCOUS (LME51003)</t>
  </si>
  <si>
    <t>CORNICHONS RONDELLES 40/60</t>
  </si>
  <si>
    <t>POIVRON ROUGE LANIERE - PF NP</t>
  </si>
  <si>
    <t>OIGNON CUBE 10x10 CUIT POCHE STERILISE  REF 1336002 (poche 10kg)</t>
  </si>
  <si>
    <t>PDT LAMELLE FRANCE POMME DE TERRE PAST</t>
  </si>
  <si>
    <t>OIGNON NON BLANCHI CUBE 10*10 IQF (LOI10003)</t>
  </si>
  <si>
    <t>TOMATE CONCENTRE 28/30 BRIX</t>
  </si>
  <si>
    <t>ECHALOTES 4*4 NON BLANCHI CUBE 4X4MM (HEL10004)</t>
  </si>
  <si>
    <t>AIL PULPE BLANCHI PUREE GALET SURGELE (HAL10005)</t>
  </si>
  <si>
    <t>OIGNON EMINCE Absence Listéria NON BLANCHI 2-4 MM SGL (LOI5101)</t>
  </si>
  <si>
    <t>CAROTTE ORANGE BLANCHI RONDELLE LISSE 4-7 SGL (LCA51013)</t>
  </si>
  <si>
    <t>CAPRES VINAIGRE CAPUCINES 5/1 2.4KG</t>
  </si>
  <si>
    <t>POIVRON JAUNE LANIERE - PF NP</t>
  </si>
  <si>
    <t>PETITS POIS FIN BLANCHI SGL (LPP49003)</t>
  </si>
  <si>
    <t>POMME DE TERRE PDT RONDE PELEE PASTEURISE</t>
  </si>
  <si>
    <t>PRUNEAUX DENOYAUTES</t>
  </si>
  <si>
    <t>OIGNONS GRELOTS 16-18MM BLANCHI SGL (LOI49002)</t>
  </si>
  <si>
    <t>POMME DE TERRE PDT PRE FRITES COUPE ROAST FRANCE 12x20x20 RISSOL</t>
  </si>
  <si>
    <t>TOMATE COULIS 10/12 BRIX</t>
  </si>
  <si>
    <t>COURGETTE 1/4 ROND FRAIS</t>
  </si>
  <si>
    <t>PUREE GROSEILLE</t>
  </si>
  <si>
    <t xml:space="preserve">RAISIN GOLDEN CHOISE AFS </t>
  </si>
  <si>
    <t>GINGEMBRE CUBE 4X4X4 CGL</t>
  </si>
  <si>
    <t>PDT RUSTIQUE WEDGE POMME DE TERRE FRANCE stag</t>
  </si>
  <si>
    <t>POIVRON ROUGE 10x10 IQF</t>
  </si>
  <si>
    <t>CAROTTES DEMI TRONCONS SURG IQF (LCA51015)</t>
  </si>
  <si>
    <t>AUBERGINE PREFRITE CUBE 20*20 SGL (LAB10005)</t>
  </si>
  <si>
    <t xml:space="preserve">OIGNON QUARTIER FRAIS </t>
  </si>
  <si>
    <t>ABRICOTS SECS n°3</t>
  </si>
  <si>
    <t>CAROTTE BLANCHI JULIENNE ORANGE 4X4 SGL (LCA51020) REMOULADE</t>
  </si>
  <si>
    <t>OSEILLE GROS FLOCONS</t>
  </si>
  <si>
    <t>LENTILLES VERTES ORIGINE FRANCE</t>
  </si>
  <si>
    <t>ANANAS MORCEAUX POIDS NETS EGOUTES BOITE ou POCHE</t>
  </si>
  <si>
    <t>CITRON ECORCES CUBE CONFITS EGOUTTES 6X6 MM</t>
  </si>
  <si>
    <t>NAVET 1/4 ROND FRAIS</t>
  </si>
  <si>
    <t>CAROTTES 4*4*4 BLANCHI CUBE SGL</t>
  </si>
  <si>
    <t>PERSIL STANDARD</t>
  </si>
  <si>
    <t>HARICOT ROUGE POCHE 5/1 (PNE 2.505)</t>
  </si>
  <si>
    <t>CAROTTE  JAUNE BLANCHI JULIENNE 4X4 SGL (LCA10019)</t>
  </si>
  <si>
    <t>BAMBOU POUSSE 1.8 KG</t>
  </si>
  <si>
    <t>OLIVE ENTIERE DENOYAUTE (sans gluco)</t>
  </si>
  <si>
    <t>POIVRON VERT LANIERE - PF NP IQF (LPV10003)</t>
  </si>
  <si>
    <t xml:space="preserve">BROCOLIS BLANCHI FLEURETTE 20-40 mm IQF </t>
  </si>
  <si>
    <t>COURGETTE CUBE 10*10 NON BLANCHI SURG (LCR10003)</t>
  </si>
  <si>
    <t>BROCOLIS BIO SURGELES fleurettes origine france</t>
  </si>
  <si>
    <t>ACH137</t>
  </si>
  <si>
    <t>CHATAIGNE D'EAU EMINCEES SURG DIAMETRE 20-40 MM</t>
  </si>
  <si>
    <t>JUS DE CITRON CONCENTRE 45 BRIX</t>
  </si>
  <si>
    <t>PATATE DOUCE CUBE 20X20X20 IQF</t>
  </si>
  <si>
    <t>EPINARD BRANCHE</t>
  </si>
  <si>
    <t>POMME DE TERRE 10X10X10 CUBE SURG BLANCHI FRANCE</t>
  </si>
  <si>
    <t>POIS CHICHE PRÉCUIT IQF (LPF49001)</t>
  </si>
  <si>
    <t>TOMATES CUBES 8X8 AROMATISES IQF</t>
  </si>
  <si>
    <t>ROSTI DE POMME DE TERRE EN GALETTE 30 G</t>
  </si>
  <si>
    <t>THYM POINTES SGL</t>
  </si>
  <si>
    <t>FEVES DE SOJA BLANCHI IQF (LSO10003)</t>
  </si>
  <si>
    <t>NAVET BLANCHI CUBE 10*10 SGL</t>
  </si>
  <si>
    <t>POIREAUX CUBE 10x10 NON BLANCHI SGL (LPE53009)</t>
  </si>
  <si>
    <t>CELERI BRANCHE BLANCHI 26MM SGL (LCL51004)</t>
  </si>
  <si>
    <t>PANAIS BLANCHI CUBES 10X10 IQF SGL (LPG49002)</t>
  </si>
  <si>
    <t>CIBOULE  SURG TUBE IQF (OU CEBETTE/ OIGNONS DE PRINTEMPS)</t>
  </si>
  <si>
    <t xml:space="preserve">ZESTE CITRON JAUNE LANIERE IQF </t>
  </si>
  <si>
    <t>BASILIC FLOCONS</t>
  </si>
  <si>
    <t>CIBOULETTE TUBULAIRE SGL</t>
  </si>
  <si>
    <t>COURGETTE NON BLANCHI CUBE 20X20 MM IQF (LCR10002)</t>
  </si>
  <si>
    <t>POIS CASSES VERTS</t>
  </si>
  <si>
    <t>POIREAUX EMINCES SURGELES 6MM 90% BLANC</t>
  </si>
  <si>
    <t>CORIANDRE FLOCON</t>
  </si>
  <si>
    <t>POTIMARRON CUBE 10*10MM IQF</t>
  </si>
  <si>
    <t>CAROTTE 10*10 BLANCHI CUBE SURG (LCA49012)</t>
  </si>
  <si>
    <t>CITRON JUS 8° BRIX</t>
  </si>
  <si>
    <t>CAROTTE CUBE 10X10 BIO SURGELEES origine france</t>
  </si>
  <si>
    <t>COMBAWA FEUILLES SGL</t>
  </si>
  <si>
    <t xml:space="preserve">CHOU CHINOIS EMINCES </t>
  </si>
  <si>
    <t>JUS DE CITRON VERT AV PULPE 9 BRIX BIDON SGL (GJUS160001)</t>
  </si>
  <si>
    <t>AIL BLANCHI GOUSSE ENTIERE (HAL10001)</t>
  </si>
  <si>
    <t>ABRICOT CONFITURE 35% boite 5kg</t>
  </si>
  <si>
    <t>TOPINAMBOUR SURG 10X10</t>
  </si>
  <si>
    <t>POMMES DE TERRE CUBE BIO SURGELEES  IQF  origine france</t>
  </si>
  <si>
    <t>ACH136</t>
  </si>
  <si>
    <t>CELERI RAVE BLANCHI CUBE 6*6 SGL (LCL51006)</t>
  </si>
  <si>
    <t>CAROTTE JAUNE CUBE  4*4 SGL</t>
  </si>
  <si>
    <t>MAIS DOUX GRAIN SV 3/1 PRIMANCE 1.775KG</t>
  </si>
  <si>
    <t>CITRONNELLE EMINCEE  POUDRE NEIGE SURG</t>
  </si>
  <si>
    <t>LAURIER POUDRE</t>
  </si>
  <si>
    <t>MENTHE DOUCE 1-8 MM</t>
  </si>
  <si>
    <t>PUREE DE TAMARIN (3x6kg)</t>
  </si>
  <si>
    <t>POUSSES DE HARICOTS MUNGOS</t>
  </si>
  <si>
    <t>POIVRON ROUGE 20X20</t>
  </si>
  <si>
    <t>POIVRON JAUNE 20*20</t>
  </si>
  <si>
    <t>POMME CUBE 10 X10 IQF</t>
  </si>
  <si>
    <t>OIGNON 10X10 SURGELE IQF BIO origine france</t>
  </si>
  <si>
    <t>COURGE BUTTERNUT BLANCHI CUBE 10x10 IQF (LC510003)</t>
  </si>
  <si>
    <t>CAROTTE BISEAU 8-12 FLASH PASTE ORIGINE FRANCE</t>
  </si>
  <si>
    <t>T Fruits-Légumes</t>
  </si>
  <si>
    <t>Liquides</t>
  </si>
  <si>
    <t xml:space="preserve">HUILE TOURNESOL NON HYDROGENEE </t>
  </si>
  <si>
    <t>VIN ROUGE DE BUZET</t>
  </si>
  <si>
    <t>HUILE D'OLIVE EXTRA</t>
  </si>
  <si>
    <t>VIN BLANC CHABLIS 12.5%</t>
  </si>
  <si>
    <t>HUILE DE SESAME</t>
  </si>
  <si>
    <t>VIN ROUGE COTEAUX BOURGUIGNONS AOC</t>
  </si>
  <si>
    <t>VIN BLANC 11 DEGRES</t>
  </si>
  <si>
    <t>VIN ROUGE 11Ø</t>
  </si>
  <si>
    <t>PORTO MODIFIÉ SEL &amp; POIVRE</t>
  </si>
  <si>
    <t>MADÈRE MODIFIÉ SEL &amp; POIVRE</t>
  </si>
  <si>
    <t>VINAIGRE DE XÈRES</t>
  </si>
  <si>
    <t>ALCOOL COGNAC COLORE MODIFIE 40%</t>
  </si>
  <si>
    <t>NOILLY DRY / VERMOUTH</t>
  </si>
  <si>
    <t>VIN DE MONBAZILLAC DENATURE</t>
  </si>
  <si>
    <t>VINAIGRE D'ALCOOL BLANC 8°</t>
  </si>
  <si>
    <t>ARMAGNAC MODIFIE SEL POIVRE</t>
  </si>
  <si>
    <t>VINAIGRE DE RIZ BLAN</t>
  </si>
  <si>
    <t>BIERE BLE NOIR BIO SANS GLUTEN 5.1% NON GAZEIFIEE AMBREE</t>
  </si>
  <si>
    <t>VINAIGRE BALSAMIQUE DE MODENE 6% SANS COLORANT IGP</t>
  </si>
  <si>
    <t>CIDRE BRUT TRADITIONNEL 4.5% bidon 20L</t>
  </si>
  <si>
    <t>T Liquides</t>
  </si>
  <si>
    <t>Produits de la mer-Céphalopode</t>
  </si>
  <si>
    <t>ENCORNET CUBE GEANT 2X2 CM CRUE CONG IQF GIGAS</t>
  </si>
  <si>
    <t>ACH110</t>
  </si>
  <si>
    <t>CALAMAR ANNEAUX 60 UP LOLIGOT SPP SURGELES</t>
  </si>
  <si>
    <t>ESCARGOTS CHAIR LUCORUM 2/4 SURG IQF</t>
  </si>
  <si>
    <t>T Produits de la mer-Céphalopode</t>
  </si>
  <si>
    <t>Produits de la mer-Coquillage</t>
  </si>
  <si>
    <t>MOULES COQUILLES 80/110 ENTIERES FERMEES SURG</t>
  </si>
  <si>
    <t>ACH112</t>
  </si>
  <si>
    <t>MOULE DECORTIQUEES CHILI PACIFIQUE CUITE SURG</t>
  </si>
  <si>
    <t>T Produits de la mer-Coquillage</t>
  </si>
  <si>
    <t>Produits de la mer-Crustacé</t>
  </si>
  <si>
    <t>NOIX ST JACQUES 60/80 CHLAMYS OP/PATAGO</t>
  </si>
  <si>
    <t>CREVETTE ENTIÈRE CRUE ELEVAGE 40/50 CGL</t>
  </si>
  <si>
    <t xml:space="preserve">CREVETTE QUEUS PDTO CRUES 41/50 IQF DEVEINEES </t>
  </si>
  <si>
    <t>CREVETTE DECORTIQUE 41/50 VANAMEI</t>
  </si>
  <si>
    <t>NOIX ST JACQ 20/30 PLACOPEC CONG</t>
  </si>
  <si>
    <t>LANGOUSTINE BISQUE 1</t>
  </si>
  <si>
    <t>CREVETTES DECORTIQUEES CRUES CONG OCEAN INDIEN 40/60 AUCHAN FIL</t>
  </si>
  <si>
    <t>CREVETTE DECO CUITE IQF DECORTIQUEE  BLANCHIE 300/500 SURG</t>
  </si>
  <si>
    <t>T Produits de la mer-Crustacé</t>
  </si>
  <si>
    <t>Produits de la mer-Poisson</t>
  </si>
  <si>
    <t>SAUMON PAVE  80/90 SS PEAU SS ARETES CHILI SALMO SAL</t>
  </si>
  <si>
    <t>SAUMON PORTIONS DE FILET IQF NORVEGE SANS PEAU 80/90 G</t>
  </si>
  <si>
    <t>CABILLAUD DOS 100/120 NET IQF</t>
  </si>
  <si>
    <t>LOTTE MORCEAUX USA 35/55 SS QUEUE SS PEAU ISSUE 400/800 SURG IQF</t>
  </si>
  <si>
    <t>CUBES SAUMON 15X15X15 MM ATLANTIQUE IQF SANS PEAU</t>
  </si>
  <si>
    <t>COLIN LIEU 110G S/A SURG MORCEAUX INF OU EGAL 13CM</t>
  </si>
  <si>
    <t>MORUE BITS &amp; PIECES</t>
  </si>
  <si>
    <t>MORUE 7.5KG SEL 2%</t>
  </si>
  <si>
    <t>CHAIR DE TOURTEAUX ISSUE DE CHAIR BLANCHE SURG</t>
  </si>
  <si>
    <t>SAUMON PAUPIETTE 125</t>
  </si>
  <si>
    <t>MERLU BLANC DU CAP DOS MSC 20-30G</t>
  </si>
  <si>
    <t>LOTTE PORTION DU CAP IQF 25G +/-5G</t>
  </si>
  <si>
    <t>CABILLAUD COEUR SP QSA 30/50G SURG IQF CHUNK</t>
  </si>
  <si>
    <t>FILET LOTTE CAP CONGELE 80-100  (POUR POCHE)</t>
  </si>
  <si>
    <t>T Produits de la mer-Poisson</t>
  </si>
  <si>
    <t>Produits d'oeuf</t>
  </si>
  <si>
    <t>OMELETTE NATURE BROUILLES SURGELES OEUF FRANCE</t>
  </si>
  <si>
    <t>BLANC D OEUF POUDRE</t>
  </si>
  <si>
    <t>T Produits d'œuf</t>
  </si>
  <si>
    <t>Produits laitiers</t>
  </si>
  <si>
    <t>CREME UHT SANS CARRAGHENANE</t>
  </si>
  <si>
    <t xml:space="preserve">BEURRE DOUX 82 % </t>
  </si>
  <si>
    <t>CREME D'ISIGNY AOP 35% MG</t>
  </si>
  <si>
    <t>REBLOCHON PIECE 480G ENVIRON ENTIER</t>
  </si>
  <si>
    <t>FROMAGE PARMESAN RAPE</t>
  </si>
  <si>
    <t>FROMAGE EMMENTAL RAPE</t>
  </si>
  <si>
    <t>COMTE AOP 12 MOIS MINIDES 10x10mm FRANCE</t>
  </si>
  <si>
    <t>REBLOCHON  FRANCE</t>
  </si>
  <si>
    <t>LAIT 1/2 ECREME UHT</t>
  </si>
  <si>
    <t>YAOURT POUDRE</t>
  </si>
  <si>
    <t>CRUMBLE DE CHEVRE IQF SURG UE</t>
  </si>
  <si>
    <t xml:space="preserve">BEURRE DOUX 82 % BIO </t>
  </si>
  <si>
    <t>CREME FRAICHE FLUIDE 30% PASTEURISEE FRANCE</t>
  </si>
  <si>
    <t>FROMAGE BLEU AUVERGNE CRUMBLE FRAIS FRANCE AOP</t>
  </si>
  <si>
    <t>T Produits laitiers</t>
  </si>
  <si>
    <t>Produits-Négoce</t>
  </si>
  <si>
    <t>GUACAMOLE COUPELLE 0.100KG</t>
  </si>
  <si>
    <t>ACH101</t>
  </si>
  <si>
    <t>VERRINES 40G FG BLOC POMME SPECULOS X12</t>
  </si>
  <si>
    <t>ACH003</t>
  </si>
  <si>
    <t xml:space="preserve">VERRINES 40G ST JACQ POMME CAROTTE X12 </t>
  </si>
  <si>
    <t>T Produits-Négoce</t>
  </si>
  <si>
    <t>Viande-Agneau</t>
  </si>
  <si>
    <t>AGNEAU SOURIS 350 - 450 G</t>
  </si>
  <si>
    <t>ACH103</t>
  </si>
  <si>
    <t>AGNEAU SAUTE 60/70 EPAULE IQF</t>
  </si>
  <si>
    <t>T Viande-Agneau</t>
  </si>
  <si>
    <t>Viande-Boeuf</t>
  </si>
  <si>
    <t xml:space="preserve">BOEUF UE LANGUE ORIGINE UE CUITE </t>
  </si>
  <si>
    <t>ACH104</t>
  </si>
  <si>
    <t>FR LANGUE BOEUF ORIGINE FRANCE CUITE fraiche ou surg</t>
  </si>
  <si>
    <t>BŒUF SAUTE JARRET VBF 45G  CGL</t>
  </si>
  <si>
    <t>BOEUF SAUTE PALERON FR 40G CGL</t>
  </si>
  <si>
    <t>BOEUF LAMELLES PRÉCUITES IQF</t>
  </si>
  <si>
    <t>BOEUF GRAINS DE VIANDE BOVINE VBF SURG CUIT SALE</t>
  </si>
  <si>
    <t>BOEUF SAUTE 45G+/-10G COLLIER FRANCE VBF SURG</t>
  </si>
  <si>
    <t>BOEUF JOUE 40/60 OF IQF FRANCE</t>
  </si>
  <si>
    <t>BŒUF PALERON 160/180 PAVE VBF SG</t>
  </si>
  <si>
    <t>BOEUF HACHE GRANULES VBF CRUS 14% MG 6 MM DIAM IQF</t>
  </si>
  <si>
    <t>BOEUF LANGUE CUITE CGL 600 UP</t>
  </si>
  <si>
    <t>T Viande-Bœuf</t>
  </si>
  <si>
    <t>Viande-Charcuterie</t>
  </si>
  <si>
    <t>SAUCISSE PORC VPF FUMEE CUITE CLEAN LABEL 15MM TRANCHE IQF 5KG</t>
  </si>
  <si>
    <t>ACH105</t>
  </si>
  <si>
    <t>MERGUEZ BOEUF MOUTON CRUE 34G FR</t>
  </si>
  <si>
    <t>PORC LARDON CUIT FUME VPF 8X10XHP IQF</t>
  </si>
  <si>
    <t>BOULETTES DE VOLAILLE 20G SURG</t>
  </si>
  <si>
    <t>ACH107</t>
  </si>
  <si>
    <t>BOULETTE BOEUF VBF 25G SURG</t>
  </si>
  <si>
    <t>PORC CHORIZO 3G PUR PORC D32 SANS CONSERV ORIGINE FRANCE IQF</t>
  </si>
  <si>
    <t>PORC POITRINE CRUE FUMEE CHOIX 1/8 TR 10MM VPF IQF</t>
  </si>
  <si>
    <t>PORC JAMBON TALONS CUIT SUPERIEUR FRAIS 5KG VPF</t>
  </si>
  <si>
    <t>PORC LARDON CUIT FUMÉ 8X10XHP JDL SURGELÉ IQF VPF</t>
  </si>
  <si>
    <t>TSUKUNE BOULETTES  25G SURG</t>
  </si>
  <si>
    <t>BOULETTES KEFTA 25G SURG</t>
  </si>
  <si>
    <t>BOULETTE VBF KOFTE CUITE IQF (AGNEAU BOEUF SOJA) 15g</t>
  </si>
  <si>
    <t>SAUCISSE PORC TRONCON CUIT TLS SURG IQF 25/30 VPF PORC JDL</t>
  </si>
  <si>
    <t xml:space="preserve">MERGUEZ BOEUF MOUTON SURGELEES 34 GR </t>
  </si>
  <si>
    <t>SAUCISSES AUX HERBES VPF 80g</t>
  </si>
  <si>
    <t xml:space="preserve">MERGUEZ SURG 40G </t>
  </si>
  <si>
    <t>T Viande-Charcuterie</t>
  </si>
  <si>
    <t>Viande-Gibier</t>
  </si>
  <si>
    <t>CHEVREUIL SAUTE 40/60 CGL ORIGINE UE</t>
  </si>
  <si>
    <t>ACH108</t>
  </si>
  <si>
    <t>SANGLIER SAUT EPAULE/COLLIER/POITRINE 40/60G UE poche 8kg</t>
  </si>
  <si>
    <t>CERF/BICHE SAUTE 40/60G EPAULE/COLL/POITRINE CGL poche 8kg</t>
  </si>
  <si>
    <t>CERF SAUTE EPAULE COLLIER POITRINE FRANCE 40/60G</t>
  </si>
  <si>
    <t>T Viande-gibier</t>
  </si>
  <si>
    <t>Viande-Porc</t>
  </si>
  <si>
    <t>CHOUX FARCIS CUIT ENVIRON 160G SURG</t>
  </si>
  <si>
    <t>PORC FILET MIGNON 50/60 IQF VPF</t>
  </si>
  <si>
    <t>PORC EPAULE 4D VPF 40/60 CGL</t>
  </si>
  <si>
    <t>PORC EPAULE 4D LANIERES IQF VPF</t>
  </si>
  <si>
    <t xml:space="preserve">PORC FILET MIGNON DE PORC 100/120 SURG </t>
  </si>
  <si>
    <t>PORC ROGNONS VPF BLOC 25 SURG</t>
  </si>
  <si>
    <t>PORC JOUE DE PORC SURG</t>
  </si>
  <si>
    <t>SANG DE PORC</t>
  </si>
  <si>
    <t>PORC VPF EPAULE 4D 60/80 SURG</t>
  </si>
  <si>
    <t>T Viande-Porc</t>
  </si>
  <si>
    <t>Viande-Veau</t>
  </si>
  <si>
    <t>VEAU SAUTE EPAULE 40G VVF IQF</t>
  </si>
  <si>
    <t>ACH106</t>
  </si>
  <si>
    <t>VEAU SAUTE EPAULE/BAS CARRE U E 35/55</t>
  </si>
  <si>
    <t>VEAU:PAUPIETT FARCE PORC 120G</t>
  </si>
  <si>
    <t>VEAU PAUPIETTE AVEC FICELLE LARDEE 140G IQF</t>
  </si>
  <si>
    <t>VEAU SAUTE JARRET 160/180 CGL FRANCE</t>
  </si>
  <si>
    <t>T Viande-Veau</t>
  </si>
  <si>
    <t>Viande-Volaille</t>
  </si>
  <si>
    <t>POULET HDC 130/160 FRANCE SGL</t>
  </si>
  <si>
    <t>CANETTE CUISSE VF CALIBRE 150/200</t>
  </si>
  <si>
    <t>POULET CRU FILET MX CGL FRANCE</t>
  </si>
  <si>
    <t>POULET PILON 100/120 FRANCE SGL</t>
  </si>
  <si>
    <t>POULET CRU FILET UE FRAIS OU SURG</t>
  </si>
  <si>
    <t>DINDE ESCALOPE MILANAISE 100 +/-5G IQF</t>
  </si>
  <si>
    <t>CHAPON:CUISSE MRCX 160/180 GR</t>
  </si>
  <si>
    <t>POULET HDC 130/160 UE surg</t>
  </si>
  <si>
    <t>POULET VIANDE DE ROUGE DE HDC S/OS S/P FRANCE SURG</t>
  </si>
  <si>
    <t>CANE CANARD FILET 200/280G MAIGRE origine France</t>
  </si>
  <si>
    <t>POULET AIGUILLETTE FRANCE SURG</t>
  </si>
  <si>
    <t>OIE : FILET S/PEAU S/OS A/AIG 35/45g CGL</t>
  </si>
  <si>
    <t>MORCEAUX DE FOIE GRAS DE CANARD CUIT (R035) CHUTE</t>
  </si>
  <si>
    <t>LAPIN CUISSE 170-200G CONG FRANCE</t>
  </si>
  <si>
    <t>SOT L'Y LAISSE DINDE SOUS VIDE 2.5KG origine france surg</t>
  </si>
  <si>
    <t>POULARDE MORCEAUX DE CUISSE 130/170</t>
  </si>
  <si>
    <t>CANARD GRAISSE FONDUE CONGE</t>
  </si>
  <si>
    <t>POULET FILET MORCEAUX 15/25G S/PEAU SURG FRANCE</t>
  </si>
  <si>
    <t>CAILLES 150/170G PC</t>
  </si>
  <si>
    <t>EFFILOCHE DE CANARD MAIGRE CONFIT PASTEURISE FRAIS</t>
  </si>
  <si>
    <t>CHAPON CUISSES MORCEAUX 120-160 G ORIGINE UE</t>
  </si>
  <si>
    <t>POULET HDC 100/130 FRANCE SURG</t>
  </si>
  <si>
    <t>CUISS CANETTE 160/180G EBOUTTEES CGL</t>
  </si>
  <si>
    <t>T Viande-Volaille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</si>
</sst>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\ [$€-40C]_-;\-* #,##0\ [$€-40C]_-;_-* &quot;-&quot;??\ [$€-40C]_-;_-@_-"/>
    <numFmt numFmtId="165" formatCode="_-* #,##0.00\ [$€-40C]_-;\-* #,##0.00\ [$€-40C]_-;_-* &quot;-&quot;??\ [$€-40C]_-;_-@_-"/>
    <numFmt numFmtId="166" formatCode="#,##0.00\ &quot;€&quot;"/>
    <numFmt numFmtId="168" formatCode="_-* #,##0\ _€_-;\-* #,##0\ _€_-;_-* &quot;-&quot;??\ _€_-;_-@_-"/>
    <numFmt numFmtId="169" formatCode="#,##0\ &quot;€&quot;"/>
    <numFmt numFmtId="170" formatCode="_-* #,##0\ &quot;€&quot;_-;\-* #,##0\ &quot;€&quot;_-;_-* &quot;-&quot;??\ &quot;€&quot;_-;_-@_-"/>
    <numFmt numFmtId="171" formatCode="0.0%"/>
    <numFmt numFmtId="172" formatCode="#,##0.0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4"/>
      <color indexed="8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3" fontId="2" fillId="2" borderId="0" xfId="2" applyNumberFormat="1" applyFont="1" applyFill="1"/>
    <xf numFmtId="44" fontId="2" fillId="3" borderId="0" xfId="2" applyFont="1" applyFill="1"/>
    <xf numFmtId="164" fontId="2" fillId="2" borderId="0" xfId="2" applyNumberFormat="1" applyFont="1" applyFill="1"/>
    <xf numFmtId="44" fontId="2" fillId="0" borderId="0" xfId="2" applyFont="1"/>
    <xf numFmtId="165" fontId="4" fillId="0" borderId="0" xfId="2" applyNumberFormat="1" applyFont="1" applyFill="1"/>
    <xf numFmtId="165" fontId="2" fillId="2" borderId="0" xfId="2" applyNumberFormat="1" applyFont="1" applyFill="1"/>
    <xf numFmtId="165" fontId="2" fillId="4" borderId="0" xfId="2" applyNumberFormat="1" applyFont="1" applyFill="1"/>
    <xf numFmtId="166" fontId="4" fillId="5" borderId="0" xfId="2" applyNumberFormat="1" applyFont="1" applyFill="1"/>
    <xf numFmtId="168" fontId="0" fillId="6" borderId="0" xfId="1" applyNumberFormat="1" applyFont="1" applyFill="1"/>
    <xf numFmtId="169" fontId="2" fillId="2" borderId="0" xfId="2" applyNumberFormat="1" applyFont="1" applyFill="1"/>
    <xf numFmtId="166" fontId="0" fillId="6" borderId="0" xfId="0" applyNumberFormat="1" applyFill="1"/>
    <xf numFmtId="168" fontId="2" fillId="2" borderId="0" xfId="1" applyNumberFormat="1" applyFont="1" applyFill="1"/>
    <xf numFmtId="170" fontId="2" fillId="0" borderId="0" xfId="2" applyNumberFormat="1" applyFont="1" applyFill="1"/>
    <xf numFmtId="170" fontId="2" fillId="2" borderId="0" xfId="2" applyNumberFormat="1" applyFont="1" applyFill="1"/>
    <xf numFmtId="9" fontId="2" fillId="7" borderId="0" xfId="3" applyFont="1" applyFill="1"/>
    <xf numFmtId="9" fontId="2" fillId="0" borderId="0" xfId="3" applyFont="1"/>
    <xf numFmtId="9" fontId="2" fillId="2" borderId="0" xfId="3" applyFont="1" applyFill="1"/>
    <xf numFmtId="9" fontId="2" fillId="8" borderId="0" xfId="3" applyFont="1" applyFill="1"/>
    <xf numFmtId="171" fontId="2" fillId="0" borderId="0" xfId="3" applyNumberFormat="1" applyFont="1"/>
    <xf numFmtId="3" fontId="0" fillId="0" borderId="0" xfId="0" applyNumberFormat="1"/>
    <xf numFmtId="44" fontId="0" fillId="3" borderId="0" xfId="2" applyFont="1" applyFill="1"/>
    <xf numFmtId="44" fontId="0" fillId="0" borderId="0" xfId="2" applyFont="1"/>
    <xf numFmtId="44" fontId="2" fillId="9" borderId="0" xfId="2" applyFont="1" applyFill="1"/>
    <xf numFmtId="165" fontId="0" fillId="4" borderId="0" xfId="0" applyNumberFormat="1" applyFill="1"/>
    <xf numFmtId="166" fontId="0" fillId="5" borderId="0" xfId="0" applyNumberFormat="1" applyFill="1"/>
    <xf numFmtId="169" fontId="0" fillId="10" borderId="0" xfId="1" applyNumberFormat="1" applyFont="1" applyFill="1"/>
    <xf numFmtId="166" fontId="0" fillId="10" borderId="0" xfId="0" applyNumberFormat="1" applyFill="1"/>
    <xf numFmtId="169" fontId="0" fillId="10" borderId="0" xfId="0" applyNumberFormat="1" applyFill="1"/>
    <xf numFmtId="10" fontId="5" fillId="10" borderId="0" xfId="3" applyNumberFormat="1" applyFont="1" applyFill="1"/>
    <xf numFmtId="0" fontId="0" fillId="10" borderId="0" xfId="0" applyFill="1"/>
    <xf numFmtId="10" fontId="0" fillId="10" borderId="0" xfId="3" applyNumberFormat="1" applyFont="1" applyFill="1"/>
    <xf numFmtId="4" fontId="0" fillId="0" borderId="0" xfId="0" applyNumberFormat="1"/>
    <xf numFmtId="0" fontId="0" fillId="11" borderId="0" xfId="0" applyFill="1"/>
    <xf numFmtId="165" fontId="0" fillId="11" borderId="0" xfId="2" applyNumberFormat="1" applyFont="1" applyFill="1"/>
    <xf numFmtId="9" fontId="0" fillId="7" borderId="0" xfId="3" applyFont="1" applyFill="1"/>
    <xf numFmtId="9" fontId="3" fillId="0" borderId="0" xfId="3" applyFont="1"/>
    <xf numFmtId="44" fontId="5" fillId="8" borderId="0" xfId="2" applyFont="1" applyFill="1"/>
    <xf numFmtId="0" fontId="5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vertical="center" wrapText="1"/>
    </xf>
    <xf numFmtId="44" fontId="5" fillId="3" borderId="1" xfId="2" applyFont="1" applyFill="1" applyBorder="1" applyAlignment="1">
      <alignment vertical="center" wrapText="1"/>
    </xf>
    <xf numFmtId="44" fontId="5" fillId="0" borderId="1" xfId="2" applyFont="1" applyBorder="1" applyAlignment="1">
      <alignment vertical="center" wrapText="1"/>
    </xf>
    <xf numFmtId="165" fontId="5" fillId="4" borderId="1" xfId="0" applyNumberFormat="1" applyFont="1" applyFill="1" applyBorder="1" applyAlignment="1">
      <alignment vertical="center" wrapText="1"/>
    </xf>
    <xf numFmtId="166" fontId="5" fillId="5" borderId="1" xfId="0" applyNumberFormat="1" applyFont="1" applyFill="1" applyBorder="1" applyAlignment="1">
      <alignment vertical="center" wrapText="1"/>
    </xf>
    <xf numFmtId="166" fontId="5" fillId="6" borderId="1" xfId="0" applyNumberFormat="1" applyFont="1" applyFill="1" applyBorder="1" applyAlignment="1">
      <alignment vertical="center" wrapText="1"/>
    </xf>
    <xf numFmtId="169" fontId="5" fillId="10" borderId="1" xfId="0" applyNumberFormat="1" applyFont="1" applyFill="1" applyBorder="1" applyAlignment="1">
      <alignment vertical="center" wrapText="1"/>
    </xf>
    <xf numFmtId="166" fontId="5" fillId="10" borderId="1" xfId="0" applyNumberFormat="1" applyFont="1" applyFill="1" applyBorder="1" applyAlignment="1">
      <alignment vertical="center" wrapText="1"/>
    </xf>
    <xf numFmtId="1" fontId="5" fillId="10" borderId="1" xfId="0" applyNumberFormat="1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0" fontId="5" fillId="10" borderId="1" xfId="0" applyFont="1" applyFill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0" fontId="5" fillId="11" borderId="1" xfId="0" applyFont="1" applyFill="1" applyBorder="1" applyAlignment="1">
      <alignment vertical="center" wrapText="1"/>
    </xf>
    <xf numFmtId="165" fontId="5" fillId="11" borderId="1" xfId="2" applyNumberFormat="1" applyFont="1" applyFill="1" applyBorder="1" applyAlignment="1">
      <alignment vertical="center" wrapText="1"/>
    </xf>
    <xf numFmtId="9" fontId="5" fillId="7" borderId="1" xfId="3" applyFont="1" applyFill="1" applyBorder="1" applyAlignment="1">
      <alignment vertical="center" wrapText="1"/>
    </xf>
    <xf numFmtId="9" fontId="5" fillId="0" borderId="1" xfId="3" applyFont="1" applyBorder="1" applyAlignment="1">
      <alignment vertical="center" wrapText="1"/>
    </xf>
    <xf numFmtId="170" fontId="0" fillId="0" borderId="0" xfId="2" applyNumberFormat="1" applyFont="1"/>
    <xf numFmtId="172" fontId="0" fillId="0" borderId="0" xfId="0" applyNumberFormat="1"/>
    <xf numFmtId="171" fontId="0" fillId="5" borderId="0" xfId="3" applyNumberFormat="1" applyFont="1" applyFill="1"/>
    <xf numFmtId="168" fontId="0" fillId="10" borderId="0" xfId="1" applyNumberFormat="1" applyFont="1" applyFill="1"/>
    <xf numFmtId="169" fontId="5" fillId="10" borderId="0" xfId="1" applyNumberFormat="1" applyFont="1" applyFill="1"/>
    <xf numFmtId="3" fontId="0" fillId="10" borderId="0" xfId="0" applyNumberFormat="1" applyFill="1"/>
    <xf numFmtId="170" fontId="0" fillId="10" borderId="0" xfId="2" applyNumberFormat="1" applyFont="1" applyFill="1"/>
    <xf numFmtId="164" fontId="0" fillId="11" borderId="0" xfId="0" applyNumberFormat="1" applyFill="1"/>
    <xf numFmtId="164" fontId="0" fillId="11" borderId="0" xfId="2" applyNumberFormat="1" applyFont="1" applyFill="1"/>
    <xf numFmtId="9" fontId="0" fillId="0" borderId="0" xfId="3" applyFont="1"/>
    <xf numFmtId="9" fontId="6" fillId="2" borderId="0" xfId="3" applyFont="1" applyFill="1"/>
    <xf numFmtId="0" fontId="5" fillId="12" borderId="0" xfId="0" applyFont="1" applyFill="1"/>
    <xf numFmtId="3" fontId="5" fillId="12" borderId="0" xfId="0" applyNumberFormat="1" applyFont="1" applyFill="1"/>
    <xf numFmtId="44" fontId="5" fillId="12" borderId="0" xfId="2" applyFont="1" applyFill="1"/>
    <xf numFmtId="170" fontId="5" fillId="12" borderId="0" xfId="2" applyNumberFormat="1" applyFont="1" applyFill="1"/>
    <xf numFmtId="172" fontId="5" fillId="12" borderId="0" xfId="0" applyNumberFormat="1" applyFont="1" applyFill="1"/>
    <xf numFmtId="165" fontId="5" fillId="12" borderId="0" xfId="0" applyNumberFormat="1" applyFont="1" applyFill="1"/>
    <xf numFmtId="0" fontId="5" fillId="5" borderId="0" xfId="0" applyFont="1" applyFill="1"/>
    <xf numFmtId="3" fontId="5" fillId="10" borderId="0" xfId="2" applyNumberFormat="1" applyFont="1" applyFill="1"/>
    <xf numFmtId="165" fontId="5" fillId="10" borderId="0" xfId="2" applyNumberFormat="1" applyFont="1" applyFill="1"/>
    <xf numFmtId="170" fontId="5" fillId="10" borderId="0" xfId="2" applyNumberFormat="1" applyFont="1" applyFill="1"/>
    <xf numFmtId="168" fontId="5" fillId="12" borderId="0" xfId="1" applyNumberFormat="1" applyFont="1" applyFill="1"/>
    <xf numFmtId="165" fontId="5" fillId="12" borderId="0" xfId="2" applyNumberFormat="1" applyFont="1" applyFill="1"/>
    <xf numFmtId="3" fontId="5" fillId="12" borderId="0" xfId="2" applyNumberFormat="1" applyFont="1" applyFill="1"/>
    <xf numFmtId="164" fontId="5" fillId="11" borderId="0" xfId="2" applyNumberFormat="1" applyFont="1" applyFill="1"/>
    <xf numFmtId="9" fontId="5" fillId="12" borderId="0" xfId="3" applyFont="1" applyFill="1"/>
    <xf numFmtId="165" fontId="5" fillId="12" borderId="0" xfId="3" applyNumberFormat="1" applyFont="1" applyFill="1"/>
    <xf numFmtId="165" fontId="5" fillId="5" borderId="0" xfId="2" applyNumberFormat="1" applyFont="1" applyFill="1"/>
    <xf numFmtId="0" fontId="0" fillId="7" borderId="0" xfId="0" applyFill="1"/>
    <xf numFmtId="165" fontId="0" fillId="0" borderId="0" xfId="3" applyNumberFormat="1" applyFont="1"/>
    <xf numFmtId="165" fontId="0" fillId="0" borderId="0" xfId="0" applyNumberFormat="1"/>
  </cellXfs>
  <cellStyles count="4">
    <cellStyle name="Milliers" xfId="1" builtinId="3"/>
    <cellStyle name="Monétaire" xfId="2" builtinId="4"/>
    <cellStyle name="Normal" xfId="0" builtinId="0"/>
    <cellStyle name="Pourcentage" xfId="3" builtinId="5"/>
  </cellStyles>
  <dxfs count="3">
    <dxf>
      <font>
        <color rgb="FFC00000"/>
      </font>
      <fill>
        <patternFill>
          <bgColor theme="5"/>
        </patternFill>
      </fill>
    </dxf>
    <dxf>
      <font>
        <color theme="9" tint="-0.24994659260841701"/>
      </font>
      <fill>
        <patternFill>
          <bgColor theme="5"/>
        </patternFill>
      </fill>
    </dxf>
    <dxf>
      <font>
        <color rgb="FFC0000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omoz\Downloads\budget%2025%2026%20MP%20EMB%20EPI%20actualisation%20PIC%20au%2025-03-25%20V7.xlsx" TargetMode="External"/><Relationship Id="rId1" Type="http://schemas.openxmlformats.org/officeDocument/2006/relationships/externalLinkPath" Target="/Users/momoz/Downloads/budget%2025%2026%20MP%20EMB%20EPI%20actualisation%20PIC%20au%2025-03-25%20V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CF-RO~1.M/AppData/Local/Temp/42/temp848221166978074245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CAP Achat"/>
      <sheetName val="RECAP transport frais "/>
      <sheetName val="RECAP Transport surg"/>
      <sheetName val="RECAP Prestation"/>
      <sheetName val="RECAP prepa commande "/>
      <sheetName val="Tableau récapitulatif"/>
      <sheetName val="Budget V7 avec PIC MP"/>
      <sheetName val="Budget v8 au 30-09-25"/>
      <sheetName val="Graph"/>
      <sheetName val="Budget Emballage"/>
      <sheetName val="Budget EPI"/>
      <sheetName val="Variation MP"/>
      <sheetName val="stock au 25-03-25"/>
      <sheetName val="Feuil2"/>
      <sheetName val="pic au 25-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B3">
            <v>1</v>
          </cell>
          <cell r="C3" t="str">
            <v>*</v>
          </cell>
          <cell r="D3">
            <v>0</v>
          </cell>
        </row>
        <row r="4">
          <cell r="B4">
            <v>2</v>
          </cell>
          <cell r="C4" t="str">
            <v>*</v>
          </cell>
          <cell r="D4">
            <v>0</v>
          </cell>
        </row>
        <row r="5">
          <cell r="B5">
            <v>3</v>
          </cell>
          <cell r="C5" t="str">
            <v>*</v>
          </cell>
          <cell r="D5">
            <v>0</v>
          </cell>
        </row>
        <row r="6">
          <cell r="B6">
            <v>4</v>
          </cell>
          <cell r="C6" t="str">
            <v>*</v>
          </cell>
          <cell r="D6">
            <v>0</v>
          </cell>
        </row>
        <row r="7">
          <cell r="B7">
            <v>5</v>
          </cell>
          <cell r="C7" t="str">
            <v>*</v>
          </cell>
          <cell r="D7">
            <v>0</v>
          </cell>
        </row>
        <row r="8">
          <cell r="B8">
            <v>6</v>
          </cell>
          <cell r="C8" t="str">
            <v>*</v>
          </cell>
          <cell r="D8">
            <v>0</v>
          </cell>
        </row>
        <row r="9">
          <cell r="B9">
            <v>7</v>
          </cell>
          <cell r="C9" t="str">
            <v>*</v>
          </cell>
          <cell r="D9">
            <v>0</v>
          </cell>
        </row>
        <row r="10">
          <cell r="B10">
            <v>8</v>
          </cell>
          <cell r="C10" t="str">
            <v>*</v>
          </cell>
          <cell r="D10">
            <v>0</v>
          </cell>
        </row>
        <row r="11">
          <cell r="B11">
            <v>9</v>
          </cell>
          <cell r="C11">
            <v>360421</v>
          </cell>
          <cell r="D11">
            <v>0.35</v>
          </cell>
        </row>
        <row r="12">
          <cell r="B12">
            <v>9</v>
          </cell>
          <cell r="C12">
            <v>340581</v>
          </cell>
          <cell r="D12">
            <v>0.3</v>
          </cell>
        </row>
        <row r="13">
          <cell r="B13">
            <v>10</v>
          </cell>
          <cell r="C13" t="str">
            <v>*</v>
          </cell>
          <cell r="D13">
            <v>0</v>
          </cell>
        </row>
        <row r="14">
          <cell r="B14">
            <v>11</v>
          </cell>
          <cell r="C14" t="str">
            <v>*</v>
          </cell>
          <cell r="D14">
            <v>0</v>
          </cell>
        </row>
        <row r="15">
          <cell r="B15">
            <v>12</v>
          </cell>
          <cell r="C15" t="str">
            <v>*</v>
          </cell>
          <cell r="D15">
            <v>0</v>
          </cell>
        </row>
        <row r="16">
          <cell r="B16">
            <v>13</v>
          </cell>
          <cell r="C16" t="str">
            <v>*</v>
          </cell>
          <cell r="D16">
            <v>0.15</v>
          </cell>
        </row>
        <row r="17">
          <cell r="B17">
            <v>14</v>
          </cell>
          <cell r="C17" t="str">
            <v>*</v>
          </cell>
          <cell r="D17">
            <v>0.17</v>
          </cell>
        </row>
        <row r="18">
          <cell r="B18">
            <v>15</v>
          </cell>
          <cell r="C18" t="str">
            <v>*</v>
          </cell>
          <cell r="D18">
            <v>0</v>
          </cell>
        </row>
        <row r="19">
          <cell r="B19">
            <v>16</v>
          </cell>
          <cell r="C19" t="str">
            <v>*</v>
          </cell>
          <cell r="D19">
            <v>0</v>
          </cell>
        </row>
        <row r="20">
          <cell r="B20">
            <v>17</v>
          </cell>
          <cell r="C20" t="str">
            <v>*</v>
          </cell>
          <cell r="D20">
            <v>0</v>
          </cell>
        </row>
        <row r="21">
          <cell r="B21">
            <v>18</v>
          </cell>
          <cell r="C21" t="str">
            <v>*</v>
          </cell>
          <cell r="D21">
            <v>0.3</v>
          </cell>
        </row>
        <row r="22">
          <cell r="B22">
            <v>19</v>
          </cell>
          <cell r="C22" t="str">
            <v>*</v>
          </cell>
          <cell r="D22">
            <v>0.08</v>
          </cell>
        </row>
      </sheetData>
      <sheetData sheetId="12">
        <row r="1">
          <cell r="A1" t="str">
            <v>Prod code</v>
          </cell>
          <cell r="B1" t="str">
            <v>Prod lib</v>
          </cell>
          <cell r="C1" t="str">
            <v>Famille Compta</v>
          </cell>
          <cell r="D1" t="str">
            <v>Qte N-1 24-25</v>
          </cell>
          <cell r="E1" t="str">
            <v>Unité Fact</v>
          </cell>
          <cell r="F1" t="str">
            <v>PMP N-1 24-25</v>
          </cell>
          <cell r="G1" t="str">
            <v>Unité</v>
          </cell>
          <cell r="H1" t="str">
            <v>CA N-1 24-25</v>
          </cell>
          <cell r="I1" t="str">
            <v>Unité</v>
          </cell>
          <cell r="J1" t="str">
            <v>Budget N-1 24-25</v>
          </cell>
          <cell r="K1" t="str">
            <v>Unité</v>
          </cell>
          <cell r="L1" t="str">
            <v>CA Budget N-1 24-25</v>
          </cell>
          <cell r="M1" t="str">
            <v>Unité</v>
          </cell>
          <cell r="N1" t="str">
            <v>Previsonnel budget N+1 25-26</v>
          </cell>
          <cell r="O1" t="str">
            <v>Unité</v>
          </cell>
          <cell r="P1" t="str">
            <v>PIC N+1</v>
          </cell>
          <cell r="Q1" t="str">
            <v>Unité Fact</v>
          </cell>
          <cell r="R1" t="str">
            <v>Ca Prev Budget N+1 PIC 25-26</v>
          </cell>
          <cell r="S1" t="str">
            <v>Unité</v>
          </cell>
          <cell r="T1" t="str">
            <v>Ca Budget N-1 PIC 24-25</v>
          </cell>
          <cell r="U1" t="str">
            <v>Unité</v>
          </cell>
          <cell r="V1" t="str">
            <v>Ecard Budget</v>
          </cell>
          <cell r="W1" t="str">
            <v>Unité</v>
          </cell>
          <cell r="X1" t="str">
            <v>Stock à date</v>
          </cell>
        </row>
        <row r="2">
          <cell r="A2">
            <v>338268</v>
          </cell>
          <cell r="B2" t="str">
            <v>CHAMPIGNON DE PARIS MINIATURE IQF 15/28 SANS SULFITE ORIGINE FRA</v>
          </cell>
          <cell r="C2" t="str">
            <v>ACH111</v>
          </cell>
          <cell r="D2">
            <v>19200</v>
          </cell>
          <cell r="E2" t="str">
            <v>KG</v>
          </cell>
          <cell r="F2">
            <v>2.7450000000000001</v>
          </cell>
          <cell r="G2" t="str">
            <v>€</v>
          </cell>
          <cell r="H2">
            <v>52704</v>
          </cell>
          <cell r="I2" t="str">
            <v>€</v>
          </cell>
          <cell r="J2">
            <v>2.88</v>
          </cell>
          <cell r="K2" t="str">
            <v>€</v>
          </cell>
          <cell r="L2">
            <v>55296</v>
          </cell>
          <cell r="M2" t="str">
            <v>€</v>
          </cell>
          <cell r="N2">
            <v>2.88</v>
          </cell>
          <cell r="O2" t="str">
            <v>€</v>
          </cell>
          <cell r="P2">
            <v>26276.183844718533</v>
          </cell>
          <cell r="Q2" t="str">
            <v>KG</v>
          </cell>
          <cell r="R2">
            <v>75675.409472789368</v>
          </cell>
          <cell r="S2" t="str">
            <v>€</v>
          </cell>
          <cell r="T2">
            <v>75675.409472789368</v>
          </cell>
          <cell r="U2" t="str">
            <v>€</v>
          </cell>
          <cell r="V2">
            <v>0</v>
          </cell>
          <cell r="W2" t="str">
            <v>€</v>
          </cell>
          <cell r="X2">
            <v>1796.8579999999999</v>
          </cell>
        </row>
        <row r="3">
          <cell r="A3">
            <v>338271</v>
          </cell>
          <cell r="B3" t="str">
            <v>CHAMPIGNONS DE PARIS EMINCES 6MM INF SANS S02 (CCP10044-10810105</v>
          </cell>
          <cell r="C3" t="str">
            <v>ACH111</v>
          </cell>
          <cell r="D3">
            <v>66200</v>
          </cell>
          <cell r="E3" t="str">
            <v>KG</v>
          </cell>
          <cell r="F3">
            <v>1.2965271903323263</v>
          </cell>
          <cell r="G3" t="str">
            <v>€</v>
          </cell>
          <cell r="H3">
            <v>85830.1</v>
          </cell>
          <cell r="I3" t="str">
            <v>€</v>
          </cell>
          <cell r="J3">
            <v>1.19</v>
          </cell>
          <cell r="K3" t="str">
            <v>€</v>
          </cell>
          <cell r="L3">
            <v>78778</v>
          </cell>
          <cell r="M3" t="str">
            <v>€</v>
          </cell>
          <cell r="N3">
            <v>1.1499999999999999</v>
          </cell>
          <cell r="O3" t="str">
            <v>€</v>
          </cell>
          <cell r="P3">
            <v>91303.177215826712</v>
          </cell>
          <cell r="Q3" t="str">
            <v>KG</v>
          </cell>
          <cell r="R3">
            <v>104998.65379820071</v>
          </cell>
          <cell r="S3" t="str">
            <v>€</v>
          </cell>
          <cell r="T3">
            <v>108650.78088683379</v>
          </cell>
          <cell r="U3" t="str">
            <v>€</v>
          </cell>
          <cell r="V3">
            <v>-3652.1270886330749</v>
          </cell>
          <cell r="W3" t="str">
            <v>€</v>
          </cell>
          <cell r="X3">
            <v>3685.04</v>
          </cell>
        </row>
        <row r="4">
          <cell r="A4">
            <v>338272</v>
          </cell>
          <cell r="B4" t="str">
            <v>CHAMPIGNONS NOIRS BLANCHIS LANIERE 4-6 MM (CCON001)</v>
          </cell>
          <cell r="C4" t="str">
            <v>ACH111</v>
          </cell>
          <cell r="D4">
            <v>11600</v>
          </cell>
          <cell r="E4" t="str">
            <v>KG</v>
          </cell>
          <cell r="F4">
            <v>1.7955172413793103</v>
          </cell>
          <cell r="G4" t="str">
            <v>€</v>
          </cell>
          <cell r="H4">
            <v>20828</v>
          </cell>
          <cell r="I4" t="str">
            <v>€</v>
          </cell>
          <cell r="J4">
            <v>2.27</v>
          </cell>
          <cell r="K4" t="str">
            <v>€</v>
          </cell>
          <cell r="L4">
            <v>26332</v>
          </cell>
          <cell r="M4" t="str">
            <v>€</v>
          </cell>
          <cell r="N4">
            <v>2.27</v>
          </cell>
          <cell r="O4" t="str">
            <v>€</v>
          </cell>
          <cell r="P4">
            <v>10936.251818301278</v>
          </cell>
          <cell r="Q4" t="str">
            <v>KG</v>
          </cell>
          <cell r="R4">
            <v>24825.291627543902</v>
          </cell>
          <cell r="S4" t="str">
            <v>€</v>
          </cell>
          <cell r="T4">
            <v>24825.291627543902</v>
          </cell>
          <cell r="U4" t="str">
            <v>€</v>
          </cell>
          <cell r="V4">
            <v>0</v>
          </cell>
          <cell r="W4" t="str">
            <v>€</v>
          </cell>
          <cell r="X4">
            <v>980.94500000000005</v>
          </cell>
        </row>
        <row r="5">
          <cell r="A5">
            <v>338355</v>
          </cell>
          <cell r="B5" t="str">
            <v>CHAMPIGNON TROMPETTE SURG</v>
          </cell>
          <cell r="C5" t="str">
            <v>ACH111</v>
          </cell>
          <cell r="D5">
            <v>60</v>
          </cell>
          <cell r="E5" t="str">
            <v>KG</v>
          </cell>
          <cell r="F5">
            <v>8.25</v>
          </cell>
          <cell r="G5" t="str">
            <v>€</v>
          </cell>
          <cell r="H5">
            <v>495</v>
          </cell>
          <cell r="I5" t="str">
            <v>€</v>
          </cell>
          <cell r="J5">
            <v>9.5</v>
          </cell>
          <cell r="K5" t="str">
            <v>€</v>
          </cell>
          <cell r="L5">
            <v>570</v>
          </cell>
          <cell r="M5" t="str">
            <v>€</v>
          </cell>
          <cell r="N5">
            <v>8.42</v>
          </cell>
          <cell r="O5" t="str">
            <v>€</v>
          </cell>
          <cell r="P5">
            <v>50.771006999999997</v>
          </cell>
          <cell r="Q5" t="str">
            <v>KG</v>
          </cell>
          <cell r="R5">
            <v>427.49187893999999</v>
          </cell>
          <cell r="S5" t="str">
            <v>€</v>
          </cell>
          <cell r="T5">
            <v>482.32456649999995</v>
          </cell>
          <cell r="U5" t="str">
            <v>€</v>
          </cell>
          <cell r="V5">
            <v>-54.832687559999954</v>
          </cell>
          <cell r="W5" t="str">
            <v>€</v>
          </cell>
          <cell r="X5">
            <v>25.192</v>
          </cell>
        </row>
        <row r="6">
          <cell r="A6">
            <v>338356</v>
          </cell>
          <cell r="B6" t="str">
            <v>TRUFFE BRISURES BTE</v>
          </cell>
          <cell r="C6" t="str">
            <v>ACH111</v>
          </cell>
          <cell r="D6">
            <v>60</v>
          </cell>
          <cell r="E6" t="str">
            <v>KG</v>
          </cell>
          <cell r="F6">
            <v>170</v>
          </cell>
          <cell r="G6" t="str">
            <v>€</v>
          </cell>
          <cell r="H6">
            <v>10200</v>
          </cell>
          <cell r="I6" t="str">
            <v>€</v>
          </cell>
          <cell r="J6">
            <v>188.7</v>
          </cell>
          <cell r="K6" t="str">
            <v>€</v>
          </cell>
          <cell r="L6">
            <v>11322</v>
          </cell>
          <cell r="M6" t="str">
            <v>€</v>
          </cell>
          <cell r="N6">
            <v>188.7</v>
          </cell>
          <cell r="O6" t="str">
            <v>€</v>
          </cell>
          <cell r="P6">
            <v>63.95268552631579</v>
          </cell>
          <cell r="Q6" t="str">
            <v>KG</v>
          </cell>
          <cell r="R6">
            <v>12067.871758815789</v>
          </cell>
          <cell r="S6" t="str">
            <v>€</v>
          </cell>
          <cell r="T6">
            <v>12067.871758815789</v>
          </cell>
          <cell r="U6" t="str">
            <v>€</v>
          </cell>
          <cell r="V6">
            <v>0</v>
          </cell>
          <cell r="W6" t="str">
            <v>€</v>
          </cell>
          <cell r="X6">
            <v>20.556999999999999</v>
          </cell>
        </row>
        <row r="7">
          <cell r="A7">
            <v>340664</v>
          </cell>
          <cell r="B7" t="str">
            <v>GIROLLES ENTIERES 20-40 MM BLANCHIES IQF (CGI05002)</v>
          </cell>
          <cell r="C7" t="str">
            <v>ACH111</v>
          </cell>
          <cell r="D7">
            <v>4630</v>
          </cell>
          <cell r="E7" t="str">
            <v>KG</v>
          </cell>
          <cell r="F7">
            <v>11.713390928725701</v>
          </cell>
          <cell r="G7" t="str">
            <v>€</v>
          </cell>
          <cell r="H7">
            <v>54233</v>
          </cell>
          <cell r="I7" t="str">
            <v>€</v>
          </cell>
          <cell r="J7">
            <v>12.3</v>
          </cell>
          <cell r="K7" t="str">
            <v>€</v>
          </cell>
          <cell r="L7">
            <v>56949</v>
          </cell>
          <cell r="M7" t="str">
            <v>€</v>
          </cell>
          <cell r="N7">
            <v>11.69</v>
          </cell>
          <cell r="O7" t="str">
            <v>€</v>
          </cell>
          <cell r="P7">
            <v>5064.6402592256009</v>
          </cell>
          <cell r="Q7" t="str">
            <v>KG</v>
          </cell>
          <cell r="R7">
            <v>59205.644630347269</v>
          </cell>
          <cell r="S7" t="str">
            <v>€</v>
          </cell>
          <cell r="T7">
            <v>62295.075188474897</v>
          </cell>
          <cell r="U7" t="str">
            <v>€</v>
          </cell>
          <cell r="V7">
            <v>-3089.4305581276276</v>
          </cell>
          <cell r="W7" t="str">
            <v>€</v>
          </cell>
          <cell r="X7">
            <v>389.72</v>
          </cell>
        </row>
        <row r="8">
          <cell r="A8">
            <v>343163</v>
          </cell>
          <cell r="B8" t="str">
            <v>CHAMPIGNON DE PARIS QUARTIER SURGELE S02 INF ORIG POLOGNE (14210</v>
          </cell>
          <cell r="C8" t="str">
            <v>ACH111</v>
          </cell>
          <cell r="D8">
            <v>79900</v>
          </cell>
          <cell r="E8" t="str">
            <v>KG</v>
          </cell>
          <cell r="F8">
            <v>2.0480291614518147</v>
          </cell>
          <cell r="G8" t="str">
            <v>€</v>
          </cell>
          <cell r="H8">
            <v>163637.53</v>
          </cell>
          <cell r="I8" t="str">
            <v>€</v>
          </cell>
          <cell r="J8">
            <v>2.2200000000000002</v>
          </cell>
          <cell r="K8" t="str">
            <v>€</v>
          </cell>
          <cell r="L8">
            <v>177378.00000000003</v>
          </cell>
          <cell r="M8" t="str">
            <v>€</v>
          </cell>
          <cell r="N8">
            <v>2.2200000000000002</v>
          </cell>
          <cell r="O8" t="str">
            <v>€</v>
          </cell>
          <cell r="P8">
            <v>74218.89362704524</v>
          </cell>
          <cell r="Q8" t="str">
            <v>KG</v>
          </cell>
          <cell r="R8">
            <v>164765.94385204045</v>
          </cell>
          <cell r="S8" t="str">
            <v>€</v>
          </cell>
          <cell r="T8">
            <v>164765.94385204045</v>
          </cell>
          <cell r="U8" t="str">
            <v>€</v>
          </cell>
          <cell r="V8">
            <v>0</v>
          </cell>
          <cell r="W8" t="str">
            <v>€</v>
          </cell>
          <cell r="X8">
            <v>9910.4570000000003</v>
          </cell>
        </row>
        <row r="9">
          <cell r="A9">
            <v>345072</v>
          </cell>
          <cell r="B9" t="str">
            <v>MORILLES MORCEAUX NON BLANCHIS INF 2.5 CM (CM010001)</v>
          </cell>
          <cell r="C9" t="str">
            <v>ACH111</v>
          </cell>
          <cell r="D9">
            <v>2800</v>
          </cell>
          <cell r="E9" t="str">
            <v>KG</v>
          </cell>
          <cell r="F9">
            <v>8.805714285714286</v>
          </cell>
          <cell r="G9" t="str">
            <v>€</v>
          </cell>
          <cell r="H9">
            <v>24656</v>
          </cell>
          <cell r="I9" t="str">
            <v>€</v>
          </cell>
          <cell r="J9">
            <v>21.5</v>
          </cell>
          <cell r="K9" t="str">
            <v>€</v>
          </cell>
          <cell r="L9">
            <v>60200</v>
          </cell>
          <cell r="M9" t="str">
            <v>€</v>
          </cell>
          <cell r="N9">
            <v>11.4</v>
          </cell>
          <cell r="O9" t="str">
            <v>€</v>
          </cell>
          <cell r="P9">
            <v>2795.9188254526757</v>
          </cell>
          <cell r="Q9" t="str">
            <v>KG</v>
          </cell>
          <cell r="R9">
            <v>31873.474610160505</v>
          </cell>
          <cell r="S9" t="str">
            <v>€</v>
          </cell>
          <cell r="T9">
            <v>60112.254747232531</v>
          </cell>
          <cell r="U9" t="str">
            <v>€</v>
          </cell>
          <cell r="V9">
            <v>-28238.780137072026</v>
          </cell>
          <cell r="W9" t="str">
            <v>€</v>
          </cell>
          <cell r="X9">
            <v>217.7</v>
          </cell>
        </row>
        <row r="10">
          <cell r="A10">
            <v>360018</v>
          </cell>
          <cell r="B10" t="str">
            <v>CEPES MORCEAUX NON BLANCHI 2/3CM IQF CAT A 1X10KG (CCE10005)</v>
          </cell>
          <cell r="C10" t="str">
            <v>ACH111</v>
          </cell>
          <cell r="D10">
            <v>21280</v>
          </cell>
          <cell r="E10" t="str">
            <v>KG</v>
          </cell>
          <cell r="F10">
            <v>7.9247368421052631</v>
          </cell>
          <cell r="G10" t="str">
            <v>€</v>
          </cell>
          <cell r="H10">
            <v>168638.4</v>
          </cell>
          <cell r="I10" t="str">
            <v>€</v>
          </cell>
          <cell r="J10">
            <v>8.85</v>
          </cell>
          <cell r="K10" t="str">
            <v>€</v>
          </cell>
          <cell r="L10">
            <v>188328</v>
          </cell>
          <cell r="M10" t="str">
            <v>€</v>
          </cell>
          <cell r="N10">
            <v>7.68</v>
          </cell>
          <cell r="O10" t="str">
            <v>€</v>
          </cell>
          <cell r="P10">
            <v>28687.102361814515</v>
          </cell>
          <cell r="Q10" t="str">
            <v>KG</v>
          </cell>
          <cell r="R10">
            <v>220316.94613873548</v>
          </cell>
          <cell r="S10" t="str">
            <v>€</v>
          </cell>
          <cell r="T10">
            <v>253880.85590205845</v>
          </cell>
          <cell r="U10" t="str">
            <v>€</v>
          </cell>
          <cell r="V10">
            <v>-33563.909763322969</v>
          </cell>
          <cell r="W10" t="str">
            <v>€</v>
          </cell>
          <cell r="X10">
            <v>2559.288</v>
          </cell>
        </row>
        <row r="11">
          <cell r="A11">
            <v>360019</v>
          </cell>
          <cell r="B11" t="str">
            <v>SHIITAKE LAMELLE SURG CHAMPIGNON</v>
          </cell>
          <cell r="C11" t="str">
            <v>ACH111</v>
          </cell>
          <cell r="D11">
            <v>100</v>
          </cell>
          <cell r="E11" t="str">
            <v>KG</v>
          </cell>
          <cell r="F11">
            <v>2.4</v>
          </cell>
          <cell r="G11" t="str">
            <v>€</v>
          </cell>
          <cell r="H11">
            <v>240</v>
          </cell>
          <cell r="I11" t="str">
            <v>€</v>
          </cell>
          <cell r="J11">
            <v>2.23</v>
          </cell>
          <cell r="K11" t="str">
            <v>€</v>
          </cell>
          <cell r="L11">
            <v>223</v>
          </cell>
          <cell r="M11" t="str">
            <v>€</v>
          </cell>
          <cell r="N11">
            <v>2.23</v>
          </cell>
          <cell r="O11" t="str">
            <v>€</v>
          </cell>
          <cell r="P11">
            <v>659.87789716868372</v>
          </cell>
          <cell r="Q11" t="str">
            <v>KG</v>
          </cell>
          <cell r="R11">
            <v>1471.5277106861647</v>
          </cell>
          <cell r="S11" t="str">
            <v>€</v>
          </cell>
          <cell r="T11">
            <v>1471.5277106861647</v>
          </cell>
          <cell r="U11" t="str">
            <v>€</v>
          </cell>
          <cell r="V11">
            <v>0</v>
          </cell>
          <cell r="W11" t="str">
            <v>€</v>
          </cell>
          <cell r="X11">
            <v>75.046999999999997</v>
          </cell>
        </row>
        <row r="12">
          <cell r="A12">
            <v>336823</v>
          </cell>
          <cell r="B12" t="str">
            <v>AMANDE HACHEE 2-4MM</v>
          </cell>
          <cell r="C12" t="str">
            <v>ACH113</v>
          </cell>
          <cell r="D12">
            <v>680</v>
          </cell>
          <cell r="E12" t="str">
            <v>KG</v>
          </cell>
          <cell r="F12">
            <v>6.3304705882352943</v>
          </cell>
          <cell r="G12" t="str">
            <v>€</v>
          </cell>
          <cell r="H12">
            <v>4304.72</v>
          </cell>
          <cell r="I12" t="str">
            <v>€</v>
          </cell>
          <cell r="J12">
            <v>13.3</v>
          </cell>
          <cell r="K12" t="str">
            <v>€</v>
          </cell>
          <cell r="L12">
            <v>9044</v>
          </cell>
          <cell r="M12" t="str">
            <v>€</v>
          </cell>
          <cell r="N12">
            <v>5.46</v>
          </cell>
          <cell r="O12" t="str">
            <v>€</v>
          </cell>
          <cell r="P12">
            <v>472.98185416666666</v>
          </cell>
          <cell r="Q12" t="str">
            <v>KG</v>
          </cell>
          <cell r="R12">
            <v>2582.4809237499999</v>
          </cell>
          <cell r="S12" t="str">
            <v>€</v>
          </cell>
          <cell r="T12">
            <v>6290.6586604166669</v>
          </cell>
          <cell r="U12" t="str">
            <v>€</v>
          </cell>
          <cell r="V12">
            <v>-3708.177736666667</v>
          </cell>
          <cell r="W12" t="str">
            <v>€</v>
          </cell>
          <cell r="X12">
            <v>29</v>
          </cell>
        </row>
        <row r="13">
          <cell r="A13">
            <v>337391</v>
          </cell>
          <cell r="B13" t="str">
            <v>FUMET POISSON AROME NAT CK00257</v>
          </cell>
          <cell r="C13" t="str">
            <v>ACH113</v>
          </cell>
          <cell r="D13">
            <v>1155</v>
          </cell>
          <cell r="E13" t="str">
            <v>KG</v>
          </cell>
          <cell r="F13">
            <v>11.5</v>
          </cell>
          <cell r="G13" t="str">
            <v>€</v>
          </cell>
          <cell r="H13">
            <v>13282.5</v>
          </cell>
          <cell r="I13" t="str">
            <v>€</v>
          </cell>
          <cell r="J13">
            <v>11.78</v>
          </cell>
          <cell r="K13" t="str">
            <v>€</v>
          </cell>
          <cell r="L13">
            <v>13605.9</v>
          </cell>
          <cell r="M13" t="str">
            <v>€</v>
          </cell>
          <cell r="N13">
            <v>11.78</v>
          </cell>
          <cell r="O13" t="str">
            <v>€</v>
          </cell>
          <cell r="P13">
            <v>1248.0860924806789</v>
          </cell>
          <cell r="Q13" t="str">
            <v>KG</v>
          </cell>
          <cell r="R13">
            <v>14702.454169422397</v>
          </cell>
          <cell r="S13" t="str">
            <v>€</v>
          </cell>
          <cell r="T13">
            <v>14702.454169422397</v>
          </cell>
          <cell r="U13" t="str">
            <v>€</v>
          </cell>
          <cell r="V13">
            <v>0</v>
          </cell>
          <cell r="W13" t="str">
            <v>€</v>
          </cell>
          <cell r="X13">
            <v>119.083984</v>
          </cell>
        </row>
        <row r="14">
          <cell r="A14">
            <v>338012</v>
          </cell>
          <cell r="B14" t="str">
            <v>AROME NAT CHAMPIGNON CUISINE</v>
          </cell>
          <cell r="C14" t="str">
            <v>ACH113</v>
          </cell>
          <cell r="D14">
            <v>900</v>
          </cell>
          <cell r="E14" t="str">
            <v>KG</v>
          </cell>
          <cell r="F14">
            <v>20</v>
          </cell>
          <cell r="G14" t="str">
            <v>€</v>
          </cell>
          <cell r="H14">
            <v>18000</v>
          </cell>
          <cell r="I14" t="str">
            <v>€</v>
          </cell>
          <cell r="J14">
            <v>20</v>
          </cell>
          <cell r="K14" t="str">
            <v>€</v>
          </cell>
          <cell r="L14">
            <v>18000</v>
          </cell>
          <cell r="M14" t="str">
            <v>€</v>
          </cell>
          <cell r="N14">
            <v>20</v>
          </cell>
          <cell r="O14" t="str">
            <v>€</v>
          </cell>
          <cell r="P14">
            <v>961.63462320158339</v>
          </cell>
          <cell r="Q14" t="str">
            <v>KG</v>
          </cell>
          <cell r="R14">
            <v>19232.692464031668</v>
          </cell>
          <cell r="S14" t="str">
            <v>€</v>
          </cell>
          <cell r="T14">
            <v>19232.692464031668</v>
          </cell>
          <cell r="U14" t="str">
            <v>€</v>
          </cell>
          <cell r="V14">
            <v>0</v>
          </cell>
          <cell r="W14" t="str">
            <v>€</v>
          </cell>
          <cell r="X14">
            <v>120.801293</v>
          </cell>
        </row>
        <row r="15">
          <cell r="A15">
            <v>338020</v>
          </cell>
          <cell r="B15" t="str">
            <v>EXTRAIT CULINAIRE SIGNATURE VEAU OF 1207-01</v>
          </cell>
          <cell r="C15" t="str">
            <v>ACH113</v>
          </cell>
          <cell r="D15">
            <v>3990</v>
          </cell>
          <cell r="E15" t="str">
            <v>KG</v>
          </cell>
          <cell r="F15">
            <v>23.19</v>
          </cell>
          <cell r="G15" t="str">
            <v>€</v>
          </cell>
          <cell r="H15">
            <v>92528.1</v>
          </cell>
          <cell r="I15" t="str">
            <v>€</v>
          </cell>
          <cell r="J15">
            <v>23.99</v>
          </cell>
          <cell r="K15" t="str">
            <v>€</v>
          </cell>
          <cell r="L15">
            <v>95720.099999999991</v>
          </cell>
          <cell r="M15" t="str">
            <v>€</v>
          </cell>
          <cell r="N15">
            <v>23.99</v>
          </cell>
          <cell r="O15" t="str">
            <v>€</v>
          </cell>
          <cell r="P15">
            <v>4673.3835834595884</v>
          </cell>
          <cell r="Q15" t="str">
            <v>KG</v>
          </cell>
          <cell r="R15">
            <v>112114.47216719552</v>
          </cell>
          <cell r="S15" t="str">
            <v>€</v>
          </cell>
          <cell r="T15">
            <v>112114.47216719552</v>
          </cell>
          <cell r="U15" t="str">
            <v>€</v>
          </cell>
          <cell r="V15">
            <v>0</v>
          </cell>
          <cell r="W15" t="str">
            <v>€</v>
          </cell>
          <cell r="X15">
            <v>852.24885500000005</v>
          </cell>
        </row>
        <row r="16">
          <cell r="A16">
            <v>338022</v>
          </cell>
          <cell r="B16" t="str">
            <v>CARAMEL COLORANT TS</v>
          </cell>
          <cell r="C16" t="str">
            <v>ACH113</v>
          </cell>
          <cell r="D16">
            <v>624</v>
          </cell>
          <cell r="E16" t="str">
            <v>KG</v>
          </cell>
          <cell r="F16">
            <v>2.8129807692307693</v>
          </cell>
          <cell r="G16" t="str">
            <v>€</v>
          </cell>
          <cell r="H16">
            <v>1755.3</v>
          </cell>
          <cell r="I16" t="str">
            <v>€</v>
          </cell>
          <cell r="J16">
            <v>2.92</v>
          </cell>
          <cell r="K16" t="str">
            <v>€</v>
          </cell>
          <cell r="L16">
            <v>1822.08</v>
          </cell>
          <cell r="M16" t="str">
            <v>€</v>
          </cell>
          <cell r="N16">
            <v>2.92</v>
          </cell>
          <cell r="O16" t="str">
            <v>€</v>
          </cell>
          <cell r="P16">
            <v>681.34979693295895</v>
          </cell>
          <cell r="Q16" t="str">
            <v>KG</v>
          </cell>
          <cell r="R16">
            <v>1989.54140704424</v>
          </cell>
          <cell r="S16" t="str">
            <v>€</v>
          </cell>
          <cell r="T16">
            <v>1989.54140704424</v>
          </cell>
          <cell r="U16" t="str">
            <v>€</v>
          </cell>
          <cell r="V16">
            <v>0</v>
          </cell>
          <cell r="W16" t="str">
            <v>€</v>
          </cell>
          <cell r="X16">
            <v>127.099582</v>
          </cell>
        </row>
        <row r="17">
          <cell r="A17">
            <v>338027</v>
          </cell>
          <cell r="B17" t="str">
            <v>EXTRAIT CULINAIRE LEG BRAISES 1441-04</v>
          </cell>
          <cell r="C17" t="str">
            <v>ACH113</v>
          </cell>
          <cell r="D17">
            <v>200</v>
          </cell>
          <cell r="E17" t="str">
            <v>KG</v>
          </cell>
          <cell r="F17">
            <v>13.13</v>
          </cell>
          <cell r="G17" t="str">
            <v>€</v>
          </cell>
          <cell r="H17">
            <v>2626</v>
          </cell>
          <cell r="I17" t="str">
            <v>€</v>
          </cell>
          <cell r="J17">
            <v>13.15</v>
          </cell>
          <cell r="K17" t="str">
            <v>€</v>
          </cell>
          <cell r="L17">
            <v>2630</v>
          </cell>
          <cell r="M17" t="str">
            <v>€</v>
          </cell>
          <cell r="N17">
            <v>13.15</v>
          </cell>
          <cell r="O17" t="str">
            <v>€</v>
          </cell>
          <cell r="P17">
            <v>145.08790888987173</v>
          </cell>
          <cell r="Q17" t="str">
            <v>KG</v>
          </cell>
          <cell r="R17">
            <v>1907.9060019018132</v>
          </cell>
          <cell r="S17" t="str">
            <v>€</v>
          </cell>
          <cell r="T17">
            <v>1907.9060019018132</v>
          </cell>
          <cell r="U17" t="str">
            <v>€</v>
          </cell>
          <cell r="V17">
            <v>0</v>
          </cell>
          <cell r="W17" t="str">
            <v>€</v>
          </cell>
          <cell r="X17">
            <v>36.167447000000003</v>
          </cell>
        </row>
        <row r="18">
          <cell r="A18">
            <v>338054</v>
          </cell>
          <cell r="B18" t="str">
            <v>MIX POUR CHILI</v>
          </cell>
          <cell r="C18" t="str">
            <v>ACH113</v>
          </cell>
          <cell r="D18">
            <v>1070</v>
          </cell>
          <cell r="E18" t="str">
            <v>KG</v>
          </cell>
          <cell r="F18">
            <v>4.28</v>
          </cell>
          <cell r="G18" t="str">
            <v>€</v>
          </cell>
          <cell r="H18">
            <v>4579.6000000000004</v>
          </cell>
          <cell r="I18" t="str">
            <v>€</v>
          </cell>
          <cell r="J18">
            <v>5.62</v>
          </cell>
          <cell r="K18" t="str">
            <v>€</v>
          </cell>
          <cell r="L18">
            <v>6013.4000000000005</v>
          </cell>
          <cell r="M18" t="str">
            <v>€</v>
          </cell>
          <cell r="N18">
            <v>4.28</v>
          </cell>
          <cell r="O18" t="str">
            <v>€</v>
          </cell>
          <cell r="P18">
            <v>967.82393288461537</v>
          </cell>
          <cell r="Q18" t="str">
            <v>KG</v>
          </cell>
          <cell r="R18">
            <v>4142.2864327461539</v>
          </cell>
          <cell r="S18" t="str">
            <v>€</v>
          </cell>
          <cell r="T18">
            <v>5439.1705028115384</v>
          </cell>
          <cell r="U18" t="str">
            <v>€</v>
          </cell>
          <cell r="V18">
            <v>-1296.8840700653845</v>
          </cell>
          <cell r="W18" t="str">
            <v>€</v>
          </cell>
          <cell r="X18">
            <v>182.16562999999999</v>
          </cell>
        </row>
        <row r="19">
          <cell r="A19">
            <v>338059</v>
          </cell>
          <cell r="B19" t="str">
            <v>PAPRIKA MOULU</v>
          </cell>
          <cell r="C19" t="str">
            <v>ACH113</v>
          </cell>
          <cell r="D19">
            <v>450</v>
          </cell>
          <cell r="E19" t="str">
            <v>KG</v>
          </cell>
          <cell r="F19">
            <v>4.05</v>
          </cell>
          <cell r="G19" t="str">
            <v>€</v>
          </cell>
          <cell r="H19">
            <v>1822.5</v>
          </cell>
          <cell r="I19" t="str">
            <v>€</v>
          </cell>
          <cell r="J19">
            <v>4.1500000000000004</v>
          </cell>
          <cell r="K19" t="str">
            <v>€</v>
          </cell>
          <cell r="L19">
            <v>1867.5000000000002</v>
          </cell>
          <cell r="M19" t="str">
            <v>€</v>
          </cell>
          <cell r="N19">
            <v>4.0999999999999996</v>
          </cell>
          <cell r="O19" t="str">
            <v>€</v>
          </cell>
          <cell r="P19">
            <v>424.60450245140868</v>
          </cell>
          <cell r="Q19" t="str">
            <v>KG</v>
          </cell>
          <cell r="R19">
            <v>1740.8784600507754</v>
          </cell>
          <cell r="S19" t="str">
            <v>€</v>
          </cell>
          <cell r="T19">
            <v>1762.1086851733462</v>
          </cell>
          <cell r="U19" t="str">
            <v>€</v>
          </cell>
          <cell r="V19">
            <v>-21.230225122570801</v>
          </cell>
          <cell r="W19" t="str">
            <v>€</v>
          </cell>
          <cell r="X19">
            <v>55.884214999999998</v>
          </cell>
        </row>
        <row r="20">
          <cell r="A20">
            <v>338060</v>
          </cell>
          <cell r="B20" t="str">
            <v>PAPRIKA EXTRAIT POUDRE</v>
          </cell>
          <cell r="C20" t="str">
            <v>ACH113</v>
          </cell>
          <cell r="D20">
            <v>20</v>
          </cell>
          <cell r="E20" t="str">
            <v>KG</v>
          </cell>
          <cell r="F20">
            <v>43.9</v>
          </cell>
          <cell r="G20" t="str">
            <v>€</v>
          </cell>
          <cell r="H20">
            <v>878</v>
          </cell>
          <cell r="I20" t="str">
            <v>€</v>
          </cell>
          <cell r="J20">
            <v>45.44</v>
          </cell>
          <cell r="K20" t="str">
            <v>€</v>
          </cell>
          <cell r="L20">
            <v>908.8</v>
          </cell>
          <cell r="M20" t="str">
            <v>€</v>
          </cell>
          <cell r="N20">
            <v>45.44</v>
          </cell>
          <cell r="O20" t="str">
            <v>€</v>
          </cell>
          <cell r="P20">
            <v>51.074766105851118</v>
          </cell>
          <cell r="Q20" t="str">
            <v>KG</v>
          </cell>
          <cell r="R20">
            <v>2320.8373718498747</v>
          </cell>
          <cell r="S20" t="str">
            <v>€</v>
          </cell>
          <cell r="T20">
            <v>2320.8373718498747</v>
          </cell>
          <cell r="U20" t="str">
            <v>€</v>
          </cell>
          <cell r="V20">
            <v>0</v>
          </cell>
          <cell r="W20" t="str">
            <v>€</v>
          </cell>
          <cell r="X20">
            <v>20.707633000000001</v>
          </cell>
        </row>
        <row r="21">
          <cell r="A21">
            <v>338066</v>
          </cell>
          <cell r="B21" t="str">
            <v>SEL DE GUERANDE MOULU TRADITION 10 KG MARIN GRIS</v>
          </cell>
          <cell r="C21" t="str">
            <v>ACH113</v>
          </cell>
          <cell r="D21">
            <v>70</v>
          </cell>
          <cell r="E21" t="str">
            <v>KG</v>
          </cell>
          <cell r="F21">
            <v>1.27</v>
          </cell>
          <cell r="G21" t="str">
            <v>€</v>
          </cell>
          <cell r="H21">
            <v>88.9</v>
          </cell>
          <cell r="I21" t="str">
            <v>€</v>
          </cell>
          <cell r="J21">
            <v>1.28</v>
          </cell>
          <cell r="K21" t="str">
            <v>€</v>
          </cell>
          <cell r="L21">
            <v>89.600000000000009</v>
          </cell>
          <cell r="M21" t="str">
            <v>€</v>
          </cell>
          <cell r="O21" t="str">
            <v>€</v>
          </cell>
          <cell r="P21">
            <v>63.253491666666669</v>
          </cell>
          <cell r="Q21" t="str">
            <v>KG</v>
          </cell>
          <cell r="S21" t="str">
            <v>€</v>
          </cell>
          <cell r="T21">
            <v>80.964469333333341</v>
          </cell>
          <cell r="U21" t="str">
            <v>€</v>
          </cell>
          <cell r="W21" t="str">
            <v>€</v>
          </cell>
          <cell r="X21">
            <v>60.722498000000002</v>
          </cell>
        </row>
        <row r="22">
          <cell r="A22">
            <v>338068</v>
          </cell>
          <cell r="B22" t="str">
            <v>SEL FIN</v>
          </cell>
          <cell r="C22" t="str">
            <v>ACH113</v>
          </cell>
          <cell r="D22">
            <v>22175</v>
          </cell>
          <cell r="E22" t="str">
            <v>KG</v>
          </cell>
          <cell r="F22">
            <v>0.29791612175873733</v>
          </cell>
          <cell r="G22" t="str">
            <v>€</v>
          </cell>
          <cell r="H22">
            <v>6606.29</v>
          </cell>
          <cell r="I22" t="str">
            <v>€</v>
          </cell>
          <cell r="J22">
            <v>1.98</v>
          </cell>
          <cell r="K22" t="str">
            <v>€</v>
          </cell>
          <cell r="L22">
            <v>43906.5</v>
          </cell>
          <cell r="M22" t="str">
            <v>€</v>
          </cell>
          <cell r="N22">
            <v>0.31</v>
          </cell>
          <cell r="O22" t="str">
            <v>€</v>
          </cell>
          <cell r="P22">
            <v>23998.525510505169</v>
          </cell>
          <cell r="Q22" t="str">
            <v>KG</v>
          </cell>
          <cell r="R22">
            <v>7439.5429082566025</v>
          </cell>
          <cell r="S22" t="str">
            <v>€</v>
          </cell>
          <cell r="T22">
            <v>47517.080510800231</v>
          </cell>
          <cell r="U22" t="str">
            <v>€</v>
          </cell>
          <cell r="V22">
            <v>-40077.537602543627</v>
          </cell>
          <cell r="W22" t="str">
            <v>€</v>
          </cell>
          <cell r="X22">
            <v>979.60871999999995</v>
          </cell>
        </row>
        <row r="23">
          <cell r="A23">
            <v>338069</v>
          </cell>
          <cell r="B23" t="str">
            <v xml:space="preserve">MIX SAUCE LANGUE  AROME NATUREL DL00560 </v>
          </cell>
          <cell r="C23" t="str">
            <v>ACH113</v>
          </cell>
          <cell r="D23">
            <v>8084.88</v>
          </cell>
          <cell r="E23" t="str">
            <v>KG</v>
          </cell>
          <cell r="F23">
            <v>6.1800026716537539</v>
          </cell>
          <cell r="G23" t="str">
            <v>€</v>
          </cell>
          <cell r="H23">
            <v>49964.58</v>
          </cell>
          <cell r="I23" t="str">
            <v>€</v>
          </cell>
          <cell r="J23">
            <v>6.44</v>
          </cell>
          <cell r="K23" t="str">
            <v>€</v>
          </cell>
          <cell r="L23">
            <v>52066.627200000003</v>
          </cell>
          <cell r="M23" t="str">
            <v>€</v>
          </cell>
          <cell r="N23">
            <v>6.44</v>
          </cell>
          <cell r="O23" t="str">
            <v>€</v>
          </cell>
          <cell r="P23">
            <v>8645.2516834585476</v>
          </cell>
          <cell r="Q23" t="str">
            <v>KG</v>
          </cell>
          <cell r="R23">
            <v>55675.420841473053</v>
          </cell>
          <cell r="S23" t="str">
            <v>€</v>
          </cell>
          <cell r="T23">
            <v>55675.420841473053</v>
          </cell>
          <cell r="U23" t="str">
            <v>€</v>
          </cell>
          <cell r="V23">
            <v>0</v>
          </cell>
          <cell r="W23" t="str">
            <v>€</v>
          </cell>
          <cell r="X23">
            <v>1412.6924879999999</v>
          </cell>
        </row>
        <row r="24">
          <cell r="A24">
            <v>338070</v>
          </cell>
          <cell r="B24" t="str">
            <v>SUCRE CRISTAL 25KG</v>
          </cell>
          <cell r="C24" t="str">
            <v>ACH113</v>
          </cell>
          <cell r="D24">
            <v>5665</v>
          </cell>
          <cell r="E24" t="str">
            <v>KG</v>
          </cell>
          <cell r="F24">
            <v>1.0939894086496027</v>
          </cell>
          <cell r="G24" t="str">
            <v>€</v>
          </cell>
          <cell r="H24">
            <v>6197.45</v>
          </cell>
          <cell r="I24" t="str">
            <v>€</v>
          </cell>
          <cell r="J24">
            <v>1.45</v>
          </cell>
          <cell r="K24" t="str">
            <v>€</v>
          </cell>
          <cell r="L24">
            <v>8214.25</v>
          </cell>
          <cell r="M24" t="str">
            <v>€</v>
          </cell>
          <cell r="N24">
            <v>1.35</v>
          </cell>
          <cell r="O24" t="str">
            <v>€</v>
          </cell>
          <cell r="P24">
            <v>6565.6663632963355</v>
          </cell>
          <cell r="Q24" t="str">
            <v>KG</v>
          </cell>
          <cell r="R24">
            <v>8863.6495904500534</v>
          </cell>
          <cell r="S24" t="str">
            <v>€</v>
          </cell>
          <cell r="T24">
            <v>9520.2162267796866</v>
          </cell>
          <cell r="U24" t="str">
            <v>€</v>
          </cell>
          <cell r="V24">
            <v>-656.56663632963318</v>
          </cell>
          <cell r="W24" t="str">
            <v>€</v>
          </cell>
          <cell r="X24">
            <v>137.660439</v>
          </cell>
        </row>
        <row r="25">
          <cell r="A25">
            <v>338075</v>
          </cell>
          <cell r="B25" t="str">
            <v>FIBRE DE LIN VEGETALE EMULSIFIANTE (HiI SMOOTH)</v>
          </cell>
          <cell r="C25" t="str">
            <v>ACH113</v>
          </cell>
          <cell r="D25">
            <v>1680</v>
          </cell>
          <cell r="E25" t="str">
            <v>KG</v>
          </cell>
          <cell r="F25">
            <v>16.330000000000002</v>
          </cell>
          <cell r="G25" t="str">
            <v>€</v>
          </cell>
          <cell r="H25">
            <v>27434.400000000001</v>
          </cell>
          <cell r="I25" t="str">
            <v>€</v>
          </cell>
          <cell r="J25">
            <v>16.93</v>
          </cell>
          <cell r="K25" t="str">
            <v>€</v>
          </cell>
          <cell r="L25">
            <v>28442.399999999998</v>
          </cell>
          <cell r="M25" t="str">
            <v>€</v>
          </cell>
          <cell r="N25">
            <v>16.93</v>
          </cell>
          <cell r="O25" t="str">
            <v>€</v>
          </cell>
          <cell r="P25">
            <v>1482.0888482793691</v>
          </cell>
          <cell r="Q25" t="str">
            <v>KG</v>
          </cell>
          <cell r="R25">
            <v>25091.764201369719</v>
          </cell>
          <cell r="S25" t="str">
            <v>€</v>
          </cell>
          <cell r="T25">
            <v>25091.764201369719</v>
          </cell>
          <cell r="U25" t="str">
            <v>€</v>
          </cell>
          <cell r="V25">
            <v>0</v>
          </cell>
          <cell r="W25" t="str">
            <v>€</v>
          </cell>
          <cell r="X25">
            <v>301.56846100000001</v>
          </cell>
        </row>
        <row r="26">
          <cell r="A26">
            <v>338076</v>
          </cell>
          <cell r="B26" t="str">
            <v>MIX TYPE COUSCOUS (DG00087)</v>
          </cell>
          <cell r="C26" t="str">
            <v>ACH113</v>
          </cell>
          <cell r="D26">
            <v>9165</v>
          </cell>
          <cell r="E26" t="str">
            <v>KG</v>
          </cell>
          <cell r="F26">
            <v>6.36</v>
          </cell>
          <cell r="G26" t="str">
            <v>€</v>
          </cell>
          <cell r="H26">
            <v>58289.4</v>
          </cell>
          <cell r="I26" t="str">
            <v>€</v>
          </cell>
          <cell r="J26">
            <v>6.5</v>
          </cell>
          <cell r="K26" t="str">
            <v>€</v>
          </cell>
          <cell r="L26">
            <v>59572.5</v>
          </cell>
          <cell r="M26" t="str">
            <v>€</v>
          </cell>
          <cell r="N26">
            <v>6.5</v>
          </cell>
          <cell r="O26" t="str">
            <v>€</v>
          </cell>
          <cell r="P26">
            <v>8820.4831823269324</v>
          </cell>
          <cell r="Q26" t="str">
            <v>KG</v>
          </cell>
          <cell r="R26">
            <v>57333.140685125058</v>
          </cell>
          <cell r="S26" t="str">
            <v>€</v>
          </cell>
          <cell r="T26">
            <v>57333.140685125058</v>
          </cell>
          <cell r="U26" t="str">
            <v>€</v>
          </cell>
          <cell r="V26">
            <v>0</v>
          </cell>
          <cell r="W26" t="str">
            <v>€</v>
          </cell>
          <cell r="X26">
            <v>796.885403</v>
          </cell>
        </row>
        <row r="27">
          <cell r="A27">
            <v>338077</v>
          </cell>
          <cell r="B27" t="str">
            <v>MIX GIBIER FOND AROME NATUREL CG00056</v>
          </cell>
          <cell r="C27" t="str">
            <v>ACH113</v>
          </cell>
          <cell r="D27">
            <v>3060</v>
          </cell>
          <cell r="E27" t="str">
            <v>KG</v>
          </cell>
          <cell r="F27">
            <v>12.346666666666668</v>
          </cell>
          <cell r="G27" t="str">
            <v>€</v>
          </cell>
          <cell r="H27">
            <v>37780.800000000003</v>
          </cell>
          <cell r="I27" t="str">
            <v>€</v>
          </cell>
          <cell r="J27">
            <v>12.87</v>
          </cell>
          <cell r="K27" t="str">
            <v>€</v>
          </cell>
          <cell r="L27">
            <v>39382.199999999997</v>
          </cell>
          <cell r="M27" t="str">
            <v>€</v>
          </cell>
          <cell r="N27">
            <v>12.87</v>
          </cell>
          <cell r="O27" t="str">
            <v>€</v>
          </cell>
          <cell r="P27">
            <v>3520.5160200131309</v>
          </cell>
          <cell r="Q27" t="str">
            <v>KG</v>
          </cell>
          <cell r="R27">
            <v>45309.041177568994</v>
          </cell>
          <cell r="S27" t="str">
            <v>€</v>
          </cell>
          <cell r="T27">
            <v>45309.041177568994</v>
          </cell>
          <cell r="U27" t="str">
            <v>€</v>
          </cell>
          <cell r="V27">
            <v>0</v>
          </cell>
          <cell r="W27" t="str">
            <v>€</v>
          </cell>
          <cell r="X27">
            <v>267.97704800000002</v>
          </cell>
        </row>
        <row r="28">
          <cell r="A28">
            <v>338183</v>
          </cell>
          <cell r="B28" t="str">
            <v>CUMIN GRAINE</v>
          </cell>
          <cell r="C28" t="str">
            <v>ACH113</v>
          </cell>
          <cell r="D28">
            <v>35</v>
          </cell>
          <cell r="E28" t="str">
            <v>KG</v>
          </cell>
          <cell r="F28">
            <v>5.46</v>
          </cell>
          <cell r="G28" t="str">
            <v>€</v>
          </cell>
          <cell r="H28">
            <v>191.1</v>
          </cell>
          <cell r="I28" t="str">
            <v>€</v>
          </cell>
          <cell r="J28">
            <v>5.57</v>
          </cell>
          <cell r="K28" t="str">
            <v>€</v>
          </cell>
          <cell r="L28">
            <v>194.95000000000002</v>
          </cell>
          <cell r="M28" t="str">
            <v>€</v>
          </cell>
          <cell r="O28" t="str">
            <v>€</v>
          </cell>
          <cell r="Q28" t="str">
            <v>KG</v>
          </cell>
          <cell r="S28" t="str">
            <v>€</v>
          </cell>
          <cell r="U28" t="str">
            <v>€</v>
          </cell>
          <cell r="W28" t="str">
            <v>€</v>
          </cell>
          <cell r="X28">
            <v>3.3784429999999999</v>
          </cell>
        </row>
        <row r="29">
          <cell r="A29">
            <v>338187</v>
          </cell>
          <cell r="B29" t="str">
            <v>CANNELLE POUDRE</v>
          </cell>
          <cell r="C29" t="str">
            <v>ACH113</v>
          </cell>
          <cell r="D29">
            <v>80</v>
          </cell>
          <cell r="E29" t="str">
            <v>KG</v>
          </cell>
          <cell r="F29">
            <v>7.6440000000000001</v>
          </cell>
          <cell r="G29" t="str">
            <v>€</v>
          </cell>
          <cell r="H29">
            <v>611.52</v>
          </cell>
          <cell r="I29" t="str">
            <v>€</v>
          </cell>
          <cell r="J29">
            <v>7.61</v>
          </cell>
          <cell r="K29" t="str">
            <v>€</v>
          </cell>
          <cell r="L29">
            <v>608.80000000000007</v>
          </cell>
          <cell r="M29" t="str">
            <v>€</v>
          </cell>
          <cell r="N29">
            <v>7.61</v>
          </cell>
          <cell r="O29" t="str">
            <v>€</v>
          </cell>
          <cell r="P29">
            <v>87.726514255106366</v>
          </cell>
          <cell r="Q29" t="str">
            <v>KG</v>
          </cell>
          <cell r="R29">
            <v>667.59877348135944</v>
          </cell>
          <cell r="S29" t="str">
            <v>€</v>
          </cell>
          <cell r="T29">
            <v>667.59877348135944</v>
          </cell>
          <cell r="U29" t="str">
            <v>€</v>
          </cell>
          <cell r="V29">
            <v>0</v>
          </cell>
          <cell r="W29" t="str">
            <v>€</v>
          </cell>
          <cell r="X29">
            <v>1.726529</v>
          </cell>
        </row>
        <row r="30">
          <cell r="A30">
            <v>338188</v>
          </cell>
          <cell r="B30" t="str">
            <v>CARDAMOME POUDRE</v>
          </cell>
          <cell r="C30" t="str">
            <v>ACH113</v>
          </cell>
          <cell r="D30">
            <v>105</v>
          </cell>
          <cell r="E30" t="str">
            <v>KG</v>
          </cell>
          <cell r="F30">
            <v>28.3</v>
          </cell>
          <cell r="G30" t="str">
            <v>€</v>
          </cell>
          <cell r="H30">
            <v>2971.5</v>
          </cell>
          <cell r="I30" t="str">
            <v>€</v>
          </cell>
          <cell r="J30">
            <v>28.3</v>
          </cell>
          <cell r="K30" t="str">
            <v>€</v>
          </cell>
          <cell r="L30">
            <v>2971.5</v>
          </cell>
          <cell r="M30" t="str">
            <v>€</v>
          </cell>
          <cell r="N30">
            <v>28.3</v>
          </cell>
          <cell r="O30" t="str">
            <v>€</v>
          </cell>
          <cell r="P30">
            <v>119.22542573769786</v>
          </cell>
          <cell r="Q30" t="str">
            <v>KG</v>
          </cell>
          <cell r="R30">
            <v>3374.0795483768497</v>
          </cell>
          <cell r="S30" t="str">
            <v>€</v>
          </cell>
          <cell r="T30">
            <v>3374.0795483768497</v>
          </cell>
          <cell r="U30" t="str">
            <v>€</v>
          </cell>
          <cell r="V30">
            <v>0</v>
          </cell>
          <cell r="W30" t="str">
            <v>€</v>
          </cell>
          <cell r="X30">
            <v>7.5145530000000003</v>
          </cell>
        </row>
        <row r="31">
          <cell r="A31">
            <v>338189</v>
          </cell>
          <cell r="B31" t="str">
            <v>CHAPELURE BAN  35</v>
          </cell>
          <cell r="C31" t="str">
            <v>ACH113</v>
          </cell>
          <cell r="D31">
            <v>180</v>
          </cell>
          <cell r="E31" t="str">
            <v>KG</v>
          </cell>
          <cell r="F31">
            <v>3.14</v>
          </cell>
          <cell r="G31" t="str">
            <v>€</v>
          </cell>
          <cell r="H31">
            <v>565.20000000000005</v>
          </cell>
          <cell r="I31" t="str">
            <v>€</v>
          </cell>
          <cell r="J31">
            <v>3.05</v>
          </cell>
          <cell r="K31" t="str">
            <v>€</v>
          </cell>
          <cell r="L31">
            <v>549</v>
          </cell>
          <cell r="M31" t="str">
            <v>€</v>
          </cell>
          <cell r="O31" t="str">
            <v>€</v>
          </cell>
          <cell r="Q31" t="str">
            <v>KG</v>
          </cell>
          <cell r="S31" t="str">
            <v>€</v>
          </cell>
          <cell r="U31" t="str">
            <v>€</v>
          </cell>
          <cell r="W31" t="str">
            <v>€</v>
          </cell>
        </row>
        <row r="32">
          <cell r="A32">
            <v>338191</v>
          </cell>
          <cell r="B32" t="str">
            <v>CORIANDRE MOULU</v>
          </cell>
          <cell r="C32" t="str">
            <v>ACH113</v>
          </cell>
          <cell r="D32">
            <v>580</v>
          </cell>
          <cell r="E32" t="str">
            <v>KG</v>
          </cell>
          <cell r="F32">
            <v>3.8800000000000003</v>
          </cell>
          <cell r="G32" t="str">
            <v>€</v>
          </cell>
          <cell r="H32">
            <v>2250.4</v>
          </cell>
          <cell r="I32" t="str">
            <v>€</v>
          </cell>
          <cell r="J32">
            <v>3.9</v>
          </cell>
          <cell r="K32" t="str">
            <v>€</v>
          </cell>
          <cell r="L32">
            <v>2262</v>
          </cell>
          <cell r="M32" t="str">
            <v>€</v>
          </cell>
          <cell r="N32">
            <v>3.9</v>
          </cell>
          <cell r="O32" t="str">
            <v>€</v>
          </cell>
          <cell r="P32">
            <v>732.84812055195789</v>
          </cell>
          <cell r="Q32" t="str">
            <v>KG</v>
          </cell>
          <cell r="R32">
            <v>2858.1076701526358</v>
          </cell>
          <cell r="S32" t="str">
            <v>€</v>
          </cell>
          <cell r="T32">
            <v>2858.1076701526358</v>
          </cell>
          <cell r="U32" t="str">
            <v>€</v>
          </cell>
          <cell r="V32">
            <v>0</v>
          </cell>
          <cell r="W32" t="str">
            <v>€</v>
          </cell>
          <cell r="X32">
            <v>53.588636999999999</v>
          </cell>
        </row>
        <row r="33">
          <cell r="A33">
            <v>338192</v>
          </cell>
          <cell r="B33" t="str">
            <v>CUMIN POUDRE</v>
          </cell>
          <cell r="C33" t="str">
            <v>ACH113</v>
          </cell>
          <cell r="D33">
            <v>1230</v>
          </cell>
          <cell r="E33" t="str">
            <v>KG</v>
          </cell>
          <cell r="F33">
            <v>11.35</v>
          </cell>
          <cell r="G33" t="str">
            <v>€</v>
          </cell>
          <cell r="H33">
            <v>13960.5</v>
          </cell>
          <cell r="I33" t="str">
            <v>€</v>
          </cell>
          <cell r="J33">
            <v>11.4</v>
          </cell>
          <cell r="K33" t="str">
            <v>€</v>
          </cell>
          <cell r="L33">
            <v>14022</v>
          </cell>
          <cell r="M33" t="str">
            <v>€</v>
          </cell>
          <cell r="N33">
            <v>11.4</v>
          </cell>
          <cell r="O33" t="str">
            <v>€</v>
          </cell>
          <cell r="P33">
            <v>1234.6529414774395</v>
          </cell>
          <cell r="Q33" t="str">
            <v>KG</v>
          </cell>
          <cell r="R33">
            <v>14075.04353284281</v>
          </cell>
          <cell r="S33" t="str">
            <v>€</v>
          </cell>
          <cell r="T33">
            <v>14075.04353284281</v>
          </cell>
          <cell r="U33" t="str">
            <v>€</v>
          </cell>
          <cell r="V33">
            <v>0</v>
          </cell>
          <cell r="W33" t="str">
            <v>€</v>
          </cell>
          <cell r="X33">
            <v>99.692965000000001</v>
          </cell>
        </row>
        <row r="34">
          <cell r="A34">
            <v>338193</v>
          </cell>
          <cell r="B34" t="str">
            <v>CURCUMA POUDRE</v>
          </cell>
          <cell r="C34" t="str">
            <v>ACH113</v>
          </cell>
          <cell r="D34">
            <v>402</v>
          </cell>
          <cell r="E34" t="str">
            <v>KG</v>
          </cell>
          <cell r="F34">
            <v>4.2643283582089548</v>
          </cell>
          <cell r="G34" t="str">
            <v>€</v>
          </cell>
          <cell r="H34">
            <v>1714.26</v>
          </cell>
          <cell r="I34" t="str">
            <v>€</v>
          </cell>
          <cell r="J34">
            <v>4.4000000000000004</v>
          </cell>
          <cell r="K34" t="str">
            <v>€</v>
          </cell>
          <cell r="L34">
            <v>1768.8000000000002</v>
          </cell>
          <cell r="M34" t="str">
            <v>€</v>
          </cell>
          <cell r="N34">
            <v>4.4000000000000004</v>
          </cell>
          <cell r="O34" t="str">
            <v>€</v>
          </cell>
          <cell r="P34">
            <v>445.10715592676371</v>
          </cell>
          <cell r="Q34" t="str">
            <v>KG</v>
          </cell>
          <cell r="R34">
            <v>1958.4714860777606</v>
          </cell>
          <cell r="S34" t="str">
            <v>€</v>
          </cell>
          <cell r="T34">
            <v>1958.4714860777606</v>
          </cell>
          <cell r="U34" t="str">
            <v>€</v>
          </cell>
          <cell r="V34">
            <v>0</v>
          </cell>
          <cell r="W34" t="str">
            <v>€</v>
          </cell>
          <cell r="X34">
            <v>33.501486</v>
          </cell>
        </row>
        <row r="35">
          <cell r="A35">
            <v>338194</v>
          </cell>
          <cell r="B35" t="str">
            <v>CURRY MADRAS</v>
          </cell>
          <cell r="C35" t="str">
            <v>ACH113</v>
          </cell>
          <cell r="D35">
            <v>290</v>
          </cell>
          <cell r="E35" t="str">
            <v>KG</v>
          </cell>
          <cell r="F35">
            <v>4.8100000000000005</v>
          </cell>
          <cell r="G35" t="str">
            <v>€</v>
          </cell>
          <cell r="H35">
            <v>1394.9</v>
          </cell>
          <cell r="I35" t="str">
            <v>€</v>
          </cell>
          <cell r="J35">
            <v>4.82</v>
          </cell>
          <cell r="K35" t="str">
            <v>€</v>
          </cell>
          <cell r="L35">
            <v>1397.8000000000002</v>
          </cell>
          <cell r="M35" t="str">
            <v>€</v>
          </cell>
          <cell r="N35">
            <v>4.82</v>
          </cell>
          <cell r="O35" t="str">
            <v>€</v>
          </cell>
          <cell r="P35">
            <v>321.69290929682603</v>
          </cell>
          <cell r="Q35" t="str">
            <v>KG</v>
          </cell>
          <cell r="R35">
            <v>1550.5598228107015</v>
          </cell>
          <cell r="S35" t="str">
            <v>€</v>
          </cell>
          <cell r="T35">
            <v>1550.5598228107015</v>
          </cell>
          <cell r="U35" t="str">
            <v>€</v>
          </cell>
          <cell r="V35">
            <v>0</v>
          </cell>
          <cell r="W35" t="str">
            <v>€</v>
          </cell>
          <cell r="X35">
            <v>6.6908079999999996</v>
          </cell>
        </row>
        <row r="36">
          <cell r="A36">
            <v>338199</v>
          </cell>
          <cell r="B36" t="str">
            <v>MIEL SEAU 25 KG ORIGINE FRANCE</v>
          </cell>
          <cell r="C36" t="str">
            <v>ACH113</v>
          </cell>
          <cell r="D36">
            <v>500</v>
          </cell>
          <cell r="E36" t="str">
            <v>KG</v>
          </cell>
          <cell r="F36">
            <v>8.2200000000000006</v>
          </cell>
          <cell r="G36" t="str">
            <v>€</v>
          </cell>
          <cell r="H36">
            <v>4110</v>
          </cell>
          <cell r="I36" t="str">
            <v>€</v>
          </cell>
          <cell r="J36">
            <v>8.25</v>
          </cell>
          <cell r="K36" t="str">
            <v>€</v>
          </cell>
          <cell r="L36">
            <v>4125</v>
          </cell>
          <cell r="M36" t="str">
            <v>€</v>
          </cell>
          <cell r="N36">
            <v>8.25</v>
          </cell>
          <cell r="O36" t="str">
            <v>€</v>
          </cell>
          <cell r="P36">
            <v>543.61866625799018</v>
          </cell>
          <cell r="Q36" t="str">
            <v>KG</v>
          </cell>
          <cell r="R36">
            <v>4484.8539966284188</v>
          </cell>
          <cell r="S36" t="str">
            <v>€</v>
          </cell>
          <cell r="T36">
            <v>4484.8539966284188</v>
          </cell>
          <cell r="U36" t="str">
            <v>€</v>
          </cell>
          <cell r="V36">
            <v>0</v>
          </cell>
          <cell r="W36" t="str">
            <v>€</v>
          </cell>
          <cell r="X36">
            <v>15.771962</v>
          </cell>
        </row>
        <row r="37">
          <cell r="A37">
            <v>338201</v>
          </cell>
          <cell r="B37" t="str">
            <v>MOUTARDE:A L'ANCIENNE S/SO2</v>
          </cell>
          <cell r="C37" t="str">
            <v>ACH113</v>
          </cell>
          <cell r="D37">
            <v>3500</v>
          </cell>
          <cell r="E37" t="str">
            <v>KG</v>
          </cell>
          <cell r="F37">
            <v>2.06</v>
          </cell>
          <cell r="G37" t="str">
            <v>€</v>
          </cell>
          <cell r="H37">
            <v>7210</v>
          </cell>
          <cell r="I37" t="str">
            <v>€</v>
          </cell>
          <cell r="J37">
            <v>4.7560000000000002</v>
          </cell>
          <cell r="K37" t="str">
            <v>€</v>
          </cell>
          <cell r="L37">
            <v>16646</v>
          </cell>
          <cell r="M37" t="str">
            <v>€</v>
          </cell>
          <cell r="N37">
            <v>2.1</v>
          </cell>
          <cell r="O37" t="str">
            <v>€</v>
          </cell>
          <cell r="P37">
            <v>4294.1901962741831</v>
          </cell>
          <cell r="Q37" t="str">
            <v>KG</v>
          </cell>
          <cell r="R37">
            <v>9017.7994121757856</v>
          </cell>
          <cell r="S37" t="str">
            <v>€</v>
          </cell>
          <cell r="T37">
            <v>20423.168573480016</v>
          </cell>
          <cell r="U37" t="str">
            <v>€</v>
          </cell>
          <cell r="V37">
            <v>-11405.36916130423</v>
          </cell>
          <cell r="W37" t="str">
            <v>€</v>
          </cell>
          <cell r="X37">
            <v>517.82792400000005</v>
          </cell>
        </row>
        <row r="38">
          <cell r="A38">
            <v>338202</v>
          </cell>
          <cell r="B38" t="str">
            <v>MOUTARDE : FORTE S/SO2</v>
          </cell>
          <cell r="C38" t="str">
            <v>ACH113</v>
          </cell>
          <cell r="D38">
            <v>804</v>
          </cell>
          <cell r="E38" t="str">
            <v>KG</v>
          </cell>
          <cell r="F38">
            <v>2.0943283582089549</v>
          </cell>
          <cell r="G38" t="str">
            <v>€</v>
          </cell>
          <cell r="H38">
            <v>1683.84</v>
          </cell>
          <cell r="I38" t="str">
            <v>€</v>
          </cell>
          <cell r="J38">
            <v>4.08</v>
          </cell>
          <cell r="K38" t="str">
            <v>€</v>
          </cell>
          <cell r="L38">
            <v>3280.32</v>
          </cell>
          <cell r="M38" t="str">
            <v>€</v>
          </cell>
          <cell r="N38">
            <v>1.69</v>
          </cell>
          <cell r="O38" t="str">
            <v>€</v>
          </cell>
          <cell r="P38">
            <v>928.70053999914535</v>
          </cell>
          <cell r="Q38" t="str">
            <v>KG</v>
          </cell>
          <cell r="R38">
            <v>1569.5039125985556</v>
          </cell>
          <cell r="S38" t="str">
            <v>€</v>
          </cell>
          <cell r="T38">
            <v>3789.0982031965132</v>
          </cell>
          <cell r="U38" t="str">
            <v>€</v>
          </cell>
          <cell r="V38">
            <v>-2219.5942905979573</v>
          </cell>
          <cell r="W38" t="str">
            <v>€</v>
          </cell>
          <cell r="X38">
            <v>60.793886000000001</v>
          </cell>
        </row>
        <row r="39">
          <cell r="A39">
            <v>338203</v>
          </cell>
          <cell r="B39" t="str">
            <v>MUSCADE POUDRE</v>
          </cell>
          <cell r="C39" t="str">
            <v>ACH113</v>
          </cell>
          <cell r="D39">
            <v>50</v>
          </cell>
          <cell r="E39" t="str">
            <v>KG</v>
          </cell>
          <cell r="F39">
            <v>15.81</v>
          </cell>
          <cell r="G39" t="str">
            <v>€</v>
          </cell>
          <cell r="H39">
            <v>790.5</v>
          </cell>
          <cell r="I39" t="str">
            <v>€</v>
          </cell>
          <cell r="J39">
            <v>19.2</v>
          </cell>
          <cell r="K39" t="str">
            <v>€</v>
          </cell>
          <cell r="L39">
            <v>960</v>
          </cell>
          <cell r="M39" t="str">
            <v>€</v>
          </cell>
          <cell r="N39">
            <v>15.81</v>
          </cell>
          <cell r="O39" t="str">
            <v>€</v>
          </cell>
          <cell r="P39">
            <v>72.274055371551597</v>
          </cell>
          <cell r="Q39" t="str">
            <v>KG</v>
          </cell>
          <cell r="R39">
            <v>1142.6528154242308</v>
          </cell>
          <cell r="S39" t="str">
            <v>€</v>
          </cell>
          <cell r="T39">
            <v>1387.6618631337906</v>
          </cell>
          <cell r="U39" t="str">
            <v>€</v>
          </cell>
          <cell r="V39">
            <v>-245.00904770955981</v>
          </cell>
          <cell r="W39" t="str">
            <v>€</v>
          </cell>
          <cell r="X39">
            <v>3.6404049999999999</v>
          </cell>
        </row>
        <row r="40">
          <cell r="A40">
            <v>338205</v>
          </cell>
          <cell r="B40" t="str">
            <v>SAUCE POISSON NUOC MAN</v>
          </cell>
          <cell r="C40" t="str">
            <v>ACH113</v>
          </cell>
          <cell r="D40">
            <v>41.2</v>
          </cell>
          <cell r="E40" t="str">
            <v>KG</v>
          </cell>
          <cell r="F40">
            <v>1.840291262135922</v>
          </cell>
          <cell r="G40" t="str">
            <v>€</v>
          </cell>
          <cell r="H40">
            <v>75.819999999999993</v>
          </cell>
          <cell r="I40" t="str">
            <v>€</v>
          </cell>
          <cell r="J40">
            <v>2.33</v>
          </cell>
          <cell r="K40" t="str">
            <v>€</v>
          </cell>
          <cell r="L40">
            <v>95.996000000000009</v>
          </cell>
          <cell r="M40" t="str">
            <v>€</v>
          </cell>
          <cell r="N40">
            <v>2.33</v>
          </cell>
          <cell r="O40" t="str">
            <v>€</v>
          </cell>
          <cell r="P40">
            <v>94.343000533393095</v>
          </cell>
          <cell r="Q40" t="str">
            <v>KG</v>
          </cell>
          <cell r="R40">
            <v>219.81919124280591</v>
          </cell>
          <cell r="S40" t="str">
            <v>€</v>
          </cell>
          <cell r="T40">
            <v>219.81919124280591</v>
          </cell>
          <cell r="U40" t="str">
            <v>€</v>
          </cell>
          <cell r="V40">
            <v>0</v>
          </cell>
          <cell r="W40" t="str">
            <v>€</v>
          </cell>
          <cell r="X40">
            <v>23.340543</v>
          </cell>
        </row>
        <row r="41">
          <cell r="A41">
            <v>338207</v>
          </cell>
          <cell r="B41" t="str">
            <v>PIMENT POUDRE</v>
          </cell>
          <cell r="C41" t="str">
            <v>ACH113</v>
          </cell>
          <cell r="D41">
            <v>175</v>
          </cell>
          <cell r="E41" t="str">
            <v>KG</v>
          </cell>
          <cell r="F41">
            <v>5</v>
          </cell>
          <cell r="G41" t="str">
            <v>€</v>
          </cell>
          <cell r="H41">
            <v>875</v>
          </cell>
          <cell r="I41" t="str">
            <v>€</v>
          </cell>
          <cell r="J41">
            <v>5.05</v>
          </cell>
          <cell r="K41" t="str">
            <v>€</v>
          </cell>
          <cell r="L41">
            <v>883.75</v>
          </cell>
          <cell r="M41" t="str">
            <v>€</v>
          </cell>
          <cell r="N41">
            <v>5</v>
          </cell>
          <cell r="O41" t="str">
            <v>€</v>
          </cell>
          <cell r="P41">
            <v>186.11743871270232</v>
          </cell>
          <cell r="Q41" t="str">
            <v>KG</v>
          </cell>
          <cell r="R41">
            <v>930.58719356351162</v>
          </cell>
          <cell r="S41" t="str">
            <v>€</v>
          </cell>
          <cell r="T41">
            <v>939.8930654991467</v>
          </cell>
          <cell r="U41" t="str">
            <v>€</v>
          </cell>
          <cell r="V41">
            <v>-9.3058719356350821</v>
          </cell>
          <cell r="W41" t="str">
            <v>€</v>
          </cell>
          <cell r="X41">
            <v>25.287122</v>
          </cell>
        </row>
        <row r="42">
          <cell r="A42">
            <v>338208</v>
          </cell>
          <cell r="B42" t="str">
            <v>PIMENT POUDRE ESPELETTE</v>
          </cell>
          <cell r="C42" t="str">
            <v>ACH113</v>
          </cell>
          <cell r="D42">
            <v>20</v>
          </cell>
          <cell r="E42" t="str">
            <v>KG</v>
          </cell>
          <cell r="F42">
            <v>72.7</v>
          </cell>
          <cell r="G42" t="str">
            <v>€</v>
          </cell>
          <cell r="H42">
            <v>1454</v>
          </cell>
          <cell r="I42" t="str">
            <v>€</v>
          </cell>
          <cell r="J42">
            <v>74.5</v>
          </cell>
          <cell r="K42" t="str">
            <v>€</v>
          </cell>
          <cell r="L42">
            <v>1490</v>
          </cell>
          <cell r="M42" t="str">
            <v>€</v>
          </cell>
          <cell r="N42">
            <v>73</v>
          </cell>
          <cell r="O42" t="str">
            <v>€</v>
          </cell>
          <cell r="P42">
            <v>17.592923581954782</v>
          </cell>
          <cell r="Q42" t="str">
            <v>KG</v>
          </cell>
          <cell r="R42">
            <v>1284.2834214826992</v>
          </cell>
          <cell r="S42" t="str">
            <v>€</v>
          </cell>
          <cell r="T42">
            <v>1310.6728068556313</v>
          </cell>
          <cell r="U42" t="str">
            <v>€</v>
          </cell>
          <cell r="V42">
            <v>-26.389385372932111</v>
          </cell>
          <cell r="W42" t="str">
            <v>€</v>
          </cell>
          <cell r="X42">
            <v>2.8876010000000001</v>
          </cell>
        </row>
        <row r="43">
          <cell r="A43">
            <v>338211</v>
          </cell>
          <cell r="B43" t="str">
            <v>POIVRE BLANC MOULU</v>
          </cell>
          <cell r="C43" t="str">
            <v>ACH113</v>
          </cell>
          <cell r="D43">
            <v>1175</v>
          </cell>
          <cell r="E43" t="str">
            <v>KG</v>
          </cell>
          <cell r="F43">
            <v>7.5053191489361701</v>
          </cell>
          <cell r="G43" t="str">
            <v>€</v>
          </cell>
          <cell r="H43">
            <v>8818.75</v>
          </cell>
          <cell r="I43" t="str">
            <v>€</v>
          </cell>
          <cell r="J43">
            <v>13.6</v>
          </cell>
          <cell r="K43" t="str">
            <v>€</v>
          </cell>
          <cell r="L43">
            <v>15980</v>
          </cell>
          <cell r="M43" t="str">
            <v>€</v>
          </cell>
          <cell r="N43">
            <v>7.55</v>
          </cell>
          <cell r="O43" t="str">
            <v>€</v>
          </cell>
          <cell r="P43">
            <v>1180.0943338375362</v>
          </cell>
          <cell r="Q43" t="str">
            <v>KG</v>
          </cell>
          <cell r="R43">
            <v>8909.7122204733987</v>
          </cell>
          <cell r="S43" t="str">
            <v>€</v>
          </cell>
          <cell r="T43">
            <v>16049.282940190491</v>
          </cell>
          <cell r="U43" t="str">
            <v>€</v>
          </cell>
          <cell r="V43">
            <v>-7139.5707197170923</v>
          </cell>
          <cell r="W43" t="str">
            <v>€</v>
          </cell>
          <cell r="X43">
            <v>171.95121599999999</v>
          </cell>
        </row>
        <row r="44">
          <cell r="A44">
            <v>338212</v>
          </cell>
          <cell r="B44" t="str">
            <v>POIVRE DE SICHOUAN MOULU</v>
          </cell>
          <cell r="C44" t="str">
            <v>ACH113</v>
          </cell>
          <cell r="D44">
            <v>70</v>
          </cell>
          <cell r="E44" t="str">
            <v>KG</v>
          </cell>
          <cell r="F44">
            <v>45.413285714285713</v>
          </cell>
          <cell r="G44" t="str">
            <v>€</v>
          </cell>
          <cell r="H44">
            <v>3178.93</v>
          </cell>
          <cell r="I44" t="str">
            <v>€</v>
          </cell>
          <cell r="J44">
            <v>44.06</v>
          </cell>
          <cell r="K44" t="str">
            <v>€</v>
          </cell>
          <cell r="L44">
            <v>3084.2000000000003</v>
          </cell>
          <cell r="M44" t="str">
            <v>€</v>
          </cell>
          <cell r="N44">
            <v>44.06</v>
          </cell>
          <cell r="O44" t="str">
            <v>€</v>
          </cell>
          <cell r="P44">
            <v>81.205946861682406</v>
          </cell>
          <cell r="Q44" t="str">
            <v>KG</v>
          </cell>
          <cell r="R44">
            <v>3577.9340187257271</v>
          </cell>
          <cell r="S44" t="str">
            <v>€</v>
          </cell>
          <cell r="T44">
            <v>3577.9340187257271</v>
          </cell>
          <cell r="U44" t="str">
            <v>€</v>
          </cell>
          <cell r="V44">
            <v>0</v>
          </cell>
          <cell r="W44" t="str">
            <v>€</v>
          </cell>
          <cell r="X44">
            <v>4.5280990000000001</v>
          </cell>
        </row>
        <row r="45">
          <cell r="A45">
            <v>338215</v>
          </cell>
          <cell r="B45" t="str">
            <v>RAZ EL HANOUT</v>
          </cell>
          <cell r="C45" t="str">
            <v>ACH113</v>
          </cell>
          <cell r="D45">
            <v>100</v>
          </cell>
          <cell r="E45" t="str">
            <v>KG</v>
          </cell>
          <cell r="F45">
            <v>6.11</v>
          </cell>
          <cell r="G45" t="str">
            <v>€</v>
          </cell>
          <cell r="H45">
            <v>611</v>
          </cell>
          <cell r="I45" t="str">
            <v>€</v>
          </cell>
          <cell r="J45">
            <v>13.8</v>
          </cell>
          <cell r="K45" t="str">
            <v>€</v>
          </cell>
          <cell r="L45">
            <v>1380</v>
          </cell>
          <cell r="M45" t="str">
            <v>€</v>
          </cell>
          <cell r="N45">
            <v>6.12</v>
          </cell>
          <cell r="O45" t="str">
            <v>€</v>
          </cell>
          <cell r="P45">
            <v>71.958245304347827</v>
          </cell>
          <cell r="Q45" t="str">
            <v>KG</v>
          </cell>
          <cell r="R45">
            <v>440.38446126260868</v>
          </cell>
          <cell r="S45" t="str">
            <v>€</v>
          </cell>
          <cell r="T45">
            <v>993.02378520000002</v>
          </cell>
          <cell r="U45" t="str">
            <v>€</v>
          </cell>
          <cell r="V45">
            <v>-552.63932393739128</v>
          </cell>
          <cell r="W45" t="str">
            <v>€</v>
          </cell>
          <cell r="X45">
            <v>12.839727999999999</v>
          </cell>
        </row>
        <row r="46">
          <cell r="A46">
            <v>338246</v>
          </cell>
          <cell r="B46" t="str">
            <v>PUREE PIMENTS ROUGE (EA00177)</v>
          </cell>
          <cell r="C46" t="str">
            <v>ACH113</v>
          </cell>
          <cell r="D46">
            <v>865</v>
          </cell>
          <cell r="E46" t="str">
            <v>KG</v>
          </cell>
          <cell r="F46">
            <v>7.2818497109826588</v>
          </cell>
          <cell r="G46" t="str">
            <v>€</v>
          </cell>
          <cell r="H46">
            <v>6298.8</v>
          </cell>
          <cell r="I46" t="str">
            <v>€</v>
          </cell>
          <cell r="J46">
            <v>8.25</v>
          </cell>
          <cell r="K46" t="str">
            <v>€</v>
          </cell>
          <cell r="L46">
            <v>7136.25</v>
          </cell>
          <cell r="M46" t="str">
            <v>€</v>
          </cell>
          <cell r="N46">
            <v>8.25</v>
          </cell>
          <cell r="O46" t="str">
            <v>€</v>
          </cell>
          <cell r="P46">
            <v>447.14935298446466</v>
          </cell>
          <cell r="Q46" t="str">
            <v>KG</v>
          </cell>
          <cell r="R46">
            <v>3688.9821621218334</v>
          </cell>
          <cell r="S46" t="str">
            <v>€</v>
          </cell>
          <cell r="T46">
            <v>3688.9821621218334</v>
          </cell>
          <cell r="U46" t="str">
            <v>€</v>
          </cell>
          <cell r="V46">
            <v>0</v>
          </cell>
          <cell r="W46" t="str">
            <v>€</v>
          </cell>
          <cell r="X46">
            <v>115.529377</v>
          </cell>
        </row>
        <row r="47">
          <cell r="A47">
            <v>338299</v>
          </cell>
          <cell r="B47" t="str">
            <v>HARISSA 4/4 760G NET</v>
          </cell>
          <cell r="C47" t="str">
            <v>ACH113</v>
          </cell>
          <cell r="D47">
            <v>2107.7199999999998</v>
          </cell>
          <cell r="E47" t="str">
            <v>KG</v>
          </cell>
          <cell r="F47">
            <v>2.4768897196971138</v>
          </cell>
          <cell r="G47" t="str">
            <v>€</v>
          </cell>
          <cell r="H47">
            <v>5220.59</v>
          </cell>
          <cell r="I47" t="str">
            <v>€</v>
          </cell>
          <cell r="J47">
            <v>2.48</v>
          </cell>
          <cell r="K47" t="str">
            <v>€</v>
          </cell>
          <cell r="L47">
            <v>5227.1455999999998</v>
          </cell>
          <cell r="M47" t="str">
            <v>€</v>
          </cell>
          <cell r="N47">
            <v>2.41</v>
          </cell>
          <cell r="O47" t="str">
            <v>€</v>
          </cell>
          <cell r="P47">
            <v>1956.7473071660017</v>
          </cell>
          <cell r="Q47" t="str">
            <v>KG</v>
          </cell>
          <cell r="R47">
            <v>4715.7610102700646</v>
          </cell>
          <cell r="S47" t="str">
            <v>€</v>
          </cell>
          <cell r="T47">
            <v>4852.7333217716841</v>
          </cell>
          <cell r="U47" t="str">
            <v>€</v>
          </cell>
          <cell r="V47">
            <v>-136.97231150161952</v>
          </cell>
          <cell r="W47" t="str">
            <v>€</v>
          </cell>
          <cell r="X47">
            <v>554.89855599999999</v>
          </cell>
        </row>
        <row r="48">
          <cell r="A48">
            <v>338449</v>
          </cell>
          <cell r="B48" t="str">
            <v>MIX PAELLA AROME NATUREL DE00162</v>
          </cell>
          <cell r="C48" t="str">
            <v>ACH113</v>
          </cell>
          <cell r="D48">
            <v>9930</v>
          </cell>
          <cell r="E48" t="str">
            <v>KG</v>
          </cell>
          <cell r="F48">
            <v>9.4</v>
          </cell>
          <cell r="G48" t="str">
            <v>€</v>
          </cell>
          <cell r="H48">
            <v>93342</v>
          </cell>
          <cell r="I48" t="str">
            <v>€</v>
          </cell>
          <cell r="J48">
            <v>9.6999999999999993</v>
          </cell>
          <cell r="K48" t="str">
            <v>€</v>
          </cell>
          <cell r="L48">
            <v>96321</v>
          </cell>
          <cell r="M48" t="str">
            <v>€</v>
          </cell>
          <cell r="N48">
            <v>9.6999999999999993</v>
          </cell>
          <cell r="O48" t="str">
            <v>€</v>
          </cell>
          <cell r="P48">
            <v>9573.5955850662176</v>
          </cell>
          <cell r="Q48" t="str">
            <v>KG</v>
          </cell>
          <cell r="R48">
            <v>92863.877175142305</v>
          </cell>
          <cell r="S48" t="str">
            <v>€</v>
          </cell>
          <cell r="T48">
            <v>92863.877175142305</v>
          </cell>
          <cell r="U48" t="str">
            <v>€</v>
          </cell>
          <cell r="V48">
            <v>0</v>
          </cell>
          <cell r="W48" t="str">
            <v>€</v>
          </cell>
          <cell r="X48">
            <v>1139.6547370000001</v>
          </cell>
        </row>
        <row r="49">
          <cell r="A49">
            <v>338470</v>
          </cell>
          <cell r="B49" t="str">
            <v xml:space="preserve">MOUTARDE GRAINE BLANCHE </v>
          </cell>
          <cell r="C49" t="str">
            <v>ACH113</v>
          </cell>
          <cell r="D49">
            <v>4860</v>
          </cell>
          <cell r="E49" t="str">
            <v>KG</v>
          </cell>
          <cell r="F49">
            <v>1.55</v>
          </cell>
          <cell r="G49" t="str">
            <v>€</v>
          </cell>
          <cell r="H49">
            <v>7533</v>
          </cell>
          <cell r="I49" t="str">
            <v>€</v>
          </cell>
          <cell r="J49">
            <v>1.58</v>
          </cell>
          <cell r="K49" t="str">
            <v>€</v>
          </cell>
          <cell r="L49">
            <v>7678.8</v>
          </cell>
          <cell r="M49" t="str">
            <v>€</v>
          </cell>
          <cell r="N49">
            <v>1.58</v>
          </cell>
          <cell r="O49" t="str">
            <v>€</v>
          </cell>
          <cell r="P49">
            <v>4912.5091276166668</v>
          </cell>
          <cell r="Q49" t="str">
            <v>KG</v>
          </cell>
          <cell r="R49">
            <v>7761.7644216343342</v>
          </cell>
          <cell r="S49" t="str">
            <v>€</v>
          </cell>
          <cell r="T49">
            <v>7761.7644216343342</v>
          </cell>
          <cell r="U49" t="str">
            <v>€</v>
          </cell>
          <cell r="V49">
            <v>0</v>
          </cell>
          <cell r="W49" t="str">
            <v>€</v>
          </cell>
          <cell r="X49">
            <v>708.54177200000004</v>
          </cell>
        </row>
        <row r="50">
          <cell r="A50">
            <v>338480</v>
          </cell>
          <cell r="B50" t="str">
            <v>FENUGREC TT POUDRE</v>
          </cell>
          <cell r="C50" t="str">
            <v>ACH113</v>
          </cell>
          <cell r="D50">
            <v>60</v>
          </cell>
          <cell r="E50" t="str">
            <v>KG</v>
          </cell>
          <cell r="F50">
            <v>4.5699999999999994</v>
          </cell>
          <cell r="G50" t="str">
            <v>€</v>
          </cell>
          <cell r="H50">
            <v>274.2</v>
          </cell>
          <cell r="I50" t="str">
            <v>€</v>
          </cell>
          <cell r="J50">
            <v>4.5999999999999996</v>
          </cell>
          <cell r="K50" t="str">
            <v>€</v>
          </cell>
          <cell r="L50">
            <v>276</v>
          </cell>
          <cell r="M50" t="str">
            <v>€</v>
          </cell>
          <cell r="O50" t="str">
            <v>€</v>
          </cell>
          <cell r="P50">
            <v>82.153107837104073</v>
          </cell>
          <cell r="Q50" t="str">
            <v>KG</v>
          </cell>
          <cell r="S50" t="str">
            <v>€</v>
          </cell>
          <cell r="T50">
            <v>377.90429605067868</v>
          </cell>
          <cell r="U50" t="str">
            <v>€</v>
          </cell>
          <cell r="W50" t="str">
            <v>€</v>
          </cell>
          <cell r="X50">
            <v>29.990586</v>
          </cell>
        </row>
        <row r="51">
          <cell r="A51">
            <v>339719</v>
          </cell>
          <cell r="B51" t="str">
            <v>CARAMEL AROMATIQ FO</v>
          </cell>
          <cell r="C51" t="str">
            <v>ACH113</v>
          </cell>
          <cell r="D51">
            <v>8325</v>
          </cell>
          <cell r="E51" t="str">
            <v>KG</v>
          </cell>
          <cell r="F51">
            <v>2.1343099099099101</v>
          </cell>
          <cell r="G51" t="str">
            <v>€</v>
          </cell>
          <cell r="H51">
            <v>17768.13</v>
          </cell>
          <cell r="I51" t="str">
            <v>€</v>
          </cell>
          <cell r="J51">
            <v>2.69</v>
          </cell>
          <cell r="K51" t="str">
            <v>€</v>
          </cell>
          <cell r="L51">
            <v>22394.25</v>
          </cell>
          <cell r="M51" t="str">
            <v>€</v>
          </cell>
          <cell r="N51">
            <v>2.69</v>
          </cell>
          <cell r="O51" t="str">
            <v>€</v>
          </cell>
          <cell r="P51">
            <v>8457.6217988262342</v>
          </cell>
          <cell r="Q51" t="str">
            <v>KG</v>
          </cell>
          <cell r="R51">
            <v>22751.002638842569</v>
          </cell>
          <cell r="S51" t="str">
            <v>€</v>
          </cell>
          <cell r="T51">
            <v>22751.002638842569</v>
          </cell>
          <cell r="U51" t="str">
            <v>€</v>
          </cell>
          <cell r="V51">
            <v>0</v>
          </cell>
          <cell r="W51" t="str">
            <v>€</v>
          </cell>
          <cell r="X51">
            <v>403.93400000000003</v>
          </cell>
        </row>
        <row r="52">
          <cell r="A52">
            <v>339733</v>
          </cell>
          <cell r="B52" t="str">
            <v>EPICE 5 PARFUMS</v>
          </cell>
          <cell r="C52" t="str">
            <v>ACH113</v>
          </cell>
          <cell r="D52">
            <v>314</v>
          </cell>
          <cell r="E52" t="str">
            <v>KG</v>
          </cell>
          <cell r="F52">
            <v>16.82</v>
          </cell>
          <cell r="G52" t="str">
            <v>€</v>
          </cell>
          <cell r="H52">
            <v>5281.48</v>
          </cell>
          <cell r="I52" t="str">
            <v>€</v>
          </cell>
          <cell r="J52">
            <v>17.16</v>
          </cell>
          <cell r="K52" t="str">
            <v>€</v>
          </cell>
          <cell r="L52">
            <v>5388.24</v>
          </cell>
          <cell r="M52" t="str">
            <v>€</v>
          </cell>
          <cell r="N52">
            <v>17.16</v>
          </cell>
          <cell r="O52" t="str">
            <v>€</v>
          </cell>
          <cell r="P52">
            <v>339.79258725626659</v>
          </cell>
          <cell r="Q52" t="str">
            <v>KG</v>
          </cell>
          <cell r="R52">
            <v>5830.8407973175345</v>
          </cell>
          <cell r="S52" t="str">
            <v>€</v>
          </cell>
          <cell r="T52">
            <v>5830.8407973175345</v>
          </cell>
          <cell r="U52" t="str">
            <v>€</v>
          </cell>
          <cell r="V52">
            <v>0</v>
          </cell>
          <cell r="W52" t="str">
            <v>€</v>
          </cell>
          <cell r="X52">
            <v>14.838504</v>
          </cell>
        </row>
        <row r="53">
          <cell r="A53">
            <v>339884</v>
          </cell>
          <cell r="B53" t="str">
            <v>SESAME GRAINE DORE</v>
          </cell>
          <cell r="C53" t="str">
            <v>ACH113</v>
          </cell>
          <cell r="D53">
            <v>440</v>
          </cell>
          <cell r="E53" t="str">
            <v>KG</v>
          </cell>
          <cell r="F53">
            <v>5.2799999999999994</v>
          </cell>
          <cell r="G53" t="str">
            <v>€</v>
          </cell>
          <cell r="H53">
            <v>2323.1999999999998</v>
          </cell>
          <cell r="I53" t="str">
            <v>€</v>
          </cell>
          <cell r="J53">
            <v>5.3</v>
          </cell>
          <cell r="K53" t="str">
            <v>€</v>
          </cell>
          <cell r="L53">
            <v>2332</v>
          </cell>
          <cell r="M53" t="str">
            <v>€</v>
          </cell>
          <cell r="N53">
            <v>5.3</v>
          </cell>
          <cell r="O53" t="str">
            <v>€</v>
          </cell>
          <cell r="P53">
            <v>301.59304027985468</v>
          </cell>
          <cell r="Q53" t="str">
            <v>KG</v>
          </cell>
          <cell r="R53">
            <v>1598.4431134832298</v>
          </cell>
          <cell r="S53" t="str">
            <v>€</v>
          </cell>
          <cell r="T53">
            <v>1598.4431134832298</v>
          </cell>
          <cell r="U53" t="str">
            <v>€</v>
          </cell>
          <cell r="V53">
            <v>0</v>
          </cell>
          <cell r="W53" t="str">
            <v>€</v>
          </cell>
          <cell r="X53">
            <v>44</v>
          </cell>
        </row>
        <row r="54">
          <cell r="A54">
            <v>340001</v>
          </cell>
          <cell r="B54" t="str">
            <v xml:space="preserve">AGAR AGAR </v>
          </cell>
          <cell r="C54" t="str">
            <v>ACH133</v>
          </cell>
          <cell r="D54">
            <v>240</v>
          </cell>
          <cell r="E54" t="str">
            <v>KG</v>
          </cell>
          <cell r="F54">
            <v>39.674999999999997</v>
          </cell>
          <cell r="G54" t="str">
            <v>€</v>
          </cell>
          <cell r="H54">
            <v>9522</v>
          </cell>
          <cell r="I54" t="str">
            <v>€</v>
          </cell>
          <cell r="J54">
            <v>48</v>
          </cell>
          <cell r="K54" t="str">
            <v>€</v>
          </cell>
          <cell r="L54">
            <v>11520</v>
          </cell>
          <cell r="M54" t="str">
            <v>€</v>
          </cell>
          <cell r="N54">
            <v>48</v>
          </cell>
          <cell r="O54" t="str">
            <v>€</v>
          </cell>
          <cell r="P54">
            <v>232.79933035756824</v>
          </cell>
          <cell r="Q54" t="str">
            <v>KG</v>
          </cell>
          <cell r="R54">
            <v>11174.367857163275</v>
          </cell>
          <cell r="S54" t="str">
            <v>€</v>
          </cell>
          <cell r="T54">
            <v>11174.367857163275</v>
          </cell>
          <cell r="U54" t="str">
            <v>€</v>
          </cell>
          <cell r="V54">
            <v>0</v>
          </cell>
          <cell r="W54" t="str">
            <v>€</v>
          </cell>
          <cell r="X54">
            <v>82.463130000000007</v>
          </cell>
        </row>
        <row r="55">
          <cell r="A55">
            <v>340338</v>
          </cell>
          <cell r="B55" t="str">
            <v>COCO POUDRE</v>
          </cell>
          <cell r="C55" t="str">
            <v>ACH113</v>
          </cell>
          <cell r="D55">
            <v>2490</v>
          </cell>
          <cell r="E55" t="str">
            <v>KG</v>
          </cell>
          <cell r="F55">
            <v>7.7899999999999991</v>
          </cell>
          <cell r="G55" t="str">
            <v>€</v>
          </cell>
          <cell r="H55">
            <v>19397.099999999999</v>
          </cell>
          <cell r="I55" t="str">
            <v>€</v>
          </cell>
          <cell r="J55">
            <v>7.89</v>
          </cell>
          <cell r="K55" t="str">
            <v>€</v>
          </cell>
          <cell r="L55">
            <v>19646.099999999999</v>
          </cell>
          <cell r="M55" t="str">
            <v>€</v>
          </cell>
          <cell r="N55">
            <v>7.8</v>
          </cell>
          <cell r="O55" t="str">
            <v>€</v>
          </cell>
          <cell r="P55">
            <v>3568.9734556969834</v>
          </cell>
          <cell r="Q55" t="str">
            <v>KG</v>
          </cell>
          <cell r="R55">
            <v>27837.992954436471</v>
          </cell>
          <cell r="S55" t="str">
            <v>€</v>
          </cell>
          <cell r="T55">
            <v>28159.200565449199</v>
          </cell>
          <cell r="U55" t="str">
            <v>€</v>
          </cell>
          <cell r="V55">
            <v>-321.20761101272728</v>
          </cell>
          <cell r="W55" t="str">
            <v>€</v>
          </cell>
          <cell r="X55">
            <v>330.43143700000002</v>
          </cell>
        </row>
        <row r="56">
          <cell r="A56">
            <v>340339</v>
          </cell>
          <cell r="B56" t="str">
            <v xml:space="preserve">GINGEMBRE POUDRE </v>
          </cell>
          <cell r="C56" t="str">
            <v>ACH113</v>
          </cell>
          <cell r="D56">
            <v>481</v>
          </cell>
          <cell r="E56" t="str">
            <v>KG</v>
          </cell>
          <cell r="F56">
            <v>7.8800000000000008</v>
          </cell>
          <cell r="G56" t="str">
            <v>€</v>
          </cell>
          <cell r="H56">
            <v>3790.28</v>
          </cell>
          <cell r="I56" t="str">
            <v>€</v>
          </cell>
          <cell r="J56">
            <v>7.88</v>
          </cell>
          <cell r="K56" t="str">
            <v>€</v>
          </cell>
          <cell r="L56">
            <v>3790.2799999999997</v>
          </cell>
          <cell r="M56" t="str">
            <v>€</v>
          </cell>
          <cell r="N56">
            <v>7.88</v>
          </cell>
          <cell r="O56" t="str">
            <v>€</v>
          </cell>
          <cell r="P56">
            <v>468.73215318271565</v>
          </cell>
          <cell r="Q56" t="str">
            <v>KG</v>
          </cell>
          <cell r="R56">
            <v>3693.6093670797991</v>
          </cell>
          <cell r="S56" t="str">
            <v>€</v>
          </cell>
          <cell r="T56">
            <v>3693.6093670797991</v>
          </cell>
          <cell r="U56" t="str">
            <v>€</v>
          </cell>
          <cell r="V56">
            <v>0</v>
          </cell>
          <cell r="W56" t="str">
            <v>€</v>
          </cell>
          <cell r="X56">
            <v>41.188442000000002</v>
          </cell>
        </row>
        <row r="57">
          <cell r="A57">
            <v>340362</v>
          </cell>
          <cell r="B57" t="str">
            <v>CLOU DE GIROFLE POUDRE</v>
          </cell>
          <cell r="C57" t="str">
            <v>ACH113</v>
          </cell>
          <cell r="D57">
            <v>27</v>
          </cell>
          <cell r="E57" t="str">
            <v>KG</v>
          </cell>
          <cell r="F57">
            <v>8.73</v>
          </cell>
          <cell r="G57" t="str">
            <v>€</v>
          </cell>
          <cell r="H57">
            <v>235.71</v>
          </cell>
          <cell r="I57" t="str">
            <v>€</v>
          </cell>
          <cell r="J57">
            <v>8.9</v>
          </cell>
          <cell r="K57" t="str">
            <v>€</v>
          </cell>
          <cell r="L57">
            <v>240.3</v>
          </cell>
          <cell r="M57" t="str">
            <v>€</v>
          </cell>
          <cell r="N57">
            <v>8.8000000000000007</v>
          </cell>
          <cell r="O57" t="str">
            <v>€</v>
          </cell>
          <cell r="P57">
            <v>28.66007026269482</v>
          </cell>
          <cell r="Q57" t="str">
            <v>KG</v>
          </cell>
          <cell r="R57">
            <v>252.20861831171445</v>
          </cell>
          <cell r="S57" t="str">
            <v>€</v>
          </cell>
          <cell r="T57">
            <v>255.07462533798392</v>
          </cell>
          <cell r="U57" t="str">
            <v>€</v>
          </cell>
          <cell r="V57">
            <v>-2.8660070262694717</v>
          </cell>
          <cell r="W57" t="str">
            <v>€</v>
          </cell>
          <cell r="X57">
            <v>1.931835</v>
          </cell>
        </row>
        <row r="58">
          <cell r="A58">
            <v>340368</v>
          </cell>
          <cell r="B58" t="str">
            <v>MOUTARDE NOIRE GRAIN</v>
          </cell>
          <cell r="C58" t="str">
            <v>ACH113</v>
          </cell>
          <cell r="D58">
            <v>75</v>
          </cell>
          <cell r="E58" t="str">
            <v>KG</v>
          </cell>
          <cell r="F58">
            <v>4.41</v>
          </cell>
          <cell r="G58" t="str">
            <v>€</v>
          </cell>
          <cell r="H58">
            <v>330.75</v>
          </cell>
          <cell r="I58" t="str">
            <v>€</v>
          </cell>
          <cell r="J58">
            <v>4.45</v>
          </cell>
          <cell r="K58" t="str">
            <v>€</v>
          </cell>
          <cell r="L58">
            <v>333.75</v>
          </cell>
          <cell r="M58" t="str">
            <v>€</v>
          </cell>
          <cell r="N58">
            <v>2.059685</v>
          </cell>
          <cell r="O58" t="str">
            <v>€</v>
          </cell>
          <cell r="P58">
            <v>206.87853921568629</v>
          </cell>
          <cell r="Q58" t="str">
            <v>KG</v>
          </cell>
          <cell r="R58">
            <v>426.10462404446082</v>
          </cell>
          <cell r="S58" t="str">
            <v>€</v>
          </cell>
          <cell r="T58">
            <v>920.60949950980398</v>
          </cell>
          <cell r="U58" t="str">
            <v>€</v>
          </cell>
          <cell r="V58">
            <v>-494.50487546534316</v>
          </cell>
          <cell r="W58" t="str">
            <v>€</v>
          </cell>
          <cell r="X58">
            <v>36.025384000000003</v>
          </cell>
        </row>
        <row r="59">
          <cell r="A59">
            <v>340371</v>
          </cell>
          <cell r="B59" t="str">
            <v>POIVRE VERT SAUMURE</v>
          </cell>
          <cell r="C59" t="str">
            <v>ACH113</v>
          </cell>
          <cell r="D59">
            <v>240</v>
          </cell>
          <cell r="E59" t="str">
            <v>KG</v>
          </cell>
          <cell r="F59">
            <v>9.1649999999999991</v>
          </cell>
          <cell r="G59" t="str">
            <v>€</v>
          </cell>
          <cell r="H59">
            <v>2199.6</v>
          </cell>
          <cell r="I59" t="str">
            <v>€</v>
          </cell>
          <cell r="J59">
            <v>8.6</v>
          </cell>
          <cell r="K59" t="str">
            <v>€</v>
          </cell>
          <cell r="L59">
            <v>2064</v>
          </cell>
          <cell r="M59" t="str">
            <v>€</v>
          </cell>
          <cell r="N59">
            <v>8.6</v>
          </cell>
          <cell r="O59" t="str">
            <v>€</v>
          </cell>
          <cell r="P59">
            <v>296.98928431372548</v>
          </cell>
          <cell r="Q59" t="str">
            <v>KG</v>
          </cell>
          <cell r="R59">
            <v>2554.107845098039</v>
          </cell>
          <cell r="S59" t="str">
            <v>€</v>
          </cell>
          <cell r="T59">
            <v>2554.107845098039</v>
          </cell>
          <cell r="U59" t="str">
            <v>€</v>
          </cell>
          <cell r="V59">
            <v>0</v>
          </cell>
          <cell r="W59" t="str">
            <v>€</v>
          </cell>
          <cell r="X59">
            <v>102.17038100000001</v>
          </cell>
        </row>
        <row r="60">
          <cell r="A60">
            <v>340381</v>
          </cell>
          <cell r="B60" t="str">
            <v>GOCHUJANG SAUCE LIQUIDE</v>
          </cell>
          <cell r="C60" t="str">
            <v>ACH113</v>
          </cell>
          <cell r="D60">
            <v>30</v>
          </cell>
          <cell r="E60" t="str">
            <v>KG</v>
          </cell>
          <cell r="F60">
            <v>11.5</v>
          </cell>
          <cell r="G60" t="str">
            <v>€</v>
          </cell>
          <cell r="H60">
            <v>345</v>
          </cell>
          <cell r="I60" t="str">
            <v>€</v>
          </cell>
          <cell r="J60">
            <v>11.5</v>
          </cell>
          <cell r="K60" t="str">
            <v>€</v>
          </cell>
          <cell r="L60">
            <v>345</v>
          </cell>
          <cell r="M60" t="str">
            <v>€</v>
          </cell>
          <cell r="N60">
            <v>11.5</v>
          </cell>
          <cell r="O60" t="str">
            <v>€</v>
          </cell>
          <cell r="P60">
            <v>17.690035624284079</v>
          </cell>
          <cell r="Q60" t="str">
            <v>KG</v>
          </cell>
          <cell r="R60">
            <v>203.43540967926691</v>
          </cell>
          <cell r="S60" t="str">
            <v>€</v>
          </cell>
          <cell r="T60">
            <v>203.43540967926691</v>
          </cell>
          <cell r="U60" t="str">
            <v>€</v>
          </cell>
          <cell r="V60">
            <v>0</v>
          </cell>
          <cell r="W60" t="str">
            <v>€</v>
          </cell>
          <cell r="X60">
            <v>2.72</v>
          </cell>
        </row>
        <row r="61">
          <cell r="A61">
            <v>340997</v>
          </cell>
          <cell r="B61" t="str">
            <v>AMIDON DE RIZ BIO</v>
          </cell>
          <cell r="C61" t="str">
            <v>ACH133</v>
          </cell>
          <cell r="D61">
            <v>225</v>
          </cell>
          <cell r="E61" t="str">
            <v>KG</v>
          </cell>
          <cell r="F61">
            <v>4.5811111111111114</v>
          </cell>
          <cell r="G61" t="str">
            <v>€</v>
          </cell>
          <cell r="H61">
            <v>1030.75</v>
          </cell>
          <cell r="I61" t="str">
            <v>€</v>
          </cell>
          <cell r="J61">
            <v>4.3099999999999996</v>
          </cell>
          <cell r="K61" t="str">
            <v>€</v>
          </cell>
          <cell r="L61">
            <v>969.74999999999989</v>
          </cell>
          <cell r="M61" t="str">
            <v>€</v>
          </cell>
          <cell r="O61" t="str">
            <v>€</v>
          </cell>
          <cell r="P61">
            <v>231.48638688888889</v>
          </cell>
          <cell r="Q61" t="str">
            <v>KG</v>
          </cell>
          <cell r="S61" t="str">
            <v>€</v>
          </cell>
          <cell r="T61">
            <v>997.70632749111098</v>
          </cell>
          <cell r="U61" t="str">
            <v>€</v>
          </cell>
          <cell r="W61" t="str">
            <v>€</v>
          </cell>
          <cell r="X61">
            <v>100.700965</v>
          </cell>
        </row>
        <row r="62">
          <cell r="A62">
            <v>340998</v>
          </cell>
          <cell r="B62" t="str">
            <v>POUDRE DE LAIT ECREME BIO</v>
          </cell>
          <cell r="C62" t="str">
            <v>ACH133</v>
          </cell>
          <cell r="D62">
            <v>98</v>
          </cell>
          <cell r="E62" t="str">
            <v>KG</v>
          </cell>
          <cell r="F62">
            <v>4.6183673469387756</v>
          </cell>
          <cell r="G62" t="str">
            <v>€</v>
          </cell>
          <cell r="H62">
            <v>452.6</v>
          </cell>
          <cell r="I62" t="str">
            <v>€</v>
          </cell>
          <cell r="J62">
            <v>4.95</v>
          </cell>
          <cell r="K62" t="str">
            <v>€</v>
          </cell>
          <cell r="L62">
            <v>485.1</v>
          </cell>
          <cell r="M62" t="str">
            <v>€</v>
          </cell>
          <cell r="O62" t="str">
            <v>€</v>
          </cell>
          <cell r="P62">
            <v>180.28516805555554</v>
          </cell>
          <cell r="Q62" t="str">
            <v>KG</v>
          </cell>
          <cell r="S62" t="str">
            <v>€</v>
          </cell>
          <cell r="T62">
            <v>892.41158187500002</v>
          </cell>
          <cell r="U62" t="str">
            <v>€</v>
          </cell>
          <cell r="W62" t="str">
            <v>€</v>
          </cell>
          <cell r="X62">
            <v>71.747774000000007</v>
          </cell>
        </row>
        <row r="63">
          <cell r="A63">
            <v>340999</v>
          </cell>
          <cell r="B63" t="str">
            <v>FARINE MANIOC HOMECRAFT CREATE 365 tapioca</v>
          </cell>
          <cell r="C63" t="str">
            <v>ACH203</v>
          </cell>
          <cell r="D63">
            <v>31800</v>
          </cell>
          <cell r="E63" t="str">
            <v>KG</v>
          </cell>
          <cell r="F63">
            <v>5.4528301886792452</v>
          </cell>
          <cell r="G63" t="str">
            <v>€</v>
          </cell>
          <cell r="H63">
            <v>173400</v>
          </cell>
          <cell r="I63" t="str">
            <v>€</v>
          </cell>
          <cell r="J63">
            <v>6.26</v>
          </cell>
          <cell r="K63" t="str">
            <v>€</v>
          </cell>
          <cell r="L63">
            <v>199068</v>
          </cell>
          <cell r="M63" t="str">
            <v>€</v>
          </cell>
          <cell r="N63">
            <v>6.26</v>
          </cell>
          <cell r="O63" t="str">
            <v>€</v>
          </cell>
          <cell r="P63">
            <v>31178.481801340378</v>
          </cell>
          <cell r="Q63" t="str">
            <v>KG</v>
          </cell>
          <cell r="R63">
            <v>195177.29607639078</v>
          </cell>
          <cell r="S63" t="str">
            <v>€</v>
          </cell>
          <cell r="T63">
            <v>195177.29607639078</v>
          </cell>
          <cell r="U63" t="str">
            <v>€</v>
          </cell>
          <cell r="V63">
            <v>0</v>
          </cell>
          <cell r="W63" t="str">
            <v>€</v>
          </cell>
          <cell r="X63">
            <v>4816.905334</v>
          </cell>
        </row>
        <row r="64">
          <cell r="A64">
            <v>341460</v>
          </cell>
          <cell r="B64" t="str">
            <v>ÉMINCÉS 100% VÉGÉTAUX SURGELÉS - 5.5KG</v>
          </cell>
          <cell r="C64" t="str">
            <v>ACH113</v>
          </cell>
          <cell r="D64">
            <v>209</v>
          </cell>
          <cell r="E64" t="str">
            <v>KG</v>
          </cell>
          <cell r="F64">
            <v>6.8999999999999995</v>
          </cell>
          <cell r="G64" t="str">
            <v>€</v>
          </cell>
          <cell r="H64">
            <v>1442.1</v>
          </cell>
          <cell r="I64" t="str">
            <v>€</v>
          </cell>
          <cell r="J64">
            <v>7.04</v>
          </cell>
          <cell r="K64" t="str">
            <v>€</v>
          </cell>
          <cell r="L64">
            <v>1471.36</v>
          </cell>
          <cell r="M64" t="str">
            <v>€</v>
          </cell>
          <cell r="O64" t="str">
            <v>€</v>
          </cell>
          <cell r="Q64" t="str">
            <v>KG</v>
          </cell>
          <cell r="S64" t="str">
            <v>€</v>
          </cell>
          <cell r="U64" t="str">
            <v>€</v>
          </cell>
          <cell r="W64" t="str">
            <v>€</v>
          </cell>
        </row>
        <row r="65">
          <cell r="A65">
            <v>341485</v>
          </cell>
          <cell r="B65" t="str">
            <v>AMANDES ENTIERES EMONDEES</v>
          </cell>
          <cell r="C65" t="str">
            <v>ACH113</v>
          </cell>
          <cell r="D65">
            <v>170</v>
          </cell>
          <cell r="E65" t="str">
            <v>KG</v>
          </cell>
          <cell r="F65">
            <v>7.09</v>
          </cell>
          <cell r="G65" t="str">
            <v>€</v>
          </cell>
          <cell r="H65">
            <v>1205.3</v>
          </cell>
          <cell r="I65" t="str">
            <v>€</v>
          </cell>
          <cell r="J65">
            <v>12.95</v>
          </cell>
          <cell r="K65" t="str">
            <v>€</v>
          </cell>
          <cell r="L65">
            <v>2201.5</v>
          </cell>
          <cell r="M65" t="str">
            <v>€</v>
          </cell>
          <cell r="N65">
            <v>7.1</v>
          </cell>
          <cell r="O65" t="str">
            <v>€</v>
          </cell>
          <cell r="P65">
            <v>140.25</v>
          </cell>
          <cell r="Q65" t="str">
            <v>KG</v>
          </cell>
          <cell r="R65">
            <v>995.77499999999998</v>
          </cell>
          <cell r="S65" t="str">
            <v>€</v>
          </cell>
          <cell r="T65">
            <v>1816.2375</v>
          </cell>
          <cell r="U65" t="str">
            <v>€</v>
          </cell>
          <cell r="V65">
            <v>-820.46249999999998</v>
          </cell>
          <cell r="W65" t="str">
            <v>€</v>
          </cell>
          <cell r="X65">
            <v>10.5</v>
          </cell>
        </row>
        <row r="66">
          <cell r="A66">
            <v>342794</v>
          </cell>
          <cell r="B66" t="str">
            <v>POLENTA TRAD GRAIN MOYEN</v>
          </cell>
          <cell r="C66" t="str">
            <v>ACH113</v>
          </cell>
          <cell r="D66">
            <v>200</v>
          </cell>
          <cell r="E66" t="str">
            <v>KG</v>
          </cell>
          <cell r="F66">
            <v>2.1</v>
          </cell>
          <cell r="G66" t="str">
            <v>€</v>
          </cell>
          <cell r="H66">
            <v>420</v>
          </cell>
          <cell r="I66" t="str">
            <v>€</v>
          </cell>
          <cell r="J66">
            <v>2.4900000000000002</v>
          </cell>
          <cell r="K66" t="str">
            <v>€</v>
          </cell>
          <cell r="L66">
            <v>498.00000000000006</v>
          </cell>
          <cell r="M66" t="str">
            <v>€</v>
          </cell>
          <cell r="N66">
            <v>2.4900000000000002</v>
          </cell>
          <cell r="O66" t="str">
            <v>€</v>
          </cell>
          <cell r="P66">
            <v>152.54463416666667</v>
          </cell>
          <cell r="Q66" t="str">
            <v>KG</v>
          </cell>
          <cell r="R66">
            <v>379.83613907500006</v>
          </cell>
          <cell r="S66" t="str">
            <v>€</v>
          </cell>
          <cell r="T66">
            <v>379.83613907500006</v>
          </cell>
          <cell r="U66" t="str">
            <v>€</v>
          </cell>
          <cell r="V66">
            <v>0</v>
          </cell>
          <cell r="W66" t="str">
            <v>€</v>
          </cell>
          <cell r="X66">
            <v>117.495</v>
          </cell>
        </row>
        <row r="67">
          <cell r="A67">
            <v>343918</v>
          </cell>
          <cell r="B67" t="str">
            <v>MIX SAUCE HOISIN EE00779</v>
          </cell>
          <cell r="C67" t="str">
            <v>ACH113</v>
          </cell>
          <cell r="D67">
            <v>75</v>
          </cell>
          <cell r="E67" t="str">
            <v>KG</v>
          </cell>
          <cell r="F67">
            <v>15.8</v>
          </cell>
          <cell r="G67" t="str">
            <v>€</v>
          </cell>
          <cell r="H67">
            <v>1185</v>
          </cell>
          <cell r="I67" t="str">
            <v>€</v>
          </cell>
          <cell r="J67">
            <v>15.8</v>
          </cell>
          <cell r="K67" t="str">
            <v>€</v>
          </cell>
          <cell r="L67">
            <v>1185</v>
          </cell>
          <cell r="M67" t="str">
            <v>€</v>
          </cell>
          <cell r="O67" t="str">
            <v>€</v>
          </cell>
          <cell r="P67">
            <v>59.58497653846154</v>
          </cell>
          <cell r="Q67" t="str">
            <v>KG</v>
          </cell>
          <cell r="S67" t="str">
            <v>€</v>
          </cell>
          <cell r="T67">
            <v>941.44262930769241</v>
          </cell>
          <cell r="U67" t="str">
            <v>€</v>
          </cell>
          <cell r="W67" t="str">
            <v>€</v>
          </cell>
          <cell r="X67">
            <v>9.0913050000000002</v>
          </cell>
        </row>
        <row r="68">
          <cell r="A68">
            <v>343938</v>
          </cell>
          <cell r="B68" t="str">
            <v>AROME NATUREL TERIYAKI ( EE00639)</v>
          </cell>
          <cell r="C68" t="str">
            <v>ACH113</v>
          </cell>
          <cell r="D68">
            <v>30</v>
          </cell>
          <cell r="E68" t="str">
            <v>KG</v>
          </cell>
          <cell r="F68">
            <v>14.15</v>
          </cell>
          <cell r="G68" t="str">
            <v>€</v>
          </cell>
          <cell r="H68">
            <v>424.5</v>
          </cell>
          <cell r="I68" t="str">
            <v>€</v>
          </cell>
          <cell r="J68">
            <v>14.97</v>
          </cell>
          <cell r="K68" t="str">
            <v>€</v>
          </cell>
          <cell r="L68">
            <v>449.1</v>
          </cell>
          <cell r="M68" t="str">
            <v>€</v>
          </cell>
          <cell r="N68">
            <v>14.15</v>
          </cell>
          <cell r="O68" t="str">
            <v>€</v>
          </cell>
          <cell r="P68">
            <v>137.98163736478986</v>
          </cell>
          <cell r="Q68" t="str">
            <v>KG</v>
          </cell>
          <cell r="R68">
            <v>1952.4401687117766</v>
          </cell>
          <cell r="S68" t="str">
            <v>€</v>
          </cell>
          <cell r="T68">
            <v>2065.5851113509043</v>
          </cell>
          <cell r="U68" t="str">
            <v>€</v>
          </cell>
          <cell r="V68">
            <v>-113.14494263912775</v>
          </cell>
          <cell r="W68" t="str">
            <v>€</v>
          </cell>
          <cell r="X68">
            <v>27.403267</v>
          </cell>
        </row>
        <row r="69">
          <cell r="A69">
            <v>347201</v>
          </cell>
          <cell r="B69" t="str">
            <v>SAUCE SOJA JAPONAISE SALE CUVE 1000L (ou BIDON 4,5L 5,3KG)</v>
          </cell>
          <cell r="C69" t="str">
            <v>ACH113</v>
          </cell>
          <cell r="D69">
            <v>17920</v>
          </cell>
          <cell r="E69" t="str">
            <v>PI</v>
          </cell>
          <cell r="F69">
            <v>3.0015005580357141</v>
          </cell>
          <cell r="G69" t="str">
            <v>€</v>
          </cell>
          <cell r="H69">
            <v>53786.89</v>
          </cell>
          <cell r="I69" t="str">
            <v>€</v>
          </cell>
          <cell r="J69">
            <v>2.4</v>
          </cell>
          <cell r="K69" t="str">
            <v>€</v>
          </cell>
          <cell r="L69">
            <v>227942.39999999999</v>
          </cell>
          <cell r="M69" t="str">
            <v>€</v>
          </cell>
          <cell r="N69">
            <v>2.4</v>
          </cell>
          <cell r="O69" t="str">
            <v>€</v>
          </cell>
          <cell r="P69">
            <v>22702.3757363595</v>
          </cell>
          <cell r="Q69" t="str">
            <v>PI</v>
          </cell>
          <cell r="R69">
            <v>54485.701767262799</v>
          </cell>
          <cell r="S69" t="str">
            <v>€</v>
          </cell>
          <cell r="T69">
            <v>54485.701767262799</v>
          </cell>
          <cell r="U69" t="str">
            <v>€</v>
          </cell>
          <cell r="V69">
            <v>0</v>
          </cell>
          <cell r="W69" t="str">
            <v>€</v>
          </cell>
          <cell r="X69">
            <v>1037.290888</v>
          </cell>
        </row>
        <row r="70">
          <cell r="A70">
            <v>350024</v>
          </cell>
          <cell r="B70" t="str">
            <v>AROME NATUREL VEAU CC00215 EN 15KG</v>
          </cell>
          <cell r="C70" t="str">
            <v>ACH113</v>
          </cell>
          <cell r="D70">
            <v>6120</v>
          </cell>
          <cell r="E70" t="str">
            <v>KG</v>
          </cell>
          <cell r="F70">
            <v>7.1</v>
          </cell>
          <cell r="G70" t="str">
            <v>€</v>
          </cell>
          <cell r="H70">
            <v>43452</v>
          </cell>
          <cell r="I70" t="str">
            <v>€</v>
          </cell>
          <cell r="J70">
            <v>7.45</v>
          </cell>
          <cell r="K70" t="str">
            <v>€</v>
          </cell>
          <cell r="L70">
            <v>45594</v>
          </cell>
          <cell r="M70" t="str">
            <v>€</v>
          </cell>
          <cell r="N70">
            <v>7.45</v>
          </cell>
          <cell r="O70" t="str">
            <v>€</v>
          </cell>
          <cell r="P70">
            <v>7028.7914378461855</v>
          </cell>
          <cell r="Q70" t="str">
            <v>KG</v>
          </cell>
          <cell r="R70">
            <v>52364.496211954087</v>
          </cell>
          <cell r="S70" t="str">
            <v>€</v>
          </cell>
          <cell r="T70">
            <v>52364.496211954087</v>
          </cell>
          <cell r="U70" t="str">
            <v>€</v>
          </cell>
          <cell r="V70">
            <v>0</v>
          </cell>
          <cell r="W70" t="str">
            <v>€</v>
          </cell>
          <cell r="X70">
            <v>375.19667800000002</v>
          </cell>
        </row>
        <row r="71">
          <cell r="A71">
            <v>350026</v>
          </cell>
          <cell r="B71" t="str">
            <v>AROME NATUREL FOND DE BOEUF CA00650 EN 15KG</v>
          </cell>
          <cell r="C71" t="str">
            <v>ACH113</v>
          </cell>
          <cell r="D71">
            <v>4065</v>
          </cell>
          <cell r="E71" t="str">
            <v>KG</v>
          </cell>
          <cell r="F71">
            <v>7.25</v>
          </cell>
          <cell r="G71" t="str">
            <v>€</v>
          </cell>
          <cell r="H71">
            <v>29471.25</v>
          </cell>
          <cell r="I71" t="str">
            <v>€</v>
          </cell>
          <cell r="J71">
            <v>8.31</v>
          </cell>
          <cell r="K71" t="str">
            <v>€</v>
          </cell>
          <cell r="L71">
            <v>33780.15</v>
          </cell>
          <cell r="M71" t="str">
            <v>€</v>
          </cell>
          <cell r="N71">
            <v>8.31</v>
          </cell>
          <cell r="O71" t="str">
            <v>€</v>
          </cell>
          <cell r="P71">
            <v>3920.8032999110542</v>
          </cell>
          <cell r="Q71" t="str">
            <v>KG</v>
          </cell>
          <cell r="R71">
            <v>32581.875422260862</v>
          </cell>
          <cell r="S71" t="str">
            <v>€</v>
          </cell>
          <cell r="T71">
            <v>32581.875422260862</v>
          </cell>
          <cell r="U71" t="str">
            <v>€</v>
          </cell>
          <cell r="V71">
            <v>0</v>
          </cell>
          <cell r="W71" t="str">
            <v>€</v>
          </cell>
          <cell r="X71">
            <v>180.952281</v>
          </cell>
        </row>
        <row r="72">
          <cell r="A72">
            <v>350027</v>
          </cell>
          <cell r="B72" t="str">
            <v>AROME NATUREL VOLAILLE CD00954 EN 15KG</v>
          </cell>
          <cell r="C72" t="str">
            <v>ACH113</v>
          </cell>
          <cell r="D72">
            <v>4080</v>
          </cell>
          <cell r="E72" t="str">
            <v>KG</v>
          </cell>
          <cell r="F72">
            <v>5</v>
          </cell>
          <cell r="G72" t="str">
            <v>€</v>
          </cell>
          <cell r="H72">
            <v>20400</v>
          </cell>
          <cell r="I72" t="str">
            <v>€</v>
          </cell>
          <cell r="J72">
            <v>6</v>
          </cell>
          <cell r="K72" t="str">
            <v>€</v>
          </cell>
          <cell r="L72">
            <v>24480</v>
          </cell>
          <cell r="M72" t="str">
            <v>€</v>
          </cell>
          <cell r="N72">
            <v>6</v>
          </cell>
          <cell r="O72" t="str">
            <v>€</v>
          </cell>
          <cell r="P72">
            <v>4218.4284646183842</v>
          </cell>
          <cell r="Q72" t="str">
            <v>KG</v>
          </cell>
          <cell r="R72">
            <v>25310.570787710305</v>
          </cell>
          <cell r="S72" t="str">
            <v>€</v>
          </cell>
          <cell r="T72">
            <v>25310.570787710305</v>
          </cell>
          <cell r="U72" t="str">
            <v>€</v>
          </cell>
          <cell r="V72">
            <v>0</v>
          </cell>
          <cell r="W72" t="str">
            <v>€</v>
          </cell>
          <cell r="X72">
            <v>205.50236899999999</v>
          </cell>
        </row>
        <row r="73">
          <cell r="A73">
            <v>350028</v>
          </cell>
          <cell r="B73" t="str">
            <v>AROME NATUREL FOND DE CANARD CD00953 EN 15KG</v>
          </cell>
          <cell r="C73" t="str">
            <v>ACH113</v>
          </cell>
          <cell r="D73">
            <v>1725</v>
          </cell>
          <cell r="E73" t="str">
            <v>KG</v>
          </cell>
          <cell r="F73">
            <v>15.409565217391304</v>
          </cell>
          <cell r="G73" t="str">
            <v>€</v>
          </cell>
          <cell r="H73">
            <v>26581.5</v>
          </cell>
          <cell r="I73" t="str">
            <v>€</v>
          </cell>
          <cell r="J73">
            <v>15.98</v>
          </cell>
          <cell r="K73" t="str">
            <v>€</v>
          </cell>
          <cell r="L73">
            <v>27565.5</v>
          </cell>
          <cell r="M73" t="str">
            <v>€</v>
          </cell>
          <cell r="N73">
            <v>15.98</v>
          </cell>
          <cell r="O73" t="str">
            <v>€</v>
          </cell>
          <cell r="P73">
            <v>1971.1701381539265</v>
          </cell>
          <cell r="Q73" t="str">
            <v>KG</v>
          </cell>
          <cell r="R73">
            <v>31499.298807699746</v>
          </cell>
          <cell r="S73" t="str">
            <v>€</v>
          </cell>
          <cell r="T73">
            <v>31499.298807699746</v>
          </cell>
          <cell r="U73" t="str">
            <v>€</v>
          </cell>
          <cell r="V73">
            <v>0</v>
          </cell>
          <cell r="W73" t="str">
            <v>€</v>
          </cell>
          <cell r="X73">
            <v>209.213696</v>
          </cell>
        </row>
        <row r="74">
          <cell r="A74">
            <v>350056</v>
          </cell>
          <cell r="B74" t="str">
            <v>FOND DE VOLAILLE ROTIE - LES CUISINES (3333-10)</v>
          </cell>
          <cell r="C74" t="str">
            <v>ACH113</v>
          </cell>
          <cell r="D74">
            <v>245</v>
          </cell>
          <cell r="E74" t="str">
            <v>KG</v>
          </cell>
          <cell r="F74">
            <v>10.5</v>
          </cell>
          <cell r="G74" t="str">
            <v>€</v>
          </cell>
          <cell r="H74">
            <v>2572.5</v>
          </cell>
          <cell r="I74" t="str">
            <v>€</v>
          </cell>
          <cell r="J74">
            <v>11.5</v>
          </cell>
          <cell r="K74" t="str">
            <v>€</v>
          </cell>
          <cell r="L74">
            <v>2817.5</v>
          </cell>
          <cell r="M74" t="str">
            <v>€</v>
          </cell>
          <cell r="O74" t="str">
            <v>€</v>
          </cell>
          <cell r="P74">
            <v>510.58521568627452</v>
          </cell>
          <cell r="Q74" t="str">
            <v>KG</v>
          </cell>
          <cell r="S74" t="str">
            <v>€</v>
          </cell>
          <cell r="T74">
            <v>5871.7299803921569</v>
          </cell>
          <cell r="U74" t="str">
            <v>€</v>
          </cell>
          <cell r="W74" t="str">
            <v>€</v>
          </cell>
          <cell r="X74">
            <v>78.408000999999999</v>
          </cell>
        </row>
        <row r="75">
          <cell r="A75">
            <v>360377</v>
          </cell>
          <cell r="B75" t="str">
            <v>GELATINE BOVINE 250 BLOOM 20MESH</v>
          </cell>
          <cell r="C75" t="str">
            <v>ACH113</v>
          </cell>
          <cell r="D75">
            <v>3300</v>
          </cell>
          <cell r="E75" t="str">
            <v>KG</v>
          </cell>
          <cell r="F75">
            <v>5.6327272727272728</v>
          </cell>
          <cell r="G75" t="str">
            <v>€</v>
          </cell>
          <cell r="H75">
            <v>18588</v>
          </cell>
          <cell r="I75" t="str">
            <v>€</v>
          </cell>
          <cell r="J75">
            <v>8.6</v>
          </cell>
          <cell r="K75" t="str">
            <v>€</v>
          </cell>
          <cell r="L75">
            <v>28380</v>
          </cell>
          <cell r="M75" t="str">
            <v>€</v>
          </cell>
          <cell r="N75">
            <v>8.6</v>
          </cell>
          <cell r="O75" t="str">
            <v>€</v>
          </cell>
          <cell r="P75">
            <v>3768.4677052646225</v>
          </cell>
          <cell r="Q75" t="str">
            <v>KG</v>
          </cell>
          <cell r="R75">
            <v>32408.822265275754</v>
          </cell>
          <cell r="S75" t="str">
            <v>€</v>
          </cell>
          <cell r="T75">
            <v>32408.822265275754</v>
          </cell>
          <cell r="U75" t="str">
            <v>€</v>
          </cell>
          <cell r="V75">
            <v>0</v>
          </cell>
          <cell r="W75" t="str">
            <v>€</v>
          </cell>
          <cell r="X75">
            <v>816.20990099999995</v>
          </cell>
        </row>
        <row r="76">
          <cell r="A76">
            <v>360378</v>
          </cell>
          <cell r="B76" t="str">
            <v>JAUNE D'OEUF POUDRE PASTEURISE</v>
          </cell>
          <cell r="C76" t="str">
            <v>ACH113</v>
          </cell>
          <cell r="D76">
            <v>75</v>
          </cell>
          <cell r="E76" t="str">
            <v>KG</v>
          </cell>
          <cell r="F76">
            <v>11.1</v>
          </cell>
          <cell r="G76" t="str">
            <v>€</v>
          </cell>
          <cell r="H76">
            <v>832.5</v>
          </cell>
          <cell r="I76" t="str">
            <v>€</v>
          </cell>
          <cell r="J76">
            <v>11.32</v>
          </cell>
          <cell r="K76" t="str">
            <v>€</v>
          </cell>
          <cell r="L76">
            <v>849</v>
          </cell>
          <cell r="M76" t="str">
            <v>€</v>
          </cell>
          <cell r="O76" t="str">
            <v>€</v>
          </cell>
          <cell r="Q76" t="str">
            <v>KG</v>
          </cell>
          <cell r="S76" t="str">
            <v>€</v>
          </cell>
          <cell r="U76" t="str">
            <v>€</v>
          </cell>
          <cell r="W76" t="str">
            <v>€</v>
          </cell>
        </row>
        <row r="77">
          <cell r="A77">
            <v>361007</v>
          </cell>
          <cell r="B77" t="str">
            <v>AROME NATUREL TYPE TRUFFE</v>
          </cell>
          <cell r="C77" t="str">
            <v>ACH113</v>
          </cell>
          <cell r="D77">
            <v>65</v>
          </cell>
          <cell r="E77" t="str">
            <v>KG</v>
          </cell>
          <cell r="F77">
            <v>46.930769230769229</v>
          </cell>
          <cell r="G77" t="str">
            <v>€</v>
          </cell>
          <cell r="H77">
            <v>3050.5</v>
          </cell>
          <cell r="I77" t="str">
            <v>€</v>
          </cell>
          <cell r="J77">
            <v>140</v>
          </cell>
          <cell r="K77" t="str">
            <v>€</v>
          </cell>
          <cell r="L77">
            <v>9100</v>
          </cell>
          <cell r="M77" t="str">
            <v>€</v>
          </cell>
          <cell r="O77" t="str">
            <v>€</v>
          </cell>
          <cell r="P77">
            <v>8.5270247368421046</v>
          </cell>
          <cell r="Q77" t="str">
            <v>KG</v>
          </cell>
          <cell r="S77" t="str">
            <v>€</v>
          </cell>
          <cell r="T77">
            <v>1193.7834631578946</v>
          </cell>
          <cell r="U77" t="str">
            <v>€</v>
          </cell>
          <cell r="W77" t="str">
            <v>€</v>
          </cell>
          <cell r="X77">
            <v>9.4809999999999999</v>
          </cell>
        </row>
        <row r="78">
          <cell r="A78">
            <v>370004</v>
          </cell>
          <cell r="B78" t="str">
            <v>COMPLET S/DEST VIANDES CUITES  EM00014</v>
          </cell>
          <cell r="C78" t="str">
            <v>ACH113</v>
          </cell>
          <cell r="D78">
            <v>7080</v>
          </cell>
          <cell r="E78" t="str">
            <v>KG</v>
          </cell>
          <cell r="F78">
            <v>5.25</v>
          </cell>
          <cell r="G78" t="str">
            <v>€</v>
          </cell>
          <cell r="H78">
            <v>37170</v>
          </cell>
          <cell r="I78" t="str">
            <v>€</v>
          </cell>
          <cell r="J78">
            <v>5.3</v>
          </cell>
          <cell r="K78" t="str">
            <v>€</v>
          </cell>
          <cell r="L78">
            <v>37524</v>
          </cell>
          <cell r="M78" t="str">
            <v>€</v>
          </cell>
          <cell r="N78">
            <v>5.3</v>
          </cell>
          <cell r="O78" t="str">
            <v>€</v>
          </cell>
          <cell r="P78">
            <v>8176.7378114835246</v>
          </cell>
          <cell r="Q78" t="str">
            <v>KG</v>
          </cell>
          <cell r="R78">
            <v>43336.710400862677</v>
          </cell>
          <cell r="S78" t="str">
            <v>€</v>
          </cell>
          <cell r="T78">
            <v>43336.710400862677</v>
          </cell>
          <cell r="U78" t="str">
            <v>€</v>
          </cell>
          <cell r="V78">
            <v>0</v>
          </cell>
          <cell r="W78" t="str">
            <v>€</v>
          </cell>
          <cell r="X78">
            <v>390.29281500000002</v>
          </cell>
        </row>
        <row r="79">
          <cell r="A79">
            <v>338204</v>
          </cell>
          <cell r="B79" t="str">
            <v>SPAGHETTI QS</v>
          </cell>
          <cell r="C79" t="str">
            <v>ACH113</v>
          </cell>
          <cell r="D79">
            <v>54720</v>
          </cell>
          <cell r="E79" t="str">
            <v>KG</v>
          </cell>
          <cell r="F79">
            <v>1.2294736842105263</v>
          </cell>
          <cell r="G79" t="str">
            <v>€</v>
          </cell>
          <cell r="H79">
            <v>67276.800000000003</v>
          </cell>
          <cell r="I79" t="str">
            <v>€</v>
          </cell>
          <cell r="J79">
            <v>1.43</v>
          </cell>
          <cell r="K79" t="str">
            <v>€</v>
          </cell>
          <cell r="L79">
            <v>78249.599999999991</v>
          </cell>
          <cell r="M79" t="str">
            <v>€</v>
          </cell>
          <cell r="N79">
            <v>1.42</v>
          </cell>
          <cell r="O79" t="str">
            <v>€</v>
          </cell>
          <cell r="P79">
            <v>51338.789734192309</v>
          </cell>
          <cell r="Q79" t="str">
            <v>KG</v>
          </cell>
          <cell r="R79">
            <v>72901.081422553078</v>
          </cell>
          <cell r="S79" t="str">
            <v>€</v>
          </cell>
          <cell r="T79">
            <v>73414.469319894997</v>
          </cell>
          <cell r="U79" t="str">
            <v>€</v>
          </cell>
          <cell r="V79">
            <v>-513.3878973419196</v>
          </cell>
          <cell r="W79" t="str">
            <v>€</v>
          </cell>
          <cell r="X79">
            <v>3860</v>
          </cell>
        </row>
        <row r="80">
          <cell r="A80">
            <v>338210</v>
          </cell>
          <cell r="B80" t="str">
            <v>RIZ LONG ETUVE DE CAMARGUE QS</v>
          </cell>
          <cell r="C80" t="str">
            <v>ACH113</v>
          </cell>
          <cell r="D80">
            <v>21060</v>
          </cell>
          <cell r="E80" t="str">
            <v>KG</v>
          </cell>
          <cell r="F80">
            <v>1.7900094966761633</v>
          </cell>
          <cell r="G80" t="str">
            <v>€</v>
          </cell>
          <cell r="H80">
            <v>37697.599999999999</v>
          </cell>
          <cell r="I80" t="str">
            <v>€</v>
          </cell>
          <cell r="J80">
            <v>1.67</v>
          </cell>
          <cell r="K80" t="str">
            <v>€</v>
          </cell>
          <cell r="L80">
            <v>35170.199999999997</v>
          </cell>
          <cell r="M80" t="str">
            <v>€</v>
          </cell>
          <cell r="N80">
            <v>1.66</v>
          </cell>
          <cell r="O80" t="str">
            <v>€</v>
          </cell>
          <cell r="P80">
            <v>25556.36246993464</v>
          </cell>
          <cell r="Q80" t="str">
            <v>KG</v>
          </cell>
          <cell r="R80">
            <v>42423.561700091501</v>
          </cell>
          <cell r="S80" t="str">
            <v>€</v>
          </cell>
          <cell r="T80">
            <v>42679.125324790846</v>
          </cell>
          <cell r="U80" t="str">
            <v>€</v>
          </cell>
          <cell r="V80">
            <v>-255.56362469934538</v>
          </cell>
          <cell r="W80" t="str">
            <v>€</v>
          </cell>
          <cell r="X80">
            <v>2794.1320000000001</v>
          </cell>
        </row>
        <row r="81">
          <cell r="A81">
            <v>338217</v>
          </cell>
          <cell r="B81" t="str">
            <v>RIZ LONG BASMATI QS</v>
          </cell>
          <cell r="C81" t="str">
            <v>ACH113</v>
          </cell>
          <cell r="D81">
            <v>42000</v>
          </cell>
          <cell r="E81" t="str">
            <v>KG</v>
          </cell>
          <cell r="F81">
            <v>2.1166666666666667</v>
          </cell>
          <cell r="G81" t="str">
            <v>€</v>
          </cell>
          <cell r="H81">
            <v>88900</v>
          </cell>
          <cell r="I81" t="str">
            <v>€</v>
          </cell>
          <cell r="J81">
            <v>2.06</v>
          </cell>
          <cell r="K81" t="str">
            <v>€</v>
          </cell>
          <cell r="L81">
            <v>86520</v>
          </cell>
          <cell r="M81" t="str">
            <v>€</v>
          </cell>
          <cell r="N81">
            <v>2.06</v>
          </cell>
          <cell r="O81" t="str">
            <v>€</v>
          </cell>
          <cell r="P81">
            <v>49833.594094924556</v>
          </cell>
          <cell r="Q81" t="str">
            <v>KG</v>
          </cell>
          <cell r="R81">
            <v>102657.20383554458</v>
          </cell>
          <cell r="S81" t="str">
            <v>€</v>
          </cell>
          <cell r="T81">
            <v>102657.20383554458</v>
          </cell>
          <cell r="U81" t="str">
            <v>€</v>
          </cell>
          <cell r="V81">
            <v>0</v>
          </cell>
          <cell r="W81" t="str">
            <v>€</v>
          </cell>
          <cell r="X81">
            <v>2470</v>
          </cell>
        </row>
        <row r="82">
          <cell r="A82">
            <v>338218</v>
          </cell>
          <cell r="B82" t="str">
            <v>RIZ SAUVAGE</v>
          </cell>
          <cell r="C82" t="str">
            <v>ACH113</v>
          </cell>
          <cell r="D82">
            <v>1088.3</v>
          </cell>
          <cell r="E82" t="str">
            <v>KG</v>
          </cell>
          <cell r="F82">
            <v>13.077864559404576</v>
          </cell>
          <cell r="G82" t="str">
            <v>€</v>
          </cell>
          <cell r="H82">
            <v>14232.64</v>
          </cell>
          <cell r="I82" t="str">
            <v>€</v>
          </cell>
          <cell r="J82">
            <v>14.37</v>
          </cell>
          <cell r="K82" t="str">
            <v>€</v>
          </cell>
          <cell r="L82">
            <v>15638.870999999999</v>
          </cell>
          <cell r="M82" t="str">
            <v>€</v>
          </cell>
          <cell r="N82">
            <v>14.37</v>
          </cell>
          <cell r="O82" t="str">
            <v>€</v>
          </cell>
          <cell r="P82">
            <v>1136.0430178076922</v>
          </cell>
          <cell r="Q82" t="str">
            <v>KG</v>
          </cell>
          <cell r="R82">
            <v>16324.938165896536</v>
          </cell>
          <cell r="S82" t="str">
            <v>€</v>
          </cell>
          <cell r="T82">
            <v>16324.938165896536</v>
          </cell>
          <cell r="U82" t="str">
            <v>€</v>
          </cell>
          <cell r="V82">
            <v>0</v>
          </cell>
          <cell r="W82" t="str">
            <v>€</v>
          </cell>
          <cell r="X82">
            <v>151.37200000000001</v>
          </cell>
        </row>
        <row r="83">
          <cell r="A83">
            <v>338219</v>
          </cell>
          <cell r="B83" t="str">
            <v xml:space="preserve">RIZ LONG ETUVE </v>
          </cell>
          <cell r="C83" t="str">
            <v>ACH113</v>
          </cell>
          <cell r="D83">
            <v>100175</v>
          </cell>
          <cell r="E83" t="str">
            <v>KG</v>
          </cell>
          <cell r="F83">
            <v>1.1760606937858749</v>
          </cell>
          <cell r="G83" t="str">
            <v>€</v>
          </cell>
          <cell r="H83">
            <v>117811.88</v>
          </cell>
          <cell r="I83" t="str">
            <v>€</v>
          </cell>
          <cell r="J83">
            <v>1.1499999999999999</v>
          </cell>
          <cell r="K83" t="str">
            <v>€</v>
          </cell>
          <cell r="L83">
            <v>115201.24999999999</v>
          </cell>
          <cell r="M83" t="str">
            <v>€</v>
          </cell>
          <cell r="N83">
            <v>1.1499999999999999</v>
          </cell>
          <cell r="O83" t="str">
            <v>€</v>
          </cell>
          <cell r="P83">
            <v>104924.94476224092</v>
          </cell>
          <cell r="Q83" t="str">
            <v>KG</v>
          </cell>
          <cell r="R83">
            <v>120663.68647657704</v>
          </cell>
          <cell r="S83" t="str">
            <v>€</v>
          </cell>
          <cell r="T83">
            <v>120663.68647657704</v>
          </cell>
          <cell r="U83" t="str">
            <v>€</v>
          </cell>
          <cell r="V83">
            <v>0</v>
          </cell>
          <cell r="W83" t="str">
            <v>€</v>
          </cell>
          <cell r="X83">
            <v>11401.255999999999</v>
          </cell>
        </row>
        <row r="84">
          <cell r="A84">
            <v>338220</v>
          </cell>
          <cell r="B84" t="str">
            <v>RIZ ETUVE RISOTTO</v>
          </cell>
          <cell r="C84" t="str">
            <v>ACH113</v>
          </cell>
          <cell r="D84">
            <v>10875</v>
          </cell>
          <cell r="E84" t="str">
            <v>KG</v>
          </cell>
          <cell r="F84">
            <v>1.6514942528735632</v>
          </cell>
          <cell r="G84" t="str">
            <v>€</v>
          </cell>
          <cell r="H84">
            <v>17960</v>
          </cell>
          <cell r="I84" t="str">
            <v>€</v>
          </cell>
          <cell r="J84">
            <v>1.69</v>
          </cell>
          <cell r="K84" t="str">
            <v>€</v>
          </cell>
          <cell r="L84">
            <v>18378.75</v>
          </cell>
          <cell r="M84" t="str">
            <v>€</v>
          </cell>
          <cell r="N84">
            <v>1.69</v>
          </cell>
          <cell r="O84" t="str">
            <v>€</v>
          </cell>
          <cell r="P84">
            <v>18413.100795001275</v>
          </cell>
          <cell r="Q84" t="str">
            <v>KG</v>
          </cell>
          <cell r="R84">
            <v>31118.140343552153</v>
          </cell>
          <cell r="S84" t="str">
            <v>€</v>
          </cell>
          <cell r="T84">
            <v>31118.140343552153</v>
          </cell>
          <cell r="U84" t="str">
            <v>€</v>
          </cell>
          <cell r="V84">
            <v>0</v>
          </cell>
          <cell r="W84" t="str">
            <v>€</v>
          </cell>
          <cell r="X84">
            <v>921.779</v>
          </cell>
        </row>
        <row r="85">
          <cell r="A85">
            <v>338225</v>
          </cell>
          <cell r="B85" t="str">
            <v>SEMOULE COUSCOUS Qualité Standard</v>
          </cell>
          <cell r="C85" t="str">
            <v>ACH113</v>
          </cell>
          <cell r="D85">
            <v>59100</v>
          </cell>
          <cell r="E85" t="str">
            <v>KG</v>
          </cell>
          <cell r="F85">
            <v>1.0987947546531303</v>
          </cell>
          <cell r="G85" t="str">
            <v>€</v>
          </cell>
          <cell r="H85">
            <v>64938.77</v>
          </cell>
          <cell r="I85" t="str">
            <v>€</v>
          </cell>
          <cell r="J85">
            <v>1.33</v>
          </cell>
          <cell r="K85" t="str">
            <v>€</v>
          </cell>
          <cell r="L85">
            <v>78603</v>
          </cell>
          <cell r="M85" t="str">
            <v>€</v>
          </cell>
          <cell r="N85">
            <v>1.33</v>
          </cell>
          <cell r="O85" t="str">
            <v>€</v>
          </cell>
          <cell r="P85">
            <v>62873.596217513048</v>
          </cell>
          <cell r="Q85" t="str">
            <v>KG</v>
          </cell>
          <cell r="R85">
            <v>83621.882969292361</v>
          </cell>
          <cell r="S85" t="str">
            <v>€</v>
          </cell>
          <cell r="T85">
            <v>83621.882969292361</v>
          </cell>
          <cell r="U85" t="str">
            <v>€</v>
          </cell>
          <cell r="V85">
            <v>0</v>
          </cell>
          <cell r="W85" t="str">
            <v>€</v>
          </cell>
          <cell r="X85">
            <v>1450</v>
          </cell>
        </row>
        <row r="86">
          <cell r="A86">
            <v>338235</v>
          </cell>
          <cell r="B86" t="str">
            <v>TAGLIATELLE PLATE 5mm 24cm 7 OEUFS PLEIN AIR</v>
          </cell>
          <cell r="C86" t="str">
            <v>ACH113</v>
          </cell>
          <cell r="D86">
            <v>22930</v>
          </cell>
          <cell r="E86" t="str">
            <v>KG</v>
          </cell>
          <cell r="F86">
            <v>3.1310000000000002</v>
          </cell>
          <cell r="G86" t="str">
            <v>€</v>
          </cell>
          <cell r="H86">
            <v>71793.83</v>
          </cell>
          <cell r="I86" t="str">
            <v>€</v>
          </cell>
          <cell r="J86">
            <v>3.36</v>
          </cell>
          <cell r="K86" t="str">
            <v>€</v>
          </cell>
          <cell r="L86">
            <v>77044.800000000003</v>
          </cell>
          <cell r="M86" t="str">
            <v>€</v>
          </cell>
          <cell r="N86">
            <v>3.36</v>
          </cell>
          <cell r="O86" t="str">
            <v>€</v>
          </cell>
          <cell r="P86">
            <v>25504.329504268779</v>
          </cell>
          <cell r="Q86" t="str">
            <v>KG</v>
          </cell>
          <cell r="R86">
            <v>85694.547134343098</v>
          </cell>
          <cell r="S86" t="str">
            <v>€</v>
          </cell>
          <cell r="T86">
            <v>85694.547134343098</v>
          </cell>
          <cell r="U86" t="str">
            <v>€</v>
          </cell>
          <cell r="V86">
            <v>0</v>
          </cell>
          <cell r="W86" t="str">
            <v>€</v>
          </cell>
          <cell r="X86">
            <v>4450</v>
          </cell>
        </row>
        <row r="87">
          <cell r="A87">
            <v>338291</v>
          </cell>
          <cell r="B87" t="str">
            <v>PDT FLOCONS S/PALME</v>
          </cell>
          <cell r="C87" t="str">
            <v>ACH113</v>
          </cell>
          <cell r="D87">
            <v>2401</v>
          </cell>
          <cell r="E87" t="str">
            <v>KG</v>
          </cell>
          <cell r="F87">
            <v>2.9039650145772593</v>
          </cell>
          <cell r="G87" t="str">
            <v>€</v>
          </cell>
          <cell r="H87">
            <v>6972.42</v>
          </cell>
          <cell r="I87" t="str">
            <v>€</v>
          </cell>
          <cell r="J87">
            <v>3.1</v>
          </cell>
          <cell r="K87" t="str">
            <v>€</v>
          </cell>
          <cell r="L87">
            <v>7443.1</v>
          </cell>
          <cell r="M87" t="str">
            <v>€</v>
          </cell>
          <cell r="N87">
            <v>3.1</v>
          </cell>
          <cell r="O87" t="str">
            <v>€</v>
          </cell>
          <cell r="P87">
            <v>2190.5209916666668</v>
          </cell>
          <cell r="Q87" t="str">
            <v>KG</v>
          </cell>
          <cell r="R87">
            <v>6790.615074166667</v>
          </cell>
          <cell r="S87" t="str">
            <v>€</v>
          </cell>
          <cell r="T87">
            <v>6790.615074166667</v>
          </cell>
          <cell r="U87" t="str">
            <v>€</v>
          </cell>
          <cell r="V87">
            <v>0</v>
          </cell>
          <cell r="W87" t="str">
            <v>€</v>
          </cell>
          <cell r="X87">
            <v>754.74794099999997</v>
          </cell>
        </row>
        <row r="88">
          <cell r="A88">
            <v>338465</v>
          </cell>
          <cell r="B88" t="str">
            <v>PENNE EPAIS 5 OEUFS 270G</v>
          </cell>
          <cell r="C88" t="str">
            <v>ACH113</v>
          </cell>
          <cell r="D88">
            <v>7680</v>
          </cell>
          <cell r="E88" t="str">
            <v>KG</v>
          </cell>
          <cell r="F88">
            <v>2.5110000000000001</v>
          </cell>
          <cell r="G88" t="str">
            <v>€</v>
          </cell>
          <cell r="H88">
            <v>19284.48</v>
          </cell>
          <cell r="I88" t="str">
            <v>€</v>
          </cell>
          <cell r="J88">
            <v>2.66</v>
          </cell>
          <cell r="K88" t="str">
            <v>€</v>
          </cell>
          <cell r="L88">
            <v>20428.800000000003</v>
          </cell>
          <cell r="M88" t="str">
            <v>€</v>
          </cell>
          <cell r="N88">
            <v>2.66</v>
          </cell>
          <cell r="O88" t="str">
            <v>€</v>
          </cell>
          <cell r="P88">
            <v>7513.0081730769234</v>
          </cell>
          <cell r="Q88" t="str">
            <v>KG</v>
          </cell>
          <cell r="R88">
            <v>19984.601740384616</v>
          </cell>
          <cell r="S88" t="str">
            <v>€</v>
          </cell>
          <cell r="T88">
            <v>19984.601740384616</v>
          </cell>
          <cell r="U88" t="str">
            <v>€</v>
          </cell>
          <cell r="V88">
            <v>0</v>
          </cell>
          <cell r="W88" t="str">
            <v>€</v>
          </cell>
          <cell r="X88">
            <v>1080</v>
          </cell>
        </row>
        <row r="89">
          <cell r="A89">
            <v>338466</v>
          </cell>
          <cell r="B89" t="str">
            <v xml:space="preserve">COQUILLETTE QS 100% ble dur </v>
          </cell>
          <cell r="C89" t="str">
            <v>ACH113</v>
          </cell>
          <cell r="D89">
            <v>7200</v>
          </cell>
          <cell r="E89" t="str">
            <v>KG</v>
          </cell>
          <cell r="F89">
            <v>1.2671111111111113</v>
          </cell>
          <cell r="G89" t="str">
            <v>€</v>
          </cell>
          <cell r="H89">
            <v>9123.2000000000007</v>
          </cell>
          <cell r="I89" t="str">
            <v>€</v>
          </cell>
          <cell r="J89">
            <v>1.49</v>
          </cell>
          <cell r="K89" t="str">
            <v>€</v>
          </cell>
          <cell r="L89">
            <v>10728</v>
          </cell>
          <cell r="M89" t="str">
            <v>€</v>
          </cell>
          <cell r="N89">
            <v>1.48</v>
          </cell>
          <cell r="O89" t="str">
            <v>€</v>
          </cell>
          <cell r="P89">
            <v>7187.0958284615381</v>
          </cell>
          <cell r="Q89" t="str">
            <v>KG</v>
          </cell>
          <cell r="R89">
            <v>10636.901826123076</v>
          </cell>
          <cell r="S89" t="str">
            <v>€</v>
          </cell>
          <cell r="T89">
            <v>10708.772784407691</v>
          </cell>
          <cell r="U89" t="str">
            <v>€</v>
          </cell>
          <cell r="V89">
            <v>-71.870958284614971</v>
          </cell>
          <cell r="W89" t="str">
            <v>€</v>
          </cell>
          <cell r="X89">
            <v>735</v>
          </cell>
        </row>
        <row r="90">
          <cell r="A90">
            <v>338476</v>
          </cell>
          <cell r="B90" t="str">
            <v>LINGUINE QS HAUTE RESISTANCE 100% BLE DUR FRANCE</v>
          </cell>
          <cell r="C90" t="str">
            <v>ACH113</v>
          </cell>
          <cell r="D90">
            <v>1151</v>
          </cell>
          <cell r="E90" t="str">
            <v>KG</v>
          </cell>
          <cell r="F90">
            <v>1.3176455256298869</v>
          </cell>
          <cell r="G90" t="str">
            <v>€</v>
          </cell>
          <cell r="H90">
            <v>1516.61</v>
          </cell>
          <cell r="I90" t="str">
            <v>€</v>
          </cell>
          <cell r="J90">
            <v>1.38</v>
          </cell>
          <cell r="K90" t="str">
            <v>€</v>
          </cell>
          <cell r="L90">
            <v>1588.3799999999999</v>
          </cell>
          <cell r="M90" t="str">
            <v>€</v>
          </cell>
          <cell r="N90">
            <v>1.38</v>
          </cell>
          <cell r="O90" t="str">
            <v>€</v>
          </cell>
          <cell r="P90">
            <v>2063.6947046153846</v>
          </cell>
          <cell r="Q90" t="str">
            <v>KG</v>
          </cell>
          <cell r="R90">
            <v>2847.8986923692305</v>
          </cell>
          <cell r="S90" t="str">
            <v>€</v>
          </cell>
          <cell r="T90">
            <v>2847.8986923692305</v>
          </cell>
          <cell r="U90" t="str">
            <v>€</v>
          </cell>
          <cell r="V90">
            <v>0</v>
          </cell>
          <cell r="W90" t="str">
            <v>€</v>
          </cell>
          <cell r="X90">
            <v>435.88099999999997</v>
          </cell>
        </row>
        <row r="91">
          <cell r="A91">
            <v>338477</v>
          </cell>
          <cell r="B91" t="str">
            <v>COQUILLAGE OU CONCHIGLIE 3 OEUFS FRAIS UE</v>
          </cell>
          <cell r="C91" t="str">
            <v>ACH113</v>
          </cell>
          <cell r="D91">
            <v>1680</v>
          </cell>
          <cell r="E91" t="str">
            <v>KG</v>
          </cell>
          <cell r="F91">
            <v>2.1960000000000002</v>
          </cell>
          <cell r="G91" t="str">
            <v>€</v>
          </cell>
          <cell r="H91">
            <v>3689.28</v>
          </cell>
          <cell r="I91" t="str">
            <v>€</v>
          </cell>
          <cell r="J91">
            <v>2.2400000000000002</v>
          </cell>
          <cell r="K91" t="str">
            <v>€</v>
          </cell>
          <cell r="L91">
            <v>3763.2000000000003</v>
          </cell>
          <cell r="M91" t="str">
            <v>€</v>
          </cell>
          <cell r="N91">
            <v>2.2400000000000002</v>
          </cell>
          <cell r="O91" t="str">
            <v>€</v>
          </cell>
          <cell r="P91">
            <v>1839.1123323461538</v>
          </cell>
          <cell r="Q91" t="str">
            <v>KG</v>
          </cell>
          <cell r="R91">
            <v>4119.611624455385</v>
          </cell>
          <cell r="S91" t="str">
            <v>€</v>
          </cell>
          <cell r="T91">
            <v>4119.611624455385</v>
          </cell>
          <cell r="U91" t="str">
            <v>€</v>
          </cell>
          <cell r="V91">
            <v>0</v>
          </cell>
          <cell r="W91" t="str">
            <v>€</v>
          </cell>
          <cell r="X91">
            <v>328.85599999999999</v>
          </cell>
        </row>
        <row r="92">
          <cell r="A92">
            <v>338484</v>
          </cell>
          <cell r="B92" t="str">
            <v xml:space="preserve">PEPINETTE BRONZE ORZO RISONI  (semoule QS) </v>
          </cell>
          <cell r="C92" t="str">
            <v>ACH113</v>
          </cell>
          <cell r="D92">
            <v>2400</v>
          </cell>
          <cell r="E92" t="str">
            <v>KG</v>
          </cell>
          <cell r="F92">
            <v>1.056</v>
          </cell>
          <cell r="G92" t="str">
            <v>€</v>
          </cell>
          <cell r="H92">
            <v>2534.4</v>
          </cell>
          <cell r="I92" t="str">
            <v>€</v>
          </cell>
          <cell r="J92">
            <v>1.5</v>
          </cell>
          <cell r="K92" t="str">
            <v>€</v>
          </cell>
          <cell r="L92">
            <v>3600</v>
          </cell>
          <cell r="M92" t="str">
            <v>€</v>
          </cell>
          <cell r="O92" t="str">
            <v>€</v>
          </cell>
          <cell r="Q92" t="str">
            <v>KG</v>
          </cell>
          <cell r="S92" t="str">
            <v>€</v>
          </cell>
          <cell r="U92" t="str">
            <v>€</v>
          </cell>
          <cell r="W92" t="str">
            <v>€</v>
          </cell>
          <cell r="X92">
            <v>615</v>
          </cell>
        </row>
        <row r="93">
          <cell r="A93">
            <v>339741</v>
          </cell>
          <cell r="B93" t="str">
            <v xml:space="preserve">TORTILLA BLE 8*15CM 240G COLZA NOUVEAU ZD GLY + GLY </v>
          </cell>
          <cell r="C93" t="str">
            <v>ACH113</v>
          </cell>
          <cell r="D93">
            <v>116640</v>
          </cell>
          <cell r="E93" t="str">
            <v>PI</v>
          </cell>
          <cell r="F93">
            <v>0.72249999999999992</v>
          </cell>
          <cell r="G93" t="str">
            <v>€</v>
          </cell>
          <cell r="H93">
            <v>84272.4</v>
          </cell>
          <cell r="I93" t="str">
            <v>€</v>
          </cell>
          <cell r="J93">
            <v>0.74</v>
          </cell>
          <cell r="K93" t="str">
            <v>€</v>
          </cell>
          <cell r="L93">
            <v>86313.600000000006</v>
          </cell>
          <cell r="M93" t="str">
            <v>€</v>
          </cell>
          <cell r="N93">
            <v>0.74</v>
          </cell>
          <cell r="O93" t="str">
            <v>€</v>
          </cell>
          <cell r="P93">
            <v>144269.84904967321</v>
          </cell>
          <cell r="Q93" t="str">
            <v>PI</v>
          </cell>
          <cell r="R93">
            <v>106759.68829675818</v>
          </cell>
          <cell r="S93" t="str">
            <v>€</v>
          </cell>
          <cell r="T93">
            <v>106759.68829675818</v>
          </cell>
          <cell r="U93" t="str">
            <v>€</v>
          </cell>
          <cell r="V93">
            <v>0</v>
          </cell>
          <cell r="W93" t="str">
            <v>€</v>
          </cell>
          <cell r="X93">
            <v>30153</v>
          </cell>
        </row>
        <row r="94">
          <cell r="A94">
            <v>339742</v>
          </cell>
          <cell r="B94" t="str">
            <v>SPAETZLE PLAT 7 OEUFS PLEIN AIR</v>
          </cell>
          <cell r="C94" t="str">
            <v>ACH113</v>
          </cell>
          <cell r="D94">
            <v>1701</v>
          </cell>
          <cell r="E94" t="str">
            <v>KG</v>
          </cell>
          <cell r="F94">
            <v>3.1920047031158143</v>
          </cell>
          <cell r="G94" t="str">
            <v>€</v>
          </cell>
          <cell r="H94">
            <v>5429.6</v>
          </cell>
          <cell r="I94" t="str">
            <v>€</v>
          </cell>
          <cell r="J94">
            <v>3.3</v>
          </cell>
          <cell r="K94" t="str">
            <v>€</v>
          </cell>
          <cell r="L94">
            <v>5613.2999999999993</v>
          </cell>
          <cell r="M94" t="str">
            <v>€</v>
          </cell>
          <cell r="N94">
            <v>3.3</v>
          </cell>
          <cell r="O94" t="str">
            <v>€</v>
          </cell>
          <cell r="P94">
            <v>4136.4742984682198</v>
          </cell>
          <cell r="Q94" t="str">
            <v>KG</v>
          </cell>
          <cell r="R94">
            <v>13650.365184945125</v>
          </cell>
          <cell r="S94" t="str">
            <v>€</v>
          </cell>
          <cell r="T94">
            <v>13650.365184945125</v>
          </cell>
          <cell r="U94" t="str">
            <v>€</v>
          </cell>
          <cell r="V94">
            <v>0</v>
          </cell>
          <cell r="W94" t="str">
            <v>€</v>
          </cell>
          <cell r="X94">
            <v>792</v>
          </cell>
        </row>
        <row r="95">
          <cell r="A95">
            <v>340578</v>
          </cell>
          <cell r="B95" t="str">
            <v>NOUILLES NODDLE SANS OEUFS QUICK COOKING</v>
          </cell>
          <cell r="C95" t="str">
            <v>ACH113</v>
          </cell>
          <cell r="D95">
            <v>37957.5</v>
          </cell>
          <cell r="E95" t="str">
            <v>KG</v>
          </cell>
          <cell r="F95">
            <v>2.3015422512020023</v>
          </cell>
          <cell r="G95" t="str">
            <v>€</v>
          </cell>
          <cell r="H95">
            <v>87360.79</v>
          </cell>
          <cell r="I95" t="str">
            <v>€</v>
          </cell>
          <cell r="J95">
            <v>2.54</v>
          </cell>
          <cell r="K95" t="str">
            <v>€</v>
          </cell>
          <cell r="L95">
            <v>96412.05</v>
          </cell>
          <cell r="M95" t="str">
            <v>€</v>
          </cell>
          <cell r="N95">
            <v>1.54</v>
          </cell>
          <cell r="O95" t="str">
            <v>€</v>
          </cell>
          <cell r="P95">
            <v>48844.091247547251</v>
          </cell>
          <cell r="Q95" t="str">
            <v>KG</v>
          </cell>
          <cell r="R95">
            <v>75219.900521222764</v>
          </cell>
          <cell r="S95" t="str">
            <v>€</v>
          </cell>
          <cell r="T95">
            <v>124063.99176877002</v>
          </cell>
          <cell r="U95" t="str">
            <v>€</v>
          </cell>
          <cell r="V95">
            <v>-48844.091247547258</v>
          </cell>
          <cell r="W95" t="str">
            <v>€</v>
          </cell>
          <cell r="X95">
            <v>3510</v>
          </cell>
        </row>
        <row r="96">
          <cell r="A96">
            <v>340580</v>
          </cell>
          <cell r="B96" t="str">
            <v xml:space="preserve">NOUILLES CHINOISES DE BLE </v>
          </cell>
          <cell r="C96" t="str">
            <v>ACH113</v>
          </cell>
          <cell r="D96">
            <v>3000</v>
          </cell>
          <cell r="E96" t="str">
            <v>KG</v>
          </cell>
          <cell r="F96">
            <v>4.45</v>
          </cell>
          <cell r="G96" t="str">
            <v>€</v>
          </cell>
          <cell r="H96">
            <v>13350</v>
          </cell>
          <cell r="I96" t="str">
            <v>€</v>
          </cell>
          <cell r="J96">
            <v>4.45</v>
          </cell>
          <cell r="K96" t="str">
            <v>€</v>
          </cell>
          <cell r="L96">
            <v>13350</v>
          </cell>
          <cell r="M96" t="str">
            <v>€</v>
          </cell>
          <cell r="O96" t="str">
            <v>€</v>
          </cell>
          <cell r="Q96" t="str">
            <v>KG</v>
          </cell>
          <cell r="S96" t="str">
            <v>€</v>
          </cell>
          <cell r="U96" t="str">
            <v>€</v>
          </cell>
          <cell r="W96" t="str">
            <v>€</v>
          </cell>
        </row>
        <row r="97">
          <cell r="A97">
            <v>343934</v>
          </cell>
          <cell r="B97" t="str">
            <v>QUINOA GOURMAND melange boulgour quinoa (f 810432)</v>
          </cell>
          <cell r="C97" t="str">
            <v>ACH113</v>
          </cell>
          <cell r="D97">
            <v>135</v>
          </cell>
          <cell r="E97" t="str">
            <v>KG</v>
          </cell>
          <cell r="F97">
            <v>5.4270370370370369</v>
          </cell>
          <cell r="G97" t="str">
            <v>€</v>
          </cell>
          <cell r="H97">
            <v>732.65</v>
          </cell>
          <cell r="I97" t="str">
            <v>€</v>
          </cell>
          <cell r="J97">
            <v>5.54</v>
          </cell>
          <cell r="K97" t="str">
            <v>€</v>
          </cell>
          <cell r="L97">
            <v>747.9</v>
          </cell>
          <cell r="M97" t="str">
            <v>€</v>
          </cell>
          <cell r="O97" t="str">
            <v>€</v>
          </cell>
          <cell r="Q97" t="str">
            <v>KG</v>
          </cell>
          <cell r="S97" t="str">
            <v>€</v>
          </cell>
          <cell r="U97" t="str">
            <v>€</v>
          </cell>
          <cell r="W97" t="str">
            <v>€</v>
          </cell>
        </row>
        <row r="98">
          <cell r="A98">
            <v>360380</v>
          </cell>
          <cell r="B98" t="str">
            <v>FARFALLES 3 OEUFS FRAIS</v>
          </cell>
          <cell r="C98" t="str">
            <v>ACH113</v>
          </cell>
          <cell r="D98">
            <v>17280</v>
          </cell>
          <cell r="E98" t="str">
            <v>KG</v>
          </cell>
          <cell r="F98">
            <v>2.1959999999999997</v>
          </cell>
          <cell r="G98" t="str">
            <v>€</v>
          </cell>
          <cell r="H98">
            <v>37946.879999999997</v>
          </cell>
          <cell r="I98" t="str">
            <v>€</v>
          </cell>
          <cell r="J98">
            <v>9.35</v>
          </cell>
          <cell r="K98" t="str">
            <v>€</v>
          </cell>
          <cell r="L98">
            <v>161568</v>
          </cell>
          <cell r="M98" t="str">
            <v>€</v>
          </cell>
          <cell r="N98">
            <v>2.3199999999999998</v>
          </cell>
          <cell r="O98" t="str">
            <v>€</v>
          </cell>
          <cell r="P98">
            <v>18372.996432115386</v>
          </cell>
          <cell r="Q98" t="str">
            <v>KG</v>
          </cell>
          <cell r="R98">
            <v>42625.351722507694</v>
          </cell>
          <cell r="S98" t="str">
            <v>€</v>
          </cell>
          <cell r="T98">
            <v>171787.51664027886</v>
          </cell>
          <cell r="U98" t="str">
            <v>€</v>
          </cell>
          <cell r="V98">
            <v>-129162.16491777117</v>
          </cell>
          <cell r="W98" t="str">
            <v>€</v>
          </cell>
          <cell r="X98">
            <v>1895.84</v>
          </cell>
        </row>
        <row r="99">
          <cell r="A99">
            <v>360383</v>
          </cell>
          <cell r="B99" t="str">
            <v>PATES MACARONIS QS 5 KG</v>
          </cell>
          <cell r="C99" t="str">
            <v>ACH113</v>
          </cell>
          <cell r="D99">
            <v>7200</v>
          </cell>
          <cell r="E99" t="str">
            <v>KG</v>
          </cell>
          <cell r="F99">
            <v>1.2691666666666668</v>
          </cell>
          <cell r="G99" t="str">
            <v>€</v>
          </cell>
          <cell r="H99">
            <v>9138</v>
          </cell>
          <cell r="I99" t="str">
            <v>€</v>
          </cell>
          <cell r="J99">
            <v>1.65</v>
          </cell>
          <cell r="K99" t="str">
            <v>€</v>
          </cell>
          <cell r="L99">
            <v>11880</v>
          </cell>
          <cell r="M99" t="str">
            <v>€</v>
          </cell>
          <cell r="N99">
            <v>1.4</v>
          </cell>
          <cell r="O99" t="str">
            <v>€</v>
          </cell>
          <cell r="P99">
            <v>7232.0149350000002</v>
          </cell>
          <cell r="Q99" t="str">
            <v>KG</v>
          </cell>
          <cell r="R99">
            <v>10124.820909</v>
          </cell>
          <cell r="S99" t="str">
            <v>€</v>
          </cell>
          <cell r="T99">
            <v>11932.82464275</v>
          </cell>
          <cell r="U99" t="str">
            <v>€</v>
          </cell>
          <cell r="V99">
            <v>-1808.0037337499998</v>
          </cell>
          <cell r="W99" t="str">
            <v>€</v>
          </cell>
          <cell r="X99">
            <v>260</v>
          </cell>
        </row>
        <row r="100">
          <cell r="A100">
            <v>360385</v>
          </cell>
          <cell r="B100" t="str">
            <v xml:space="preserve">RIZ ROUGE </v>
          </cell>
          <cell r="C100" t="str">
            <v>ACH113</v>
          </cell>
          <cell r="D100">
            <v>2250</v>
          </cell>
          <cell r="E100" t="str">
            <v>KG</v>
          </cell>
          <cell r="F100">
            <v>2.1833333333333331</v>
          </cell>
          <cell r="G100" t="str">
            <v>€</v>
          </cell>
          <cell r="H100">
            <v>4912.5</v>
          </cell>
          <cell r="I100" t="str">
            <v>€</v>
          </cell>
          <cell r="J100">
            <v>2.14</v>
          </cell>
          <cell r="K100" t="str">
            <v>€</v>
          </cell>
          <cell r="L100">
            <v>4815</v>
          </cell>
          <cell r="M100" t="str">
            <v>€</v>
          </cell>
          <cell r="N100">
            <v>2.14</v>
          </cell>
          <cell r="O100" t="str">
            <v>€</v>
          </cell>
          <cell r="P100">
            <v>4924.5959756402717</v>
          </cell>
          <cell r="Q100" t="str">
            <v>KG</v>
          </cell>
          <cell r="R100">
            <v>10538.635387870183</v>
          </cell>
          <cell r="S100" t="str">
            <v>€</v>
          </cell>
          <cell r="T100">
            <v>10538.635387870183</v>
          </cell>
          <cell r="U100" t="str">
            <v>€</v>
          </cell>
          <cell r="V100">
            <v>0</v>
          </cell>
          <cell r="W100" t="str">
            <v>€</v>
          </cell>
          <cell r="X100">
            <v>1248.7570000000001</v>
          </cell>
        </row>
        <row r="101">
          <cell r="A101">
            <v>360439</v>
          </cell>
          <cell r="B101" t="str">
            <v>TORTELLONI TRICOLORE 3 FROMAGES PATES FARCIES SURG</v>
          </cell>
          <cell r="C101" t="str">
            <v>ACH113</v>
          </cell>
          <cell r="D101">
            <v>15500</v>
          </cell>
          <cell r="E101" t="str">
            <v>KG</v>
          </cell>
          <cell r="F101">
            <v>5.2874193548387094</v>
          </cell>
          <cell r="G101" t="str">
            <v>€</v>
          </cell>
          <cell r="H101">
            <v>81955</v>
          </cell>
          <cell r="I101" t="str">
            <v>€</v>
          </cell>
          <cell r="J101">
            <v>5.4</v>
          </cell>
          <cell r="K101" t="str">
            <v>€</v>
          </cell>
          <cell r="L101">
            <v>83700</v>
          </cell>
          <cell r="M101" t="str">
            <v>€</v>
          </cell>
          <cell r="N101">
            <v>5.4</v>
          </cell>
          <cell r="O101" t="str">
            <v>€</v>
          </cell>
          <cell r="P101">
            <v>16615.598676634614</v>
          </cell>
          <cell r="Q101" t="str">
            <v>KG</v>
          </cell>
          <cell r="R101">
            <v>89724.232853826921</v>
          </cell>
          <cell r="S101" t="str">
            <v>€</v>
          </cell>
          <cell r="T101">
            <v>89724.232853826921</v>
          </cell>
          <cell r="U101" t="str">
            <v>€</v>
          </cell>
          <cell r="V101">
            <v>0</v>
          </cell>
          <cell r="W101" t="str">
            <v>€</v>
          </cell>
          <cell r="X101">
            <v>754</v>
          </cell>
        </row>
        <row r="102">
          <cell r="A102">
            <v>360446</v>
          </cell>
          <cell r="B102" t="str">
            <v>TORTELLI AUX BOLETS SURG</v>
          </cell>
          <cell r="C102" t="str">
            <v>ACH113</v>
          </cell>
          <cell r="D102">
            <v>4120</v>
          </cell>
          <cell r="E102" t="str">
            <v>KG</v>
          </cell>
          <cell r="F102">
            <v>5.6</v>
          </cell>
          <cell r="G102" t="str">
            <v>€</v>
          </cell>
          <cell r="H102">
            <v>23072</v>
          </cell>
          <cell r="I102" t="str">
            <v>€</v>
          </cell>
          <cell r="J102">
            <v>5.7</v>
          </cell>
          <cell r="K102" t="str">
            <v>€</v>
          </cell>
          <cell r="L102">
            <v>23484</v>
          </cell>
          <cell r="M102" t="str">
            <v>€</v>
          </cell>
          <cell r="O102" t="str">
            <v>€</v>
          </cell>
          <cell r="P102">
            <v>3391.2742408270678</v>
          </cell>
          <cell r="Q102" t="str">
            <v>KG</v>
          </cell>
          <cell r="S102" t="str">
            <v>€</v>
          </cell>
          <cell r="T102">
            <v>19330.263172714287</v>
          </cell>
          <cell r="U102" t="str">
            <v>€</v>
          </cell>
          <cell r="W102" t="str">
            <v>€</v>
          </cell>
          <cell r="X102">
            <v>278</v>
          </cell>
        </row>
        <row r="103">
          <cell r="A103">
            <v>336864</v>
          </cell>
          <cell r="B103" t="str">
            <v>JUS DE CITRON VERT AV PULPE 9 BRIX BIDON SGL (GJUS160001)</v>
          </cell>
          <cell r="C103" t="str">
            <v>ACH109</v>
          </cell>
          <cell r="D103">
            <v>799</v>
          </cell>
          <cell r="E103" t="str">
            <v>KG</v>
          </cell>
          <cell r="F103">
            <v>4.3804755944931166</v>
          </cell>
          <cell r="G103" t="str">
            <v>€</v>
          </cell>
          <cell r="H103">
            <v>3500</v>
          </cell>
          <cell r="I103" t="str">
            <v>€</v>
          </cell>
          <cell r="J103">
            <v>5.66</v>
          </cell>
          <cell r="K103" t="str">
            <v>€</v>
          </cell>
          <cell r="L103">
            <v>4522.34</v>
          </cell>
          <cell r="M103" t="str">
            <v>€</v>
          </cell>
          <cell r="N103">
            <v>5.66</v>
          </cell>
          <cell r="O103" t="str">
            <v>€</v>
          </cell>
          <cell r="P103">
            <v>645.51413666909275</v>
          </cell>
          <cell r="Q103" t="str">
            <v>KG</v>
          </cell>
          <cell r="R103">
            <v>3653.6100135470651</v>
          </cell>
          <cell r="S103" t="str">
            <v>€</v>
          </cell>
          <cell r="T103">
            <v>3653.6100135470651</v>
          </cell>
          <cell r="U103" t="str">
            <v>€</v>
          </cell>
          <cell r="V103">
            <v>0</v>
          </cell>
          <cell r="W103" t="str">
            <v>€</v>
          </cell>
          <cell r="X103">
            <v>191.086297</v>
          </cell>
        </row>
        <row r="104">
          <cell r="A104">
            <v>336874</v>
          </cell>
          <cell r="B104" t="str">
            <v>HARICOT ROUGE POCHE 5/1 (PNE 2.505)</v>
          </cell>
          <cell r="C104" t="str">
            <v>ACH109</v>
          </cell>
          <cell r="D104">
            <v>4731.46</v>
          </cell>
          <cell r="E104" t="str">
            <v>KG</v>
          </cell>
          <cell r="F104">
            <v>3.6848118762496145</v>
          </cell>
          <cell r="G104" t="str">
            <v>€</v>
          </cell>
          <cell r="H104">
            <v>17434.54</v>
          </cell>
          <cell r="I104" t="str">
            <v>€</v>
          </cell>
          <cell r="J104">
            <v>4.0999999999999996</v>
          </cell>
          <cell r="K104" t="str">
            <v>€</v>
          </cell>
          <cell r="L104">
            <v>19398.985999999997</v>
          </cell>
          <cell r="M104" t="str">
            <v>€</v>
          </cell>
          <cell r="N104">
            <v>3.77</v>
          </cell>
          <cell r="O104" t="str">
            <v>€</v>
          </cell>
          <cell r="P104">
            <v>3200.1167527626949</v>
          </cell>
          <cell r="Q104" t="str">
            <v>KG</v>
          </cell>
          <cell r="R104">
            <v>12064.44015791536</v>
          </cell>
          <cell r="S104" t="str">
            <v>€</v>
          </cell>
          <cell r="T104">
            <v>13120.478686327047</v>
          </cell>
          <cell r="U104" t="str">
            <v>€</v>
          </cell>
          <cell r="V104">
            <v>-1056.0385284116874</v>
          </cell>
          <cell r="W104" t="str">
            <v>€</v>
          </cell>
          <cell r="X104">
            <v>1270.375</v>
          </cell>
        </row>
        <row r="105">
          <cell r="A105">
            <v>338182</v>
          </cell>
          <cell r="B105" t="str">
            <v>PDT LAMELLE FRANCE POMME DE TERRE PAST</v>
          </cell>
          <cell r="C105" t="str">
            <v>ACH109</v>
          </cell>
          <cell r="D105">
            <v>66639</v>
          </cell>
          <cell r="E105" t="str">
            <v>KG</v>
          </cell>
          <cell r="F105">
            <v>0.9964015066252494</v>
          </cell>
          <cell r="G105" t="str">
            <v>€</v>
          </cell>
          <cell r="H105">
            <v>66399.199999999997</v>
          </cell>
          <cell r="I105" t="str">
            <v>€</v>
          </cell>
          <cell r="J105">
            <v>1.1299999999999999</v>
          </cell>
          <cell r="K105" t="str">
            <v>€</v>
          </cell>
          <cell r="L105">
            <v>75302.069999999992</v>
          </cell>
          <cell r="M105" t="str">
            <v>€</v>
          </cell>
          <cell r="N105">
            <v>1.07</v>
          </cell>
          <cell r="O105" t="str">
            <v>€</v>
          </cell>
          <cell r="P105">
            <v>85747.556970947902</v>
          </cell>
          <cell r="Q105" t="str">
            <v>KG</v>
          </cell>
          <cell r="R105">
            <v>91749.885958914267</v>
          </cell>
          <cell r="S105" t="str">
            <v>€</v>
          </cell>
          <cell r="T105">
            <v>96894.739377171121</v>
          </cell>
          <cell r="U105" t="str">
            <v>€</v>
          </cell>
          <cell r="V105">
            <v>-5144.8534182568546</v>
          </cell>
          <cell r="W105" t="str">
            <v>€</v>
          </cell>
          <cell r="X105">
            <v>2014</v>
          </cell>
        </row>
        <row r="106">
          <cell r="A106">
            <v>338243</v>
          </cell>
          <cell r="B106" t="str">
            <v>AIL PULPE BLANCHI PUREE GALET SURGELE (HAL10005)</v>
          </cell>
          <cell r="C106" t="str">
            <v>ACH109</v>
          </cell>
          <cell r="D106">
            <v>32870</v>
          </cell>
          <cell r="E106" t="str">
            <v>KG</v>
          </cell>
          <cell r="F106">
            <v>2.1423097048980835</v>
          </cell>
          <cell r="G106" t="str">
            <v>€</v>
          </cell>
          <cell r="H106">
            <v>70417.72</v>
          </cell>
          <cell r="I106" t="str">
            <v>€</v>
          </cell>
          <cell r="J106">
            <v>2.0299999999999998</v>
          </cell>
          <cell r="K106" t="str">
            <v>€</v>
          </cell>
          <cell r="L106">
            <v>66726.099999999991</v>
          </cell>
          <cell r="M106" t="str">
            <v>€</v>
          </cell>
          <cell r="N106">
            <v>2.0299999999999998</v>
          </cell>
          <cell r="O106" t="str">
            <v>€</v>
          </cell>
          <cell r="P106">
            <v>31630.921642327077</v>
          </cell>
          <cell r="Q106" t="str">
            <v>KG</v>
          </cell>
          <cell r="R106">
            <v>64210.770933923959</v>
          </cell>
          <cell r="S106" t="str">
            <v>€</v>
          </cell>
          <cell r="T106">
            <v>64210.770933923959</v>
          </cell>
          <cell r="U106" t="str">
            <v>€</v>
          </cell>
          <cell r="V106">
            <v>0</v>
          </cell>
          <cell r="W106" t="str">
            <v>€</v>
          </cell>
          <cell r="X106">
            <v>3918.308</v>
          </cell>
        </row>
        <row r="107">
          <cell r="A107">
            <v>338244</v>
          </cell>
          <cell r="B107" t="str">
            <v>AIL BLANCHI GOUSSE ENTIERE (HAL10001)</v>
          </cell>
          <cell r="C107" t="str">
            <v>ACH109</v>
          </cell>
          <cell r="D107">
            <v>1130</v>
          </cell>
          <cell r="E107" t="str">
            <v>KG</v>
          </cell>
          <cell r="F107">
            <v>2.4369203539823006</v>
          </cell>
          <cell r="G107" t="str">
            <v>€</v>
          </cell>
          <cell r="H107">
            <v>2753.72</v>
          </cell>
          <cell r="I107" t="str">
            <v>€</v>
          </cell>
          <cell r="J107">
            <v>2.62</v>
          </cell>
          <cell r="K107" t="str">
            <v>€</v>
          </cell>
          <cell r="L107">
            <v>2960.6</v>
          </cell>
          <cell r="M107" t="str">
            <v>€</v>
          </cell>
          <cell r="N107">
            <v>2.62</v>
          </cell>
          <cell r="O107" t="str">
            <v>€</v>
          </cell>
          <cell r="P107">
            <v>1142.0085737647059</v>
          </cell>
          <cell r="Q107" t="str">
            <v>KG</v>
          </cell>
          <cell r="R107">
            <v>2992.0624632635295</v>
          </cell>
          <cell r="S107" t="str">
            <v>€</v>
          </cell>
          <cell r="T107">
            <v>2992.0624632635295</v>
          </cell>
          <cell r="U107" t="str">
            <v>€</v>
          </cell>
          <cell r="V107">
            <v>0</v>
          </cell>
          <cell r="W107" t="str">
            <v>€</v>
          </cell>
          <cell r="X107">
            <v>593.9</v>
          </cell>
        </row>
        <row r="108">
          <cell r="A108">
            <v>338247</v>
          </cell>
          <cell r="B108" t="str">
            <v>ANANAS MORCEAUX POIDS NETS EGOUTES BOITE ou POCHE</v>
          </cell>
          <cell r="C108" t="str">
            <v>ACH109</v>
          </cell>
          <cell r="D108">
            <v>4404.3999999999996</v>
          </cell>
          <cell r="E108" t="str">
            <v>KG</v>
          </cell>
          <cell r="F108">
            <v>2.909124965943148</v>
          </cell>
          <cell r="G108" t="str">
            <v>€</v>
          </cell>
          <cell r="H108">
            <v>12812.95</v>
          </cell>
          <cell r="I108" t="str">
            <v>€</v>
          </cell>
          <cell r="J108">
            <v>2.93</v>
          </cell>
          <cell r="K108" t="str">
            <v>€</v>
          </cell>
          <cell r="L108">
            <v>12904.892</v>
          </cell>
          <cell r="M108" t="str">
            <v>€</v>
          </cell>
          <cell r="N108">
            <v>2.93</v>
          </cell>
          <cell r="O108" t="str">
            <v>€</v>
          </cell>
          <cell r="P108">
            <v>5157.597577490179</v>
          </cell>
          <cell r="Q108" t="str">
            <v>KG</v>
          </cell>
          <cell r="R108">
            <v>15111.760902046226</v>
          </cell>
          <cell r="S108" t="str">
            <v>€</v>
          </cell>
          <cell r="T108">
            <v>15111.760902046226</v>
          </cell>
          <cell r="U108" t="str">
            <v>€</v>
          </cell>
          <cell r="V108">
            <v>0</v>
          </cell>
          <cell r="W108" t="str">
            <v>€</v>
          </cell>
          <cell r="X108">
            <v>563.80221200000005</v>
          </cell>
        </row>
        <row r="109">
          <cell r="A109">
            <v>338250</v>
          </cell>
          <cell r="B109" t="str">
            <v>BAMBOU POUSSE 1.8 KG</v>
          </cell>
          <cell r="C109" t="str">
            <v>ACH109</v>
          </cell>
          <cell r="D109">
            <v>4006.8</v>
          </cell>
          <cell r="E109" t="str">
            <v>KG</v>
          </cell>
          <cell r="F109">
            <v>2.268770589997005</v>
          </cell>
          <cell r="G109" t="str">
            <v>€</v>
          </cell>
          <cell r="H109">
            <v>9090.51</v>
          </cell>
          <cell r="I109" t="str">
            <v>€</v>
          </cell>
          <cell r="J109">
            <v>2.35</v>
          </cell>
          <cell r="K109" t="str">
            <v>€</v>
          </cell>
          <cell r="L109">
            <v>9415.9800000000014</v>
          </cell>
          <cell r="M109" t="str">
            <v>€</v>
          </cell>
          <cell r="N109">
            <v>2.35</v>
          </cell>
          <cell r="O109" t="str">
            <v>€</v>
          </cell>
          <cell r="P109">
            <v>4580.0999168848048</v>
          </cell>
          <cell r="Q109" t="str">
            <v>KG</v>
          </cell>
          <cell r="R109">
            <v>10763.234804679292</v>
          </cell>
          <cell r="S109" t="str">
            <v>€</v>
          </cell>
          <cell r="T109">
            <v>10763.234804679292</v>
          </cell>
          <cell r="U109" t="str">
            <v>€</v>
          </cell>
          <cell r="V109">
            <v>0</v>
          </cell>
          <cell r="W109" t="str">
            <v>€</v>
          </cell>
          <cell r="X109">
            <v>227.97149999999999</v>
          </cell>
        </row>
        <row r="110">
          <cell r="A110">
            <v>338252</v>
          </cell>
          <cell r="B110" t="str">
            <v>BASILIC FLOCONS</v>
          </cell>
          <cell r="C110" t="str">
            <v>ACH113</v>
          </cell>
          <cell r="D110">
            <v>1188</v>
          </cell>
          <cell r="E110" t="str">
            <v>KG</v>
          </cell>
          <cell r="F110">
            <v>3.1354545454545457</v>
          </cell>
          <cell r="G110" t="str">
            <v>€</v>
          </cell>
          <cell r="H110">
            <v>3724.92</v>
          </cell>
          <cell r="I110" t="str">
            <v>€</v>
          </cell>
          <cell r="J110">
            <v>3.2</v>
          </cell>
          <cell r="K110" t="str">
            <v>€</v>
          </cell>
          <cell r="L110">
            <v>3801.6000000000004</v>
          </cell>
          <cell r="M110" t="str">
            <v>€</v>
          </cell>
          <cell r="N110">
            <v>2.9</v>
          </cell>
          <cell r="O110" t="str">
            <v>€</v>
          </cell>
          <cell r="P110">
            <v>1291.2583999243966</v>
          </cell>
          <cell r="Q110" t="str">
            <v>KG</v>
          </cell>
          <cell r="R110">
            <v>3744.6493597807498</v>
          </cell>
          <cell r="S110" t="str">
            <v>€</v>
          </cell>
          <cell r="T110">
            <v>4132.0268797580693</v>
          </cell>
          <cell r="U110" t="str">
            <v>€</v>
          </cell>
          <cell r="V110">
            <v>-387.37751997731948</v>
          </cell>
          <cell r="W110" t="str">
            <v>€</v>
          </cell>
          <cell r="X110">
            <v>140.91</v>
          </cell>
        </row>
        <row r="111">
          <cell r="A111">
            <v>338254</v>
          </cell>
          <cell r="B111" t="str">
            <v>CAROTTES 4*4*4 BLANCHI CUBE SGL</v>
          </cell>
          <cell r="C111" t="str">
            <v>ACH109</v>
          </cell>
          <cell r="D111">
            <v>10320</v>
          </cell>
          <cell r="E111" t="str">
            <v>KG</v>
          </cell>
          <cell r="F111">
            <v>0.93467441860465117</v>
          </cell>
          <cell r="G111" t="str">
            <v>€</v>
          </cell>
          <cell r="H111">
            <v>9645.84</v>
          </cell>
          <cell r="I111" t="str">
            <v>€</v>
          </cell>
          <cell r="J111">
            <v>1</v>
          </cell>
          <cell r="K111" t="str">
            <v>€</v>
          </cell>
          <cell r="L111">
            <v>10320</v>
          </cell>
          <cell r="M111" t="str">
            <v>€</v>
          </cell>
          <cell r="N111">
            <v>1</v>
          </cell>
          <cell r="O111" t="str">
            <v>€</v>
          </cell>
          <cell r="P111">
            <v>12070.251908261622</v>
          </cell>
          <cell r="Q111" t="str">
            <v>KG</v>
          </cell>
          <cell r="R111">
            <v>12070.251908261622</v>
          </cell>
          <cell r="S111" t="str">
            <v>€</v>
          </cell>
          <cell r="T111">
            <v>12070.251908261622</v>
          </cell>
          <cell r="U111" t="str">
            <v>€</v>
          </cell>
          <cell r="V111">
            <v>0</v>
          </cell>
          <cell r="W111" t="str">
            <v>€</v>
          </cell>
          <cell r="X111">
            <v>741.95899999999995</v>
          </cell>
        </row>
        <row r="112">
          <cell r="A112">
            <v>338255</v>
          </cell>
          <cell r="B112" t="str">
            <v>CAROTTE BLANCHI JULIENNE ORANGE 4X4 SGL (LCA51020) REMOULADE</v>
          </cell>
          <cell r="C112" t="str">
            <v>ACH109</v>
          </cell>
          <cell r="D112">
            <v>14265</v>
          </cell>
          <cell r="E112" t="str">
            <v>KG</v>
          </cell>
          <cell r="F112">
            <v>0.84198738170347009</v>
          </cell>
          <cell r="G112" t="str">
            <v>€</v>
          </cell>
          <cell r="H112">
            <v>12010.95</v>
          </cell>
          <cell r="I112" t="str">
            <v>€</v>
          </cell>
          <cell r="J112">
            <v>0.92</v>
          </cell>
          <cell r="K112" t="str">
            <v>€</v>
          </cell>
          <cell r="L112">
            <v>13123.800000000001</v>
          </cell>
          <cell r="M112" t="str">
            <v>€</v>
          </cell>
          <cell r="N112">
            <v>0.86</v>
          </cell>
          <cell r="O112" t="str">
            <v>€</v>
          </cell>
          <cell r="P112">
            <v>16616.827604372331</v>
          </cell>
          <cell r="Q112" t="str">
            <v>KG</v>
          </cell>
          <cell r="R112">
            <v>14290.471739760203</v>
          </cell>
          <cell r="S112" t="str">
            <v>€</v>
          </cell>
          <cell r="T112">
            <v>15287.481396022546</v>
          </cell>
          <cell r="U112" t="str">
            <v>€</v>
          </cell>
          <cell r="V112">
            <v>-997.00965626234211</v>
          </cell>
          <cell r="W112" t="str">
            <v>€</v>
          </cell>
          <cell r="X112">
            <v>660.976</v>
          </cell>
        </row>
        <row r="113">
          <cell r="A113">
            <v>338256</v>
          </cell>
          <cell r="B113" t="str">
            <v>CAROTTE ORANGE BLANCHI RONDELLE LISSE 4-7 SGL (LCA51013)</v>
          </cell>
          <cell r="C113" t="str">
            <v>ACH109</v>
          </cell>
          <cell r="D113">
            <v>63590</v>
          </cell>
          <cell r="E113" t="str">
            <v>KG</v>
          </cell>
          <cell r="F113">
            <v>0.82780311369712223</v>
          </cell>
          <cell r="G113" t="str">
            <v>€</v>
          </cell>
          <cell r="H113">
            <v>52640</v>
          </cell>
          <cell r="I113" t="str">
            <v>€</v>
          </cell>
          <cell r="J113">
            <v>0.95</v>
          </cell>
          <cell r="K113" t="str">
            <v>€</v>
          </cell>
          <cell r="L113">
            <v>60410.5</v>
          </cell>
          <cell r="M113" t="str">
            <v>€</v>
          </cell>
          <cell r="N113">
            <v>0.95</v>
          </cell>
          <cell r="O113" t="str">
            <v>€</v>
          </cell>
          <cell r="P113">
            <v>67494.952870247507</v>
          </cell>
          <cell r="Q113" t="str">
            <v>KG</v>
          </cell>
          <cell r="R113">
            <v>64120.205226735132</v>
          </cell>
          <cell r="S113" t="str">
            <v>€</v>
          </cell>
          <cell r="T113">
            <v>64120.205226735132</v>
          </cell>
          <cell r="U113" t="str">
            <v>€</v>
          </cell>
          <cell r="V113">
            <v>0</v>
          </cell>
          <cell r="W113" t="str">
            <v>€</v>
          </cell>
          <cell r="X113">
            <v>6417</v>
          </cell>
        </row>
        <row r="114">
          <cell r="A114">
            <v>338259</v>
          </cell>
          <cell r="B114" t="str">
            <v>CAROTTE  JAUNE BLANCHI JULIENNE 4X4 SGL (LCA10019)</v>
          </cell>
          <cell r="C114" t="str">
            <v>ACH109</v>
          </cell>
          <cell r="D114">
            <v>8910</v>
          </cell>
          <cell r="E114" t="str">
            <v>KG</v>
          </cell>
          <cell r="F114">
            <v>0.88611111111111107</v>
          </cell>
          <cell r="G114" t="str">
            <v>€</v>
          </cell>
          <cell r="H114">
            <v>7895.25</v>
          </cell>
          <cell r="I114" t="str">
            <v>€</v>
          </cell>
          <cell r="J114">
            <v>1</v>
          </cell>
          <cell r="K114" t="str">
            <v>€</v>
          </cell>
          <cell r="L114">
            <v>8910</v>
          </cell>
          <cell r="M114" t="str">
            <v>€</v>
          </cell>
          <cell r="N114">
            <v>1</v>
          </cell>
          <cell r="O114" t="str">
            <v>€</v>
          </cell>
          <cell r="P114">
            <v>11053.482228695762</v>
          </cell>
          <cell r="Q114" t="str">
            <v>KG</v>
          </cell>
          <cell r="R114">
            <v>11053.482228695762</v>
          </cell>
          <cell r="S114" t="str">
            <v>€</v>
          </cell>
          <cell r="T114">
            <v>11053.482228695762</v>
          </cell>
          <cell r="U114" t="str">
            <v>€</v>
          </cell>
          <cell r="V114">
            <v>0</v>
          </cell>
          <cell r="W114" t="str">
            <v>€</v>
          </cell>
          <cell r="X114">
            <v>573.81200000000001</v>
          </cell>
        </row>
        <row r="115">
          <cell r="A115">
            <v>338273</v>
          </cell>
          <cell r="B115" t="str">
            <v>CIBOULETTE TUBULAIRE SGL</v>
          </cell>
          <cell r="C115" t="str">
            <v>ACH113</v>
          </cell>
          <cell r="D115">
            <v>1083.25</v>
          </cell>
          <cell r="E115" t="str">
            <v>KG</v>
          </cell>
          <cell r="F115">
            <v>3.1440018462958688</v>
          </cell>
          <cell r="G115" t="str">
            <v>€</v>
          </cell>
          <cell r="H115">
            <v>3405.74</v>
          </cell>
          <cell r="I115" t="str">
            <v>€</v>
          </cell>
          <cell r="J115">
            <v>3.13</v>
          </cell>
          <cell r="K115" t="str">
            <v>€</v>
          </cell>
          <cell r="L115">
            <v>3390.5724999999998</v>
          </cell>
          <cell r="M115" t="str">
            <v>€</v>
          </cell>
          <cell r="N115">
            <v>3.13</v>
          </cell>
          <cell r="O115" t="str">
            <v>€</v>
          </cell>
          <cell r="P115">
            <v>1216.4046594818981</v>
          </cell>
          <cell r="Q115" t="str">
            <v>KG</v>
          </cell>
          <cell r="R115">
            <v>3807.3465841783409</v>
          </cell>
          <cell r="S115" t="str">
            <v>€</v>
          </cell>
          <cell r="T115">
            <v>3807.3465841783409</v>
          </cell>
          <cell r="U115" t="str">
            <v>€</v>
          </cell>
          <cell r="V115">
            <v>0</v>
          </cell>
          <cell r="W115" t="str">
            <v>€</v>
          </cell>
          <cell r="X115">
            <v>173.01</v>
          </cell>
        </row>
        <row r="116">
          <cell r="A116">
            <v>338275</v>
          </cell>
          <cell r="B116" t="str">
            <v>JUS DE CITRON CONCENTRE 45 BRIX</v>
          </cell>
          <cell r="C116" t="str">
            <v>ACH109</v>
          </cell>
          <cell r="D116">
            <v>838</v>
          </cell>
          <cell r="E116" t="str">
            <v>KG</v>
          </cell>
          <cell r="F116">
            <v>8.1012410501193326</v>
          </cell>
          <cell r="G116" t="str">
            <v>€</v>
          </cell>
          <cell r="H116">
            <v>6788.84</v>
          </cell>
          <cell r="I116" t="str">
            <v>€</v>
          </cell>
          <cell r="J116">
            <v>8.2799999999999994</v>
          </cell>
          <cell r="K116" t="str">
            <v>€</v>
          </cell>
          <cell r="L116">
            <v>6938.6399999999994</v>
          </cell>
          <cell r="M116" t="str">
            <v>€</v>
          </cell>
          <cell r="N116">
            <v>5.54</v>
          </cell>
          <cell r="O116" t="str">
            <v>€</v>
          </cell>
          <cell r="P116">
            <v>908.29618491476265</v>
          </cell>
          <cell r="Q116" t="str">
            <v>KG</v>
          </cell>
          <cell r="R116">
            <v>5031.9608644277851</v>
          </cell>
          <cell r="S116" t="str">
            <v>€</v>
          </cell>
          <cell r="T116">
            <v>7520.6924110942346</v>
          </cell>
          <cell r="U116" t="str">
            <v>€</v>
          </cell>
          <cell r="V116">
            <v>-2488.7315466664495</v>
          </cell>
          <cell r="W116" t="str">
            <v>€</v>
          </cell>
          <cell r="X116">
            <v>125.957048</v>
          </cell>
        </row>
        <row r="117">
          <cell r="A117">
            <v>338276</v>
          </cell>
          <cell r="B117" t="str">
            <v>CITRON ECORCES CUBE CONFITS EGOUTTES 6X6 MM</v>
          </cell>
          <cell r="C117" t="str">
            <v>ACH113</v>
          </cell>
          <cell r="D117">
            <v>1290</v>
          </cell>
          <cell r="E117" t="str">
            <v>KG</v>
          </cell>
          <cell r="F117">
            <v>11.214852713178294</v>
          </cell>
          <cell r="G117" t="str">
            <v>€</v>
          </cell>
          <cell r="H117">
            <v>14467.16</v>
          </cell>
          <cell r="I117" t="str">
            <v>€</v>
          </cell>
          <cell r="J117">
            <v>11.3</v>
          </cell>
          <cell r="K117" t="str">
            <v>€</v>
          </cell>
          <cell r="L117">
            <v>14577.000000000002</v>
          </cell>
          <cell r="M117" t="str">
            <v>€</v>
          </cell>
          <cell r="N117">
            <v>11.3</v>
          </cell>
          <cell r="O117" t="str">
            <v>€</v>
          </cell>
          <cell r="P117">
            <v>1308.0790451262164</v>
          </cell>
          <cell r="Q117" t="str">
            <v>KG</v>
          </cell>
          <cell r="R117">
            <v>14781.293209926247</v>
          </cell>
          <cell r="S117" t="str">
            <v>€</v>
          </cell>
          <cell r="T117">
            <v>14781.293209926247</v>
          </cell>
          <cell r="U117" t="str">
            <v>€</v>
          </cell>
          <cell r="V117">
            <v>0</v>
          </cell>
          <cell r="W117" t="str">
            <v>€</v>
          </cell>
          <cell r="X117">
            <v>120.682357</v>
          </cell>
        </row>
        <row r="118">
          <cell r="A118">
            <v>338278</v>
          </cell>
          <cell r="B118" t="str">
            <v>CITRON JUS 8° BRIX</v>
          </cell>
          <cell r="C118" t="str">
            <v>ACH109</v>
          </cell>
          <cell r="D118">
            <v>1820</v>
          </cell>
          <cell r="E118" t="str">
            <v>KG</v>
          </cell>
          <cell r="F118">
            <v>1.7551538461538463</v>
          </cell>
          <cell r="G118" t="str">
            <v>€</v>
          </cell>
          <cell r="H118">
            <v>3194.38</v>
          </cell>
          <cell r="I118" t="str">
            <v>€</v>
          </cell>
          <cell r="J118">
            <v>1.66</v>
          </cell>
          <cell r="K118" t="str">
            <v>€</v>
          </cell>
          <cell r="L118">
            <v>3021.2</v>
          </cell>
          <cell r="M118" t="str">
            <v>€</v>
          </cell>
          <cell r="N118">
            <v>1.66</v>
          </cell>
          <cell r="O118" t="str">
            <v>€</v>
          </cell>
          <cell r="P118">
            <v>1562.8913401735501</v>
          </cell>
          <cell r="Q118" t="str">
            <v>KG</v>
          </cell>
          <cell r="R118">
            <v>2594.3996246880929</v>
          </cell>
          <cell r="S118" t="str">
            <v>€</v>
          </cell>
          <cell r="T118">
            <v>2594.3996246880929</v>
          </cell>
          <cell r="U118" t="str">
            <v>€</v>
          </cell>
          <cell r="V118">
            <v>0</v>
          </cell>
          <cell r="W118" t="str">
            <v>€</v>
          </cell>
          <cell r="X118">
            <v>332.71871099999998</v>
          </cell>
        </row>
        <row r="119">
          <cell r="A119">
            <v>338279</v>
          </cell>
          <cell r="B119" t="str">
            <v>CORIANDRE FLOCON</v>
          </cell>
          <cell r="C119" t="str">
            <v>ACH113</v>
          </cell>
          <cell r="D119">
            <v>1392</v>
          </cell>
          <cell r="E119" t="str">
            <v>KG</v>
          </cell>
          <cell r="F119">
            <v>3.0956034482758619</v>
          </cell>
          <cell r="G119" t="str">
            <v>€</v>
          </cell>
          <cell r="H119">
            <v>4309.08</v>
          </cell>
          <cell r="I119" t="str">
            <v>€</v>
          </cell>
          <cell r="J119">
            <v>3.1</v>
          </cell>
          <cell r="K119" t="str">
            <v>€</v>
          </cell>
          <cell r="L119">
            <v>4315.2</v>
          </cell>
          <cell r="M119" t="str">
            <v>€</v>
          </cell>
          <cell r="N119">
            <v>2.85</v>
          </cell>
          <cell r="O119" t="str">
            <v>€</v>
          </cell>
          <cell r="P119">
            <v>1162.4057959753752</v>
          </cell>
          <cell r="Q119" t="str">
            <v>KG</v>
          </cell>
          <cell r="R119">
            <v>3312.8565185298194</v>
          </cell>
          <cell r="S119" t="str">
            <v>€</v>
          </cell>
          <cell r="T119">
            <v>3603.4579675236632</v>
          </cell>
          <cell r="U119" t="str">
            <v>€</v>
          </cell>
          <cell r="V119">
            <v>-290.60144899384386</v>
          </cell>
          <cell r="W119" t="str">
            <v>€</v>
          </cell>
          <cell r="X119">
            <v>173.6</v>
          </cell>
        </row>
        <row r="120">
          <cell r="A120">
            <v>338281</v>
          </cell>
          <cell r="B120" t="str">
            <v>COURGETTE NON BLANCHI CUBE 20X20 MM IQF (LCR10002)</v>
          </cell>
          <cell r="C120" t="str">
            <v>ACH109</v>
          </cell>
          <cell r="D120">
            <v>7920</v>
          </cell>
          <cell r="E120" t="str">
            <v>KG</v>
          </cell>
          <cell r="F120">
            <v>0.87909090909090903</v>
          </cell>
          <cell r="G120" t="str">
            <v>€</v>
          </cell>
          <cell r="H120">
            <v>6962.4</v>
          </cell>
          <cell r="I120" t="str">
            <v>€</v>
          </cell>
          <cell r="J120">
            <v>1.08</v>
          </cell>
          <cell r="K120" t="str">
            <v>€</v>
          </cell>
          <cell r="L120">
            <v>8553.6</v>
          </cell>
          <cell r="M120" t="str">
            <v>€</v>
          </cell>
          <cell r="N120">
            <v>0.94</v>
          </cell>
          <cell r="O120" t="str">
            <v>€</v>
          </cell>
          <cell r="P120">
            <v>5937.2393549630433</v>
          </cell>
          <cell r="Q120" t="str">
            <v>KG</v>
          </cell>
          <cell r="R120">
            <v>5581.0049936652604</v>
          </cell>
          <cell r="S120" t="str">
            <v>€</v>
          </cell>
          <cell r="T120">
            <v>6412.2185033600872</v>
          </cell>
          <cell r="U120" t="str">
            <v>€</v>
          </cell>
          <cell r="V120">
            <v>-831.21350969482683</v>
          </cell>
          <cell r="W120" t="str">
            <v>€</v>
          </cell>
          <cell r="X120">
            <v>2484.4589999999998</v>
          </cell>
        </row>
        <row r="121">
          <cell r="A121">
            <v>338283</v>
          </cell>
          <cell r="B121" t="str">
            <v>ECHALOTES 4*4 NON BLANCHI CUBE 4X4MM (HEL10004)</v>
          </cell>
          <cell r="C121" t="str">
            <v>ACH109</v>
          </cell>
          <cell r="D121">
            <v>43540</v>
          </cell>
          <cell r="E121" t="str">
            <v>KG</v>
          </cell>
          <cell r="F121">
            <v>2.1052503445107948</v>
          </cell>
          <cell r="G121" t="str">
            <v>€</v>
          </cell>
          <cell r="H121">
            <v>91662.6</v>
          </cell>
          <cell r="I121" t="str">
            <v>€</v>
          </cell>
          <cell r="J121">
            <v>2.12</v>
          </cell>
          <cell r="K121" t="str">
            <v>€</v>
          </cell>
          <cell r="L121">
            <v>92304.8</v>
          </cell>
          <cell r="M121" t="str">
            <v>€</v>
          </cell>
          <cell r="N121">
            <v>2.12</v>
          </cell>
          <cell r="O121" t="str">
            <v>€</v>
          </cell>
          <cell r="P121">
            <v>48229.906305363627</v>
          </cell>
          <cell r="Q121" t="str">
            <v>KG</v>
          </cell>
          <cell r="R121">
            <v>102247.4013673709</v>
          </cell>
          <cell r="S121" t="str">
            <v>€</v>
          </cell>
          <cell r="T121">
            <v>102247.4013673709</v>
          </cell>
          <cell r="U121" t="str">
            <v>€</v>
          </cell>
          <cell r="V121">
            <v>0</v>
          </cell>
          <cell r="W121" t="str">
            <v>€</v>
          </cell>
          <cell r="X121">
            <v>4157.8590000000004</v>
          </cell>
        </row>
        <row r="122">
          <cell r="A122">
            <v>338285</v>
          </cell>
          <cell r="B122" t="str">
            <v>EPINARD BRANCHE</v>
          </cell>
          <cell r="C122" t="str">
            <v>ACH109</v>
          </cell>
          <cell r="D122">
            <v>5480</v>
          </cell>
          <cell r="E122" t="str">
            <v>KG</v>
          </cell>
          <cell r="F122">
            <v>1.0494160583941605</v>
          </cell>
          <cell r="G122" t="str">
            <v>€</v>
          </cell>
          <cell r="H122">
            <v>5750.8</v>
          </cell>
          <cell r="I122" t="str">
            <v>€</v>
          </cell>
          <cell r="J122">
            <v>1.3</v>
          </cell>
          <cell r="K122" t="str">
            <v>€</v>
          </cell>
          <cell r="L122">
            <v>7124</v>
          </cell>
          <cell r="M122" t="str">
            <v>€</v>
          </cell>
          <cell r="N122">
            <v>1.1200000000000001</v>
          </cell>
          <cell r="O122" t="str">
            <v>€</v>
          </cell>
          <cell r="P122">
            <v>5636.2709995643672</v>
          </cell>
          <cell r="Q122" t="str">
            <v>KG</v>
          </cell>
          <cell r="R122">
            <v>6312.6235195120917</v>
          </cell>
          <cell r="S122" t="str">
            <v>€</v>
          </cell>
          <cell r="T122">
            <v>7327.1522994336774</v>
          </cell>
          <cell r="U122" t="str">
            <v>€</v>
          </cell>
          <cell r="V122">
            <v>-1014.5287799215857</v>
          </cell>
          <cell r="W122" t="str">
            <v>€</v>
          </cell>
          <cell r="X122">
            <v>472.24</v>
          </cell>
        </row>
        <row r="123">
          <cell r="A123">
            <v>338298</v>
          </cell>
          <cell r="B123" t="str">
            <v>PUREE GROSEILLE</v>
          </cell>
          <cell r="C123" t="str">
            <v>ACH109</v>
          </cell>
          <cell r="D123">
            <v>4554</v>
          </cell>
          <cell r="E123" t="str">
            <v>KG</v>
          </cell>
          <cell r="F123">
            <v>5.0204347826086959</v>
          </cell>
          <cell r="G123" t="str">
            <v>€</v>
          </cell>
          <cell r="H123">
            <v>22863.06</v>
          </cell>
          <cell r="I123" t="str">
            <v>€</v>
          </cell>
          <cell r="J123">
            <v>5.0999999999999996</v>
          </cell>
          <cell r="K123" t="str">
            <v>€</v>
          </cell>
          <cell r="L123">
            <v>23225.399999999998</v>
          </cell>
          <cell r="M123" t="str">
            <v>€</v>
          </cell>
          <cell r="N123">
            <v>5.0999999999999996</v>
          </cell>
          <cell r="O123" t="str">
            <v>€</v>
          </cell>
          <cell r="P123">
            <v>5134.153276407912</v>
          </cell>
          <cell r="Q123" t="str">
            <v>KG</v>
          </cell>
          <cell r="R123">
            <v>26184.18170968035</v>
          </cell>
          <cell r="S123" t="str">
            <v>€</v>
          </cell>
          <cell r="T123">
            <v>26184.18170968035</v>
          </cell>
          <cell r="U123" t="str">
            <v>€</v>
          </cell>
          <cell r="V123">
            <v>0</v>
          </cell>
          <cell r="W123" t="str">
            <v>€</v>
          </cell>
          <cell r="X123">
            <v>231.72</v>
          </cell>
        </row>
        <row r="124">
          <cell r="A124">
            <v>338300</v>
          </cell>
          <cell r="B124" t="str">
            <v>LAURIER POUDRE</v>
          </cell>
          <cell r="C124" t="str">
            <v>ACH113</v>
          </cell>
          <cell r="D124">
            <v>56</v>
          </cell>
          <cell r="E124" t="str">
            <v>KG</v>
          </cell>
          <cell r="F124">
            <v>7.1691071428571433</v>
          </cell>
          <cell r="G124" t="str">
            <v>€</v>
          </cell>
          <cell r="H124">
            <v>401.47</v>
          </cell>
          <cell r="I124" t="str">
            <v>€</v>
          </cell>
          <cell r="J124">
            <v>7.38</v>
          </cell>
          <cell r="K124" t="str">
            <v>€</v>
          </cell>
          <cell r="L124">
            <v>413.28</v>
          </cell>
          <cell r="M124" t="str">
            <v>€</v>
          </cell>
          <cell r="N124">
            <v>7.38</v>
          </cell>
          <cell r="O124" t="str">
            <v>€</v>
          </cell>
          <cell r="P124">
            <v>65.543657841628956</v>
          </cell>
          <cell r="Q124" t="str">
            <v>KG</v>
          </cell>
          <cell r="R124">
            <v>483.7121948712217</v>
          </cell>
          <cell r="S124" t="str">
            <v>€</v>
          </cell>
          <cell r="T124">
            <v>483.7121948712217</v>
          </cell>
          <cell r="U124" t="str">
            <v>€</v>
          </cell>
          <cell r="V124">
            <v>0</v>
          </cell>
          <cell r="W124" t="str">
            <v>€</v>
          </cell>
          <cell r="X124">
            <v>9.2586519999999997</v>
          </cell>
        </row>
        <row r="125">
          <cell r="A125">
            <v>338302</v>
          </cell>
          <cell r="B125" t="str">
            <v>LENTILLES VERTES ORIGINE FRANCE</v>
          </cell>
          <cell r="C125" t="str">
            <v>ACH109</v>
          </cell>
          <cell r="D125">
            <v>6830</v>
          </cell>
          <cell r="E125" t="str">
            <v>KG</v>
          </cell>
          <cell r="F125">
            <v>2.2677013177159591</v>
          </cell>
          <cell r="G125" t="str">
            <v>€</v>
          </cell>
          <cell r="H125">
            <v>15488.4</v>
          </cell>
          <cell r="I125" t="str">
            <v>€</v>
          </cell>
          <cell r="J125">
            <v>2.2799999999999998</v>
          </cell>
          <cell r="K125" t="str">
            <v>€</v>
          </cell>
          <cell r="L125">
            <v>15572.399999999998</v>
          </cell>
          <cell r="M125" t="str">
            <v>€</v>
          </cell>
          <cell r="N125">
            <v>2.2799999999999998</v>
          </cell>
          <cell r="O125" t="str">
            <v>€</v>
          </cell>
          <cell r="P125">
            <v>7513.3532607843135</v>
          </cell>
          <cell r="Q125" t="str">
            <v>KG</v>
          </cell>
          <cell r="R125">
            <v>17130.445434588233</v>
          </cell>
          <cell r="S125" t="str">
            <v>€</v>
          </cell>
          <cell r="T125">
            <v>17130.445434588233</v>
          </cell>
          <cell r="U125" t="str">
            <v>€</v>
          </cell>
          <cell r="V125">
            <v>0</v>
          </cell>
          <cell r="W125" t="str">
            <v>€</v>
          </cell>
          <cell r="X125">
            <v>245</v>
          </cell>
        </row>
        <row r="126">
          <cell r="A126">
            <v>338305</v>
          </cell>
          <cell r="B126" t="str">
            <v>MENTHE DOUCE 1-8 MM</v>
          </cell>
          <cell r="C126" t="str">
            <v>ACH113</v>
          </cell>
          <cell r="D126">
            <v>348</v>
          </cell>
          <cell r="E126" t="str">
            <v>KG</v>
          </cell>
          <cell r="F126">
            <v>3.3348275862068966</v>
          </cell>
          <cell r="G126" t="str">
            <v>€</v>
          </cell>
          <cell r="H126">
            <v>1160.52</v>
          </cell>
          <cell r="I126" t="str">
            <v>€</v>
          </cell>
          <cell r="J126">
            <v>3.32</v>
          </cell>
          <cell r="K126" t="str">
            <v>€</v>
          </cell>
          <cell r="L126">
            <v>1155.3599999999999</v>
          </cell>
          <cell r="M126" t="str">
            <v>€</v>
          </cell>
          <cell r="N126">
            <v>3.03</v>
          </cell>
          <cell r="O126" t="str">
            <v>€</v>
          </cell>
          <cell r="P126">
            <v>185.77319226086956</v>
          </cell>
          <cell r="Q126" t="str">
            <v>KG</v>
          </cell>
          <cell r="R126">
            <v>562.89277255043476</v>
          </cell>
          <cell r="S126" t="str">
            <v>€</v>
          </cell>
          <cell r="T126">
            <v>616.76699830608698</v>
          </cell>
          <cell r="U126" t="str">
            <v>€</v>
          </cell>
          <cell r="V126">
            <v>-53.874225755652219</v>
          </cell>
          <cell r="W126" t="str">
            <v>€</v>
          </cell>
          <cell r="X126">
            <v>25.58</v>
          </cell>
        </row>
        <row r="127">
          <cell r="A127">
            <v>338310</v>
          </cell>
          <cell r="B127" t="str">
            <v>OIGNON NON BLANCHI CUBE 10*10 IQF (LOI10003)</v>
          </cell>
          <cell r="C127" t="str">
            <v>ACH109</v>
          </cell>
          <cell r="D127">
            <v>79200</v>
          </cell>
          <cell r="E127" t="str">
            <v>KG</v>
          </cell>
          <cell r="F127">
            <v>0.78633333333333333</v>
          </cell>
          <cell r="G127" t="str">
            <v>€</v>
          </cell>
          <cell r="H127">
            <v>62277.599999999999</v>
          </cell>
          <cell r="I127" t="str">
            <v>€</v>
          </cell>
          <cell r="J127">
            <v>1.17</v>
          </cell>
          <cell r="K127" t="str">
            <v>€</v>
          </cell>
          <cell r="L127">
            <v>92664</v>
          </cell>
          <cell r="M127" t="str">
            <v>€</v>
          </cell>
          <cell r="N127">
            <v>1.1499999999999999</v>
          </cell>
          <cell r="O127" t="str">
            <v>€</v>
          </cell>
          <cell r="P127">
            <v>81213.457642526206</v>
          </cell>
          <cell r="Q127" t="str">
            <v>KG</v>
          </cell>
          <cell r="R127">
            <v>93395.476288905134</v>
          </cell>
          <cell r="S127" t="str">
            <v>€</v>
          </cell>
          <cell r="T127">
            <v>95019.745441755658</v>
          </cell>
          <cell r="U127" t="str">
            <v>€</v>
          </cell>
          <cell r="V127">
            <v>-1624.2691528505238</v>
          </cell>
          <cell r="W127" t="str">
            <v>€</v>
          </cell>
          <cell r="X127">
            <v>8802.9809999999998</v>
          </cell>
        </row>
        <row r="128">
          <cell r="A128">
            <v>338311</v>
          </cell>
          <cell r="B128" t="str">
            <v>OIGNONS GRELOTS 16-18MM BLANCHI SGL (LOI49002)</v>
          </cell>
          <cell r="C128" t="str">
            <v>ACH109</v>
          </cell>
          <cell r="D128">
            <v>19305</v>
          </cell>
          <cell r="E128" t="str">
            <v>KG</v>
          </cell>
          <cell r="F128">
            <v>1.5765889665889665</v>
          </cell>
          <cell r="G128" t="str">
            <v>€</v>
          </cell>
          <cell r="H128">
            <v>30436.05</v>
          </cell>
          <cell r="I128" t="str">
            <v>€</v>
          </cell>
          <cell r="J128">
            <v>1.44</v>
          </cell>
          <cell r="K128" t="str">
            <v>€</v>
          </cell>
          <cell r="L128">
            <v>27799.200000000001</v>
          </cell>
          <cell r="M128" t="str">
            <v>€</v>
          </cell>
          <cell r="N128">
            <v>1.44</v>
          </cell>
          <cell r="O128" t="str">
            <v>€</v>
          </cell>
          <cell r="P128">
            <v>21638.332360002449</v>
          </cell>
          <cell r="Q128" t="str">
            <v>KG</v>
          </cell>
          <cell r="R128">
            <v>31159.198598403524</v>
          </cell>
          <cell r="S128" t="str">
            <v>€</v>
          </cell>
          <cell r="T128">
            <v>31159.198598403524</v>
          </cell>
          <cell r="U128" t="str">
            <v>€</v>
          </cell>
          <cell r="V128">
            <v>0</v>
          </cell>
          <cell r="W128" t="str">
            <v>€</v>
          </cell>
          <cell r="X128">
            <v>1961.7239999999999</v>
          </cell>
        </row>
        <row r="129">
          <cell r="A129">
            <v>338313</v>
          </cell>
          <cell r="B129" t="str">
            <v>OIGNON EMINCE Absence Listéria NON BLANCHI 2-4 MM SGL (LOI5101)</v>
          </cell>
          <cell r="C129" t="str">
            <v>ACH109</v>
          </cell>
          <cell r="D129">
            <v>71640</v>
          </cell>
          <cell r="E129" t="str">
            <v>KG</v>
          </cell>
          <cell r="F129">
            <v>0.84011725293132333</v>
          </cell>
          <cell r="G129" t="str">
            <v>€</v>
          </cell>
          <cell r="H129">
            <v>60186</v>
          </cell>
          <cell r="I129" t="str">
            <v>€</v>
          </cell>
          <cell r="J129">
            <v>1.27</v>
          </cell>
          <cell r="K129" t="str">
            <v>€</v>
          </cell>
          <cell r="L129">
            <v>90982.8</v>
          </cell>
          <cell r="M129" t="str">
            <v>€</v>
          </cell>
          <cell r="N129">
            <v>1.2</v>
          </cell>
          <cell r="O129" t="str">
            <v>€</v>
          </cell>
          <cell r="P129">
            <v>73764.306189965529</v>
          </cell>
          <cell r="Q129" t="str">
            <v>KG</v>
          </cell>
          <cell r="R129">
            <v>88517.16742795863</v>
          </cell>
          <cell r="S129" t="str">
            <v>€</v>
          </cell>
          <cell r="T129">
            <v>93680.668861256228</v>
          </cell>
          <cell r="U129" t="str">
            <v>€</v>
          </cell>
          <cell r="V129">
            <v>-5163.5014332975989</v>
          </cell>
          <cell r="W129" t="str">
            <v>€</v>
          </cell>
          <cell r="X129">
            <v>6250.107</v>
          </cell>
        </row>
        <row r="130">
          <cell r="A130">
            <v>338322</v>
          </cell>
          <cell r="B130" t="str">
            <v>OSEILLE GROS FLOCONS</v>
          </cell>
          <cell r="C130" t="str">
            <v>ACH113</v>
          </cell>
          <cell r="D130">
            <v>5044</v>
          </cell>
          <cell r="E130" t="str">
            <v>KG</v>
          </cell>
          <cell r="F130">
            <v>2.894916732751784</v>
          </cell>
          <cell r="G130" t="str">
            <v>€</v>
          </cell>
          <cell r="H130">
            <v>14601.96</v>
          </cell>
          <cell r="I130" t="str">
            <v>€</v>
          </cell>
          <cell r="J130">
            <v>2.84</v>
          </cell>
          <cell r="K130" t="str">
            <v>€</v>
          </cell>
          <cell r="L130">
            <v>14324.96</v>
          </cell>
          <cell r="M130" t="str">
            <v>€</v>
          </cell>
          <cell r="N130">
            <v>2.82</v>
          </cell>
          <cell r="O130" t="str">
            <v>€</v>
          </cell>
          <cell r="P130">
            <v>5895.2682612929111</v>
          </cell>
          <cell r="Q130" t="str">
            <v>KG</v>
          </cell>
          <cell r="R130">
            <v>16624.656496846008</v>
          </cell>
          <cell r="S130" t="str">
            <v>€</v>
          </cell>
          <cell r="T130">
            <v>16742.561862071867</v>
          </cell>
          <cell r="U130" t="str">
            <v>€</v>
          </cell>
          <cell r="V130">
            <v>-117.90536522585899</v>
          </cell>
          <cell r="W130" t="str">
            <v>€</v>
          </cell>
          <cell r="X130">
            <v>641.49900000000002</v>
          </cell>
        </row>
        <row r="131">
          <cell r="A131">
            <v>338323</v>
          </cell>
          <cell r="B131" t="str">
            <v>PANAIS BLANCHI CUBES 10X10 IQF SGL (LPG49002)</v>
          </cell>
          <cell r="C131" t="str">
            <v>ACH109</v>
          </cell>
          <cell r="D131">
            <v>2740</v>
          </cell>
          <cell r="E131" t="str">
            <v>KG</v>
          </cell>
          <cell r="F131">
            <v>1.1361313868613139</v>
          </cell>
          <cell r="G131" t="str">
            <v>€</v>
          </cell>
          <cell r="H131">
            <v>3113</v>
          </cell>
          <cell r="I131" t="str">
            <v>€</v>
          </cell>
          <cell r="J131">
            <v>1.05</v>
          </cell>
          <cell r="K131" t="str">
            <v>€</v>
          </cell>
          <cell r="L131">
            <v>2877</v>
          </cell>
          <cell r="M131" t="str">
            <v>€</v>
          </cell>
          <cell r="N131">
            <v>1.05</v>
          </cell>
          <cell r="O131" t="str">
            <v>€</v>
          </cell>
          <cell r="P131">
            <v>2911.2407815575202</v>
          </cell>
          <cell r="Q131" t="str">
            <v>KG</v>
          </cell>
          <cell r="R131">
            <v>3056.8028206353965</v>
          </cell>
          <cell r="S131" t="str">
            <v>€</v>
          </cell>
          <cell r="T131">
            <v>3056.8028206353965</v>
          </cell>
          <cell r="U131" t="str">
            <v>€</v>
          </cell>
          <cell r="V131">
            <v>0</v>
          </cell>
          <cell r="W131" t="str">
            <v>€</v>
          </cell>
          <cell r="X131">
            <v>85.36</v>
          </cell>
        </row>
        <row r="132">
          <cell r="A132">
            <v>338325</v>
          </cell>
          <cell r="B132" t="str">
            <v>PERSIL STANDARD</v>
          </cell>
          <cell r="C132" t="str">
            <v>ACH113</v>
          </cell>
          <cell r="D132">
            <v>5040</v>
          </cell>
          <cell r="E132" t="str">
            <v>KG</v>
          </cell>
          <cell r="F132">
            <v>2.335</v>
          </cell>
          <cell r="G132" t="str">
            <v>€</v>
          </cell>
          <cell r="H132">
            <v>11768.4</v>
          </cell>
          <cell r="I132" t="str">
            <v>€</v>
          </cell>
          <cell r="J132">
            <v>2.2999999999999998</v>
          </cell>
          <cell r="K132" t="str">
            <v>€</v>
          </cell>
          <cell r="L132">
            <v>11592</v>
          </cell>
          <cell r="M132" t="str">
            <v>€</v>
          </cell>
          <cell r="N132">
            <v>2.13</v>
          </cell>
          <cell r="O132" t="str">
            <v>€</v>
          </cell>
          <cell r="P132">
            <v>6058.5426441072368</v>
          </cell>
          <cell r="Q132" t="str">
            <v>KG</v>
          </cell>
          <cell r="R132">
            <v>12904.695831948413</v>
          </cell>
          <cell r="S132" t="str">
            <v>€</v>
          </cell>
          <cell r="T132">
            <v>13934.648081446643</v>
          </cell>
          <cell r="U132" t="str">
            <v>€</v>
          </cell>
          <cell r="V132">
            <v>-1029.9522494982302</v>
          </cell>
          <cell r="W132" t="str">
            <v>€</v>
          </cell>
          <cell r="X132">
            <v>715.92600000000004</v>
          </cell>
        </row>
        <row r="133">
          <cell r="A133">
            <v>338329</v>
          </cell>
          <cell r="B133" t="str">
            <v>PETITS POIS FIN BLANCHI SGL (LPP49003)</v>
          </cell>
          <cell r="C133" t="str">
            <v>ACH109</v>
          </cell>
          <cell r="D133">
            <v>34860</v>
          </cell>
          <cell r="E133" t="str">
            <v>KG</v>
          </cell>
          <cell r="F133">
            <v>1.2053700516351118</v>
          </cell>
          <cell r="G133" t="str">
            <v>€</v>
          </cell>
          <cell r="H133">
            <v>42019.199999999997</v>
          </cell>
          <cell r="I133" t="str">
            <v>€</v>
          </cell>
          <cell r="J133">
            <v>1.47</v>
          </cell>
          <cell r="K133" t="str">
            <v>€</v>
          </cell>
          <cell r="L133">
            <v>51244.2</v>
          </cell>
          <cell r="M133" t="str">
            <v>€</v>
          </cell>
          <cell r="N133">
            <v>1.28</v>
          </cell>
          <cell r="O133" t="str">
            <v>€</v>
          </cell>
          <cell r="P133">
            <v>34641.274409052392</v>
          </cell>
          <cell r="Q133" t="str">
            <v>KG</v>
          </cell>
          <cell r="R133">
            <v>44340.831243587061</v>
          </cell>
          <cell r="S133" t="str">
            <v>€</v>
          </cell>
          <cell r="T133">
            <v>50922.673381307017</v>
          </cell>
          <cell r="U133" t="str">
            <v>€</v>
          </cell>
          <cell r="V133">
            <v>-6581.8421377199556</v>
          </cell>
          <cell r="W133" t="str">
            <v>€</v>
          </cell>
          <cell r="X133">
            <v>2989.6570000000002</v>
          </cell>
        </row>
        <row r="134">
          <cell r="A134">
            <v>338330</v>
          </cell>
          <cell r="B134" t="str">
            <v>POIVRON ROUGE 10x10 IQF</v>
          </cell>
          <cell r="C134" t="str">
            <v>ACH109</v>
          </cell>
          <cell r="D134">
            <v>10080</v>
          </cell>
          <cell r="E134" t="str">
            <v>KG</v>
          </cell>
          <cell r="F134">
            <v>2.0214285714285714</v>
          </cell>
          <cell r="G134" t="str">
            <v>€</v>
          </cell>
          <cell r="H134">
            <v>20376</v>
          </cell>
          <cell r="I134" t="str">
            <v>€</v>
          </cell>
          <cell r="J134">
            <v>2.5499999999999998</v>
          </cell>
          <cell r="K134" t="str">
            <v>€</v>
          </cell>
          <cell r="L134">
            <v>25704</v>
          </cell>
          <cell r="M134" t="str">
            <v>€</v>
          </cell>
          <cell r="N134">
            <v>2.02</v>
          </cell>
          <cell r="O134" t="str">
            <v>€</v>
          </cell>
          <cell r="P134">
            <v>11081.769745986734</v>
          </cell>
          <cell r="Q134" t="str">
            <v>KG</v>
          </cell>
          <cell r="R134">
            <v>22385.174886893205</v>
          </cell>
          <cell r="S134" t="str">
            <v>€</v>
          </cell>
          <cell r="T134">
            <v>28258.512852266169</v>
          </cell>
          <cell r="U134" t="str">
            <v>€</v>
          </cell>
          <cell r="V134">
            <v>-5873.3379653729644</v>
          </cell>
          <cell r="W134" t="str">
            <v>€</v>
          </cell>
          <cell r="X134">
            <v>305.36599999999999</v>
          </cell>
        </row>
        <row r="135">
          <cell r="A135">
            <v>338331</v>
          </cell>
          <cell r="B135" t="str">
            <v>POIVRON ROUGE 20X20</v>
          </cell>
          <cell r="C135" t="str">
            <v>ACH109</v>
          </cell>
          <cell r="D135">
            <v>6580</v>
          </cell>
          <cell r="E135" t="str">
            <v>KG</v>
          </cell>
          <cell r="F135">
            <v>1.8315197568389057</v>
          </cell>
          <cell r="G135" t="str">
            <v>€</v>
          </cell>
          <cell r="H135">
            <v>12051.4</v>
          </cell>
          <cell r="I135" t="str">
            <v>€</v>
          </cell>
          <cell r="J135">
            <v>1.92</v>
          </cell>
          <cell r="K135" t="str">
            <v>€</v>
          </cell>
          <cell r="L135">
            <v>12633.6</v>
          </cell>
          <cell r="M135" t="str">
            <v>€</v>
          </cell>
          <cell r="N135">
            <v>1.92</v>
          </cell>
          <cell r="O135" t="str">
            <v>€</v>
          </cell>
          <cell r="P135">
            <v>2526.0812032046174</v>
          </cell>
          <cell r="Q135" t="str">
            <v>KG</v>
          </cell>
          <cell r="R135">
            <v>4850.0759101528656</v>
          </cell>
          <cell r="S135" t="str">
            <v>€</v>
          </cell>
          <cell r="T135">
            <v>4850.0759101528656</v>
          </cell>
          <cell r="U135" t="str">
            <v>€</v>
          </cell>
          <cell r="V135">
            <v>0</v>
          </cell>
          <cell r="W135" t="str">
            <v>€</v>
          </cell>
          <cell r="X135">
            <v>1370.0640000000001</v>
          </cell>
        </row>
        <row r="136">
          <cell r="A136">
            <v>338334</v>
          </cell>
          <cell r="B136" t="str">
            <v>POIVRON JAUNE 20*20</v>
          </cell>
          <cell r="C136" t="str">
            <v>ACH109</v>
          </cell>
          <cell r="D136">
            <v>4320</v>
          </cell>
          <cell r="E136" t="str">
            <v>KG</v>
          </cell>
          <cell r="F136">
            <v>1.875</v>
          </cell>
          <cell r="G136" t="str">
            <v>€</v>
          </cell>
          <cell r="H136">
            <v>8100</v>
          </cell>
          <cell r="I136" t="str">
            <v>€</v>
          </cell>
          <cell r="J136">
            <v>2</v>
          </cell>
          <cell r="K136" t="str">
            <v>€</v>
          </cell>
          <cell r="L136">
            <v>8640</v>
          </cell>
          <cell r="M136" t="str">
            <v>€</v>
          </cell>
          <cell r="N136">
            <v>1.55</v>
          </cell>
          <cell r="O136" t="str">
            <v>€</v>
          </cell>
          <cell r="P136">
            <v>280.52476473856211</v>
          </cell>
          <cell r="Q136" t="str">
            <v>KG</v>
          </cell>
          <cell r="R136">
            <v>434.81338534477129</v>
          </cell>
          <cell r="S136" t="str">
            <v>€</v>
          </cell>
          <cell r="T136">
            <v>561.04952947712422</v>
          </cell>
          <cell r="U136" t="str">
            <v>€</v>
          </cell>
          <cell r="V136">
            <v>-126.23614413235293</v>
          </cell>
          <cell r="W136" t="str">
            <v>€</v>
          </cell>
          <cell r="X136">
            <v>576.88</v>
          </cell>
        </row>
        <row r="137">
          <cell r="A137">
            <v>338336</v>
          </cell>
          <cell r="B137" t="str">
            <v>POIS CHICHE PRÉCUIT IQF (LPF49001)</v>
          </cell>
          <cell r="C137" t="str">
            <v>ACH109</v>
          </cell>
          <cell r="D137">
            <v>4320</v>
          </cell>
          <cell r="E137" t="str">
            <v>KG</v>
          </cell>
          <cell r="F137">
            <v>1.3666666666666667</v>
          </cell>
          <cell r="G137" t="str">
            <v>€</v>
          </cell>
          <cell r="H137">
            <v>5904</v>
          </cell>
          <cell r="I137" t="str">
            <v>€</v>
          </cell>
          <cell r="J137">
            <v>1.48</v>
          </cell>
          <cell r="K137" t="str">
            <v>€</v>
          </cell>
          <cell r="L137">
            <v>6393.6</v>
          </cell>
          <cell r="M137" t="str">
            <v>€</v>
          </cell>
          <cell r="N137">
            <v>1.37</v>
          </cell>
          <cell r="O137" t="str">
            <v>€</v>
          </cell>
          <cell r="P137">
            <v>4653.5784005217392</v>
          </cell>
          <cell r="Q137" t="str">
            <v>KG</v>
          </cell>
          <cell r="R137">
            <v>6375.4024087147836</v>
          </cell>
          <cell r="S137" t="str">
            <v>€</v>
          </cell>
          <cell r="T137">
            <v>6887.2960327721739</v>
          </cell>
          <cell r="U137" t="str">
            <v>€</v>
          </cell>
          <cell r="V137">
            <v>-511.8936240573903</v>
          </cell>
          <cell r="W137" t="str">
            <v>€</v>
          </cell>
          <cell r="X137">
            <v>426.24400000000003</v>
          </cell>
        </row>
        <row r="138">
          <cell r="A138">
            <v>338337</v>
          </cell>
          <cell r="B138" t="str">
            <v>POIVRON VERT LANIERE - PF NP IQF (LPV10003)</v>
          </cell>
          <cell r="C138" t="str">
            <v>ACH109</v>
          </cell>
          <cell r="D138">
            <v>10710</v>
          </cell>
          <cell r="E138" t="str">
            <v>KG</v>
          </cell>
          <cell r="F138">
            <v>1.7570588235294116</v>
          </cell>
          <cell r="G138" t="str">
            <v>€</v>
          </cell>
          <cell r="H138">
            <v>18818.099999999999</v>
          </cell>
          <cell r="I138" t="str">
            <v>€</v>
          </cell>
          <cell r="J138">
            <v>1.97</v>
          </cell>
          <cell r="K138" t="str">
            <v>€</v>
          </cell>
          <cell r="L138">
            <v>21098.7</v>
          </cell>
          <cell r="M138" t="str">
            <v>€</v>
          </cell>
          <cell r="N138">
            <v>1.97</v>
          </cell>
          <cell r="O138" t="str">
            <v>€</v>
          </cell>
          <cell r="P138">
            <v>8021.4745560462543</v>
          </cell>
          <cell r="Q138" t="str">
            <v>KG</v>
          </cell>
          <cell r="R138">
            <v>15802.304875411121</v>
          </cell>
          <cell r="S138" t="str">
            <v>€</v>
          </cell>
          <cell r="T138">
            <v>15802.304875411121</v>
          </cell>
          <cell r="U138" t="str">
            <v>€</v>
          </cell>
          <cell r="V138">
            <v>0</v>
          </cell>
          <cell r="W138" t="str">
            <v>€</v>
          </cell>
          <cell r="X138">
            <v>3552.18</v>
          </cell>
        </row>
        <row r="139">
          <cell r="A139">
            <v>338338</v>
          </cell>
          <cell r="B139" t="str">
            <v>POIVRON ROUGE LANIERE - PF NP</v>
          </cell>
          <cell r="C139" t="str">
            <v>ACH109</v>
          </cell>
          <cell r="D139">
            <v>58240</v>
          </cell>
          <cell r="E139" t="str">
            <v>KG</v>
          </cell>
          <cell r="F139">
            <v>1.828021978021978</v>
          </cell>
          <cell r="G139" t="str">
            <v>€</v>
          </cell>
          <cell r="H139">
            <v>106464</v>
          </cell>
          <cell r="I139" t="str">
            <v>€</v>
          </cell>
          <cell r="J139">
            <v>1.97</v>
          </cell>
          <cell r="K139" t="str">
            <v>€</v>
          </cell>
          <cell r="L139">
            <v>114732.8</v>
          </cell>
          <cell r="M139" t="str">
            <v>€</v>
          </cell>
          <cell r="N139">
            <v>1.97</v>
          </cell>
          <cell r="O139" t="str">
            <v>€</v>
          </cell>
          <cell r="P139">
            <v>57839.180979887446</v>
          </cell>
          <cell r="Q139" t="str">
            <v>KG</v>
          </cell>
          <cell r="R139">
            <v>113943.18653037827</v>
          </cell>
          <cell r="S139" t="str">
            <v>€</v>
          </cell>
          <cell r="T139">
            <v>113943.18653037827</v>
          </cell>
          <cell r="U139" t="str">
            <v>€</v>
          </cell>
          <cell r="V139">
            <v>0</v>
          </cell>
          <cell r="W139" t="str">
            <v>€</v>
          </cell>
          <cell r="X139">
            <v>5161.8760000000002</v>
          </cell>
        </row>
        <row r="140">
          <cell r="A140">
            <v>338339</v>
          </cell>
          <cell r="B140" t="str">
            <v>POIVRON JAUNE LANIERE - PF NP</v>
          </cell>
          <cell r="C140" t="str">
            <v>ACH109</v>
          </cell>
          <cell r="D140">
            <v>22810</v>
          </cell>
          <cell r="E140" t="str">
            <v>KG</v>
          </cell>
          <cell r="F140">
            <v>1.9493292415607189</v>
          </cell>
          <cell r="G140" t="str">
            <v>€</v>
          </cell>
          <cell r="H140">
            <v>44464.2</v>
          </cell>
          <cell r="I140" t="str">
            <v>€</v>
          </cell>
          <cell r="J140">
            <v>2.09</v>
          </cell>
          <cell r="K140" t="str">
            <v>€</v>
          </cell>
          <cell r="L140">
            <v>47672.899999999994</v>
          </cell>
          <cell r="M140" t="str">
            <v>€</v>
          </cell>
          <cell r="N140">
            <v>1.78</v>
          </cell>
          <cell r="O140" t="str">
            <v>€</v>
          </cell>
          <cell r="P140">
            <v>21703.605100385896</v>
          </cell>
          <cell r="Q140" t="str">
            <v>KG</v>
          </cell>
          <cell r="R140">
            <v>38632.417078686893</v>
          </cell>
          <cell r="S140" t="str">
            <v>€</v>
          </cell>
          <cell r="T140">
            <v>45360.534659806515</v>
          </cell>
          <cell r="U140" t="str">
            <v>€</v>
          </cell>
          <cell r="V140">
            <v>-6728.1175811196226</v>
          </cell>
          <cell r="W140" t="str">
            <v>€</v>
          </cell>
          <cell r="X140">
            <v>3749.6329999999998</v>
          </cell>
        </row>
        <row r="141">
          <cell r="A141">
            <v>338341</v>
          </cell>
          <cell r="B141" t="str">
            <v>POMME CUBE 10 X10 IQF</v>
          </cell>
          <cell r="C141" t="str">
            <v>ACH109</v>
          </cell>
          <cell r="D141">
            <v>260</v>
          </cell>
          <cell r="E141" t="str">
            <v>KG</v>
          </cell>
          <cell r="F141">
            <v>2.4299999999999997</v>
          </cell>
          <cell r="G141" t="str">
            <v>€</v>
          </cell>
          <cell r="H141">
            <v>631.79999999999995</v>
          </cell>
          <cell r="I141" t="str">
            <v>€</v>
          </cell>
          <cell r="J141">
            <v>2.12</v>
          </cell>
          <cell r="K141" t="str">
            <v>€</v>
          </cell>
          <cell r="L141">
            <v>551.20000000000005</v>
          </cell>
          <cell r="M141" t="str">
            <v>€</v>
          </cell>
          <cell r="O141" t="str">
            <v>€</v>
          </cell>
          <cell r="Q141" t="str">
            <v>KG</v>
          </cell>
          <cell r="S141" t="str">
            <v>€</v>
          </cell>
          <cell r="U141" t="str">
            <v>€</v>
          </cell>
          <cell r="W141" t="str">
            <v>€</v>
          </cell>
        </row>
        <row r="142">
          <cell r="A142">
            <v>338345</v>
          </cell>
          <cell r="B142" t="str">
            <v>PRUNEAUX DENOYAUTES</v>
          </cell>
          <cell r="C142" t="str">
            <v>ACH109</v>
          </cell>
          <cell r="D142">
            <v>6345</v>
          </cell>
          <cell r="E142" t="str">
            <v>KG</v>
          </cell>
          <cell r="F142">
            <v>6.1786382978723404</v>
          </cell>
          <cell r="G142" t="str">
            <v>€</v>
          </cell>
          <cell r="H142">
            <v>39203.46</v>
          </cell>
          <cell r="I142" t="str">
            <v>€</v>
          </cell>
          <cell r="J142">
            <v>6.55</v>
          </cell>
          <cell r="K142" t="str">
            <v>€</v>
          </cell>
          <cell r="L142">
            <v>41559.75</v>
          </cell>
          <cell r="M142" t="str">
            <v>€</v>
          </cell>
          <cell r="N142">
            <v>6.55</v>
          </cell>
          <cell r="O142" t="str">
            <v>€</v>
          </cell>
          <cell r="P142">
            <v>5413.5575438275364</v>
          </cell>
          <cell r="Q142" t="str">
            <v>KG</v>
          </cell>
          <cell r="R142">
            <v>35458.801912070361</v>
          </cell>
          <cell r="S142" t="str">
            <v>€</v>
          </cell>
          <cell r="T142">
            <v>35458.801912070361</v>
          </cell>
          <cell r="U142" t="str">
            <v>€</v>
          </cell>
          <cell r="V142">
            <v>0</v>
          </cell>
          <cell r="W142" t="str">
            <v>€</v>
          </cell>
          <cell r="X142">
            <v>782.54</v>
          </cell>
        </row>
        <row r="143">
          <cell r="A143">
            <v>338348</v>
          </cell>
          <cell r="B143" t="str">
            <v>THYM POINTES SGL</v>
          </cell>
          <cell r="C143" t="str">
            <v>ACH113</v>
          </cell>
          <cell r="D143">
            <v>864</v>
          </cell>
          <cell r="E143" t="str">
            <v>KG</v>
          </cell>
          <cell r="F143">
            <v>6.0837499999999993</v>
          </cell>
          <cell r="G143" t="str">
            <v>€</v>
          </cell>
          <cell r="H143">
            <v>5256.36</v>
          </cell>
          <cell r="I143" t="str">
            <v>€</v>
          </cell>
          <cell r="J143">
            <v>6.07</v>
          </cell>
          <cell r="K143" t="str">
            <v>€</v>
          </cell>
          <cell r="L143">
            <v>5244.4800000000005</v>
          </cell>
          <cell r="M143" t="str">
            <v>€</v>
          </cell>
          <cell r="N143">
            <v>6.07</v>
          </cell>
          <cell r="O143" t="str">
            <v>€</v>
          </cell>
          <cell r="P143">
            <v>990.07429788446632</v>
          </cell>
          <cell r="Q143" t="str">
            <v>KG</v>
          </cell>
          <cell r="R143">
            <v>6009.7509881587112</v>
          </cell>
          <cell r="S143" t="str">
            <v>€</v>
          </cell>
          <cell r="T143">
            <v>6009.7509881587112</v>
          </cell>
          <cell r="U143" t="str">
            <v>€</v>
          </cell>
          <cell r="V143">
            <v>0</v>
          </cell>
          <cell r="W143" t="str">
            <v>€</v>
          </cell>
          <cell r="X143">
            <v>63.588000000000001</v>
          </cell>
        </row>
        <row r="144">
          <cell r="A144">
            <v>338350</v>
          </cell>
          <cell r="B144" t="str">
            <v>TOMATES CUBES 8X8 AROMATISES IQF</v>
          </cell>
          <cell r="C144" t="str">
            <v>ACH109</v>
          </cell>
          <cell r="D144">
            <v>3200</v>
          </cell>
          <cell r="E144" t="str">
            <v>KG</v>
          </cell>
          <cell r="F144">
            <v>4.96</v>
          </cell>
          <cell r="G144" t="str">
            <v>€</v>
          </cell>
          <cell r="H144">
            <v>15872</v>
          </cell>
          <cell r="I144" t="str">
            <v>€</v>
          </cell>
          <cell r="J144">
            <v>7.99</v>
          </cell>
          <cell r="K144" t="str">
            <v>€</v>
          </cell>
          <cell r="L144">
            <v>25568</v>
          </cell>
          <cell r="M144" t="str">
            <v>€</v>
          </cell>
          <cell r="N144">
            <v>7.99</v>
          </cell>
          <cell r="O144" t="str">
            <v>€</v>
          </cell>
          <cell r="P144">
            <v>2106.6956657491455</v>
          </cell>
          <cell r="Q144" t="str">
            <v>KG</v>
          </cell>
          <cell r="R144">
            <v>16832.498369335673</v>
          </cell>
          <cell r="S144" t="str">
            <v>€</v>
          </cell>
          <cell r="T144">
            <v>16832.498369335673</v>
          </cell>
          <cell r="U144" t="str">
            <v>€</v>
          </cell>
          <cell r="V144">
            <v>0</v>
          </cell>
          <cell r="W144" t="str">
            <v>€</v>
          </cell>
          <cell r="X144">
            <v>375.83800000000002</v>
          </cell>
        </row>
        <row r="145">
          <cell r="A145">
            <v>338352</v>
          </cell>
          <cell r="B145" t="str">
            <v>TOMATES CONCASSÉES</v>
          </cell>
          <cell r="C145" t="str">
            <v>ACH109</v>
          </cell>
          <cell r="D145">
            <v>187213.79</v>
          </cell>
          <cell r="E145" t="str">
            <v>KG</v>
          </cell>
          <cell r="F145">
            <v>0.87934654813622426</v>
          </cell>
          <cell r="G145" t="str">
            <v>€</v>
          </cell>
          <cell r="H145">
            <v>164625.79999999999</v>
          </cell>
          <cell r="I145" t="str">
            <v>€</v>
          </cell>
          <cell r="J145">
            <v>0.97</v>
          </cell>
          <cell r="K145" t="str">
            <v>€</v>
          </cell>
          <cell r="L145">
            <v>181597.3763</v>
          </cell>
          <cell r="M145" t="str">
            <v>€</v>
          </cell>
          <cell r="N145">
            <v>0.96</v>
          </cell>
          <cell r="O145" t="str">
            <v>€</v>
          </cell>
          <cell r="P145">
            <v>176512.71226236277</v>
          </cell>
          <cell r="Q145" t="str">
            <v>KG</v>
          </cell>
          <cell r="R145">
            <v>169452.20377186825</v>
          </cell>
          <cell r="S145" t="str">
            <v>€</v>
          </cell>
          <cell r="T145">
            <v>171217.33089449187</v>
          </cell>
          <cell r="U145" t="str">
            <v>€</v>
          </cell>
          <cell r="V145">
            <v>-1765.1271226236131</v>
          </cell>
          <cell r="W145" t="str">
            <v>€</v>
          </cell>
          <cell r="X145">
            <v>12445.897547</v>
          </cell>
        </row>
        <row r="146">
          <cell r="A146">
            <v>338353</v>
          </cell>
          <cell r="B146" t="str">
            <v>TOMATE COULIS 10/12 BRIX</v>
          </cell>
          <cell r="C146" t="str">
            <v>ACH109</v>
          </cell>
          <cell r="D146">
            <v>21609</v>
          </cell>
          <cell r="E146" t="str">
            <v>KG</v>
          </cell>
          <cell r="F146">
            <v>1.5052876116432967</v>
          </cell>
          <cell r="G146" t="str">
            <v>€</v>
          </cell>
          <cell r="H146">
            <v>32527.759999999998</v>
          </cell>
          <cell r="I146" t="str">
            <v>€</v>
          </cell>
          <cell r="J146">
            <v>1.68</v>
          </cell>
          <cell r="K146" t="str">
            <v>€</v>
          </cell>
          <cell r="L146">
            <v>36303.119999999995</v>
          </cell>
          <cell r="M146" t="str">
            <v>€</v>
          </cell>
          <cell r="N146">
            <v>1.68</v>
          </cell>
          <cell r="O146" t="str">
            <v>€</v>
          </cell>
          <cell r="P146">
            <v>20746.182883018504</v>
          </cell>
          <cell r="Q146" t="str">
            <v>KG</v>
          </cell>
          <cell r="R146">
            <v>34853.587243471084</v>
          </cell>
          <cell r="S146" t="str">
            <v>€</v>
          </cell>
          <cell r="T146">
            <v>34853.587243471084</v>
          </cell>
          <cell r="U146" t="str">
            <v>€</v>
          </cell>
          <cell r="V146">
            <v>0</v>
          </cell>
          <cell r="W146" t="str">
            <v>€</v>
          </cell>
          <cell r="X146">
            <v>2530</v>
          </cell>
        </row>
        <row r="147">
          <cell r="A147">
            <v>338354</v>
          </cell>
          <cell r="B147" t="str">
            <v>TOMATE CONCENTRE 28/30 BRIX</v>
          </cell>
          <cell r="C147" t="str">
            <v>ACH109</v>
          </cell>
          <cell r="D147">
            <v>43202</v>
          </cell>
          <cell r="E147" t="str">
            <v>KG</v>
          </cell>
          <cell r="F147">
            <v>2.1034750705985834</v>
          </cell>
          <cell r="G147" t="str">
            <v>€</v>
          </cell>
          <cell r="H147">
            <v>90874.33</v>
          </cell>
          <cell r="I147" t="str">
            <v>€</v>
          </cell>
          <cell r="J147">
            <v>2.4300000000000002</v>
          </cell>
          <cell r="K147" t="str">
            <v>€</v>
          </cell>
          <cell r="L147">
            <v>104980.86</v>
          </cell>
          <cell r="M147" t="str">
            <v>€</v>
          </cell>
          <cell r="N147">
            <v>2.4300000000000002</v>
          </cell>
          <cell r="O147" t="str">
            <v>€</v>
          </cell>
          <cell r="P147">
            <v>45736.239621407178</v>
          </cell>
          <cell r="Q147" t="str">
            <v>KG</v>
          </cell>
          <cell r="R147">
            <v>111139.06228001945</v>
          </cell>
          <cell r="S147" t="str">
            <v>€</v>
          </cell>
          <cell r="T147">
            <v>111139.06228001945</v>
          </cell>
          <cell r="U147" t="str">
            <v>€</v>
          </cell>
          <cell r="V147">
            <v>0</v>
          </cell>
          <cell r="W147" t="str">
            <v>€</v>
          </cell>
          <cell r="X147">
            <v>2496.3559789999999</v>
          </cell>
        </row>
        <row r="148">
          <cell r="A148">
            <v>338366</v>
          </cell>
          <cell r="B148" t="str">
            <v>CAROTTES DEMI TRONCONS SURG IQF (LCA51015)</v>
          </cell>
          <cell r="C148" t="str">
            <v>ACH109</v>
          </cell>
          <cell r="D148">
            <v>23760</v>
          </cell>
          <cell r="E148" t="str">
            <v>KG</v>
          </cell>
          <cell r="F148">
            <v>1.0055050505050505</v>
          </cell>
          <cell r="G148" t="str">
            <v>€</v>
          </cell>
          <cell r="H148">
            <v>23890.799999999999</v>
          </cell>
          <cell r="I148" t="str">
            <v>€</v>
          </cell>
          <cell r="J148">
            <v>0.92</v>
          </cell>
          <cell r="K148" t="str">
            <v>€</v>
          </cell>
          <cell r="L148">
            <v>21859.200000000001</v>
          </cell>
          <cell r="M148" t="str">
            <v>€</v>
          </cell>
          <cell r="N148">
            <v>0.92</v>
          </cell>
          <cell r="O148" t="str">
            <v>€</v>
          </cell>
          <cell r="P148">
            <v>20099.137768422705</v>
          </cell>
          <cell r="Q148" t="str">
            <v>KG</v>
          </cell>
          <cell r="R148">
            <v>18491.20674694889</v>
          </cell>
          <cell r="S148" t="str">
            <v>€</v>
          </cell>
          <cell r="T148">
            <v>18491.20674694889</v>
          </cell>
          <cell r="U148" t="str">
            <v>€</v>
          </cell>
          <cell r="V148">
            <v>0</v>
          </cell>
          <cell r="W148" t="str">
            <v>€</v>
          </cell>
          <cell r="X148">
            <v>2712.6729999999998</v>
          </cell>
        </row>
        <row r="149">
          <cell r="A149">
            <v>338450</v>
          </cell>
          <cell r="B149" t="str">
            <v>TOPINAMBOUR SURG 10X10</v>
          </cell>
          <cell r="C149" t="str">
            <v>ACH109</v>
          </cell>
          <cell r="D149">
            <v>720</v>
          </cell>
          <cell r="E149" t="str">
            <v>KG</v>
          </cell>
          <cell r="F149">
            <v>2.12</v>
          </cell>
          <cell r="G149" t="str">
            <v>€</v>
          </cell>
          <cell r="H149">
            <v>1526.4</v>
          </cell>
          <cell r="I149" t="str">
            <v>€</v>
          </cell>
          <cell r="J149">
            <v>1.76</v>
          </cell>
          <cell r="K149" t="str">
            <v>€</v>
          </cell>
          <cell r="L149">
            <v>1267.2</v>
          </cell>
          <cell r="M149" t="str">
            <v>€</v>
          </cell>
          <cell r="N149">
            <v>1.76</v>
          </cell>
          <cell r="O149" t="str">
            <v>€</v>
          </cell>
          <cell r="P149">
            <v>581.14758500000005</v>
          </cell>
          <cell r="Q149" t="str">
            <v>KG</v>
          </cell>
          <cell r="R149">
            <v>1022.8197496000001</v>
          </cell>
          <cell r="S149" t="str">
            <v>€</v>
          </cell>
          <cell r="T149">
            <v>1022.8197496000001</v>
          </cell>
          <cell r="U149" t="str">
            <v>€</v>
          </cell>
          <cell r="V149">
            <v>0</v>
          </cell>
          <cell r="W149" t="str">
            <v>€</v>
          </cell>
          <cell r="X149">
            <v>93.4</v>
          </cell>
        </row>
        <row r="150">
          <cell r="A150">
            <v>338471</v>
          </cell>
          <cell r="B150" t="str">
            <v>CIBOULE  SURG TUBE IQF (OU CEBETTE/ OIGNONS DE PRINTEMPS)</v>
          </cell>
          <cell r="C150" t="str">
            <v>ACH113</v>
          </cell>
          <cell r="D150">
            <v>800</v>
          </cell>
          <cell r="E150" t="str">
            <v>KG</v>
          </cell>
          <cell r="F150">
            <v>4.256875</v>
          </cell>
          <cell r="G150" t="str">
            <v>€</v>
          </cell>
          <cell r="H150">
            <v>3405.5</v>
          </cell>
          <cell r="I150" t="str">
            <v>€</v>
          </cell>
          <cell r="J150">
            <v>4.33</v>
          </cell>
          <cell r="K150" t="str">
            <v>€</v>
          </cell>
          <cell r="L150">
            <v>3464</v>
          </cell>
          <cell r="M150" t="str">
            <v>€</v>
          </cell>
          <cell r="N150">
            <v>4.33</v>
          </cell>
          <cell r="O150" t="str">
            <v>€</v>
          </cell>
          <cell r="P150">
            <v>991.66591178232341</v>
          </cell>
          <cell r="Q150" t="str">
            <v>KG</v>
          </cell>
          <cell r="R150">
            <v>4293.9133980174602</v>
          </cell>
          <cell r="S150" t="str">
            <v>€</v>
          </cell>
          <cell r="T150">
            <v>4293.9133980174602</v>
          </cell>
          <cell r="U150" t="str">
            <v>€</v>
          </cell>
          <cell r="V150">
            <v>0</v>
          </cell>
          <cell r="W150" t="str">
            <v>€</v>
          </cell>
          <cell r="X150">
            <v>60.070999999999998</v>
          </cell>
        </row>
        <row r="151">
          <cell r="A151">
            <v>338479</v>
          </cell>
          <cell r="B151" t="str">
            <v>POIS CASSES VERTS</v>
          </cell>
          <cell r="C151" t="str">
            <v>ACH109</v>
          </cell>
          <cell r="D151">
            <v>2802.5</v>
          </cell>
          <cell r="E151" t="str">
            <v>KG</v>
          </cell>
          <cell r="F151">
            <v>1.2152471008028547</v>
          </cell>
          <cell r="G151" t="str">
            <v>€</v>
          </cell>
          <cell r="H151">
            <v>3405.73</v>
          </cell>
          <cell r="I151" t="str">
            <v>€</v>
          </cell>
          <cell r="J151">
            <v>1.1000000000000001</v>
          </cell>
          <cell r="K151" t="str">
            <v>€</v>
          </cell>
          <cell r="L151">
            <v>3082.7500000000005</v>
          </cell>
          <cell r="M151" t="str">
            <v>€</v>
          </cell>
          <cell r="O151" t="str">
            <v>€</v>
          </cell>
          <cell r="P151">
            <v>3275.5268942222224</v>
          </cell>
          <cell r="Q151" t="str">
            <v>KG</v>
          </cell>
          <cell r="S151" t="str">
            <v>€</v>
          </cell>
          <cell r="T151">
            <v>3603.0795836444449</v>
          </cell>
          <cell r="U151" t="str">
            <v>€</v>
          </cell>
          <cell r="W151" t="str">
            <v>€</v>
          </cell>
          <cell r="X151">
            <v>486.50299999999999</v>
          </cell>
        </row>
        <row r="152">
          <cell r="A152">
            <v>338527</v>
          </cell>
          <cell r="B152" t="str">
            <v>POMME DE TERRE PDT RONDE PELEE PASTEURISE</v>
          </cell>
          <cell r="C152" t="str">
            <v>ACH109</v>
          </cell>
          <cell r="D152">
            <v>34989</v>
          </cell>
          <cell r="E152" t="str">
            <v>KG</v>
          </cell>
          <cell r="F152">
            <v>1.5858369773357341</v>
          </cell>
          <cell r="G152" t="str">
            <v>€</v>
          </cell>
          <cell r="H152">
            <v>55486.85</v>
          </cell>
          <cell r="I152" t="str">
            <v>€</v>
          </cell>
          <cell r="J152">
            <v>1.1299999999999999</v>
          </cell>
          <cell r="K152" t="str">
            <v>€</v>
          </cell>
          <cell r="L152">
            <v>39537.57</v>
          </cell>
          <cell r="M152" t="str">
            <v>€</v>
          </cell>
          <cell r="N152">
            <v>1.07</v>
          </cell>
          <cell r="O152" t="str">
            <v>€</v>
          </cell>
          <cell r="P152">
            <v>31325.826335775</v>
          </cell>
          <cell r="Q152" t="str">
            <v>KG</v>
          </cell>
          <cell r="R152">
            <v>33518.634179279252</v>
          </cell>
          <cell r="S152" t="str">
            <v>€</v>
          </cell>
          <cell r="T152">
            <v>35398.183759425745</v>
          </cell>
          <cell r="U152" t="str">
            <v>€</v>
          </cell>
          <cell r="V152">
            <v>-1879.5495801464931</v>
          </cell>
          <cell r="W152" t="str">
            <v>€</v>
          </cell>
          <cell r="X152">
            <v>1719.4369999999999</v>
          </cell>
        </row>
        <row r="153">
          <cell r="A153">
            <v>339688</v>
          </cell>
          <cell r="B153" t="str">
            <v>CHATAIGNE D'EAU EMINCEES SURG DIAMETRE 20-40 MM</v>
          </cell>
          <cell r="C153" t="str">
            <v>ACH109</v>
          </cell>
          <cell r="D153">
            <v>1940</v>
          </cell>
          <cell r="E153" t="str">
            <v>KG</v>
          </cell>
          <cell r="F153">
            <v>3.67</v>
          </cell>
          <cell r="G153" t="str">
            <v>€</v>
          </cell>
          <cell r="H153">
            <v>7119.8</v>
          </cell>
          <cell r="I153" t="str">
            <v>€</v>
          </cell>
          <cell r="J153">
            <v>2.96</v>
          </cell>
          <cell r="K153" t="str">
            <v>€</v>
          </cell>
          <cell r="L153">
            <v>5742.4</v>
          </cell>
          <cell r="M153" t="str">
            <v>€</v>
          </cell>
          <cell r="N153">
            <v>2.96</v>
          </cell>
          <cell r="O153" t="str">
            <v>€</v>
          </cell>
          <cell r="P153">
            <v>2193.4771527346152</v>
          </cell>
          <cell r="Q153" t="str">
            <v>KG</v>
          </cell>
          <cell r="R153">
            <v>6492.6923720944606</v>
          </cell>
          <cell r="S153" t="str">
            <v>€</v>
          </cell>
          <cell r="T153">
            <v>6492.6923720944606</v>
          </cell>
          <cell r="U153" t="str">
            <v>€</v>
          </cell>
          <cell r="V153">
            <v>0</v>
          </cell>
          <cell r="W153" t="str">
            <v>€</v>
          </cell>
          <cell r="X153">
            <v>12.582000000000001</v>
          </cell>
        </row>
        <row r="154">
          <cell r="A154">
            <v>339690</v>
          </cell>
          <cell r="B154" t="str">
            <v>POUSSES DE HARICOTS MUNGOS</v>
          </cell>
          <cell r="C154" t="str">
            <v>ACH109</v>
          </cell>
          <cell r="D154">
            <v>200</v>
          </cell>
          <cell r="E154" t="str">
            <v>KG</v>
          </cell>
          <cell r="F154">
            <v>1.5</v>
          </cell>
          <cell r="G154" t="str">
            <v>€</v>
          </cell>
          <cell r="H154">
            <v>300</v>
          </cell>
          <cell r="I154" t="str">
            <v>€</v>
          </cell>
          <cell r="J154">
            <v>1.1299999999999999</v>
          </cell>
          <cell r="K154" t="str">
            <v>€</v>
          </cell>
          <cell r="L154">
            <v>225.99999999999997</v>
          </cell>
          <cell r="M154" t="str">
            <v>€</v>
          </cell>
          <cell r="N154">
            <v>0.75</v>
          </cell>
          <cell r="O154" t="str">
            <v>€</v>
          </cell>
          <cell r="P154">
            <v>231.90632446436575</v>
          </cell>
          <cell r="Q154" t="str">
            <v>KG</v>
          </cell>
          <cell r="R154">
            <v>173.92974334827431</v>
          </cell>
          <cell r="S154" t="str">
            <v>€</v>
          </cell>
          <cell r="T154">
            <v>262.05414664473329</v>
          </cell>
          <cell r="U154" t="str">
            <v>€</v>
          </cell>
          <cell r="V154">
            <v>-88.124403296458979</v>
          </cell>
          <cell r="W154" t="str">
            <v>€</v>
          </cell>
          <cell r="X154">
            <v>159.74</v>
          </cell>
        </row>
        <row r="155">
          <cell r="A155">
            <v>340009</v>
          </cell>
          <cell r="B155" t="str">
            <v>LEGUMES COUSCOUS (LME51003)</v>
          </cell>
          <cell r="C155" t="str">
            <v>ACH109</v>
          </cell>
          <cell r="D155">
            <v>112880</v>
          </cell>
          <cell r="E155" t="str">
            <v>KG</v>
          </cell>
          <cell r="F155">
            <v>1.0305293231750532</v>
          </cell>
          <cell r="G155" t="str">
            <v>€</v>
          </cell>
          <cell r="H155">
            <v>116326.15</v>
          </cell>
          <cell r="I155" t="str">
            <v>€</v>
          </cell>
          <cell r="J155">
            <v>1.1599999999999999</v>
          </cell>
          <cell r="K155" t="str">
            <v>€</v>
          </cell>
          <cell r="L155">
            <v>130940.79999999999</v>
          </cell>
          <cell r="M155" t="str">
            <v>€</v>
          </cell>
          <cell r="N155">
            <v>0.99</v>
          </cell>
          <cell r="O155" t="str">
            <v>€</v>
          </cell>
          <cell r="P155">
            <v>118565.41482942467</v>
          </cell>
          <cell r="Q155" t="str">
            <v>KG</v>
          </cell>
          <cell r="R155">
            <v>117379.76068113043</v>
          </cell>
          <cell r="S155" t="str">
            <v>€</v>
          </cell>
          <cell r="T155">
            <v>137535.88120213262</v>
          </cell>
          <cell r="U155" t="str">
            <v>€</v>
          </cell>
          <cell r="V155">
            <v>-20156.120521002187</v>
          </cell>
          <cell r="W155" t="str">
            <v>€</v>
          </cell>
          <cell r="X155">
            <v>7594.5439999999999</v>
          </cell>
        </row>
        <row r="156">
          <cell r="A156">
            <v>340012</v>
          </cell>
          <cell r="B156" t="str">
            <v>POIREAUX CUBE 10x10 NON BLANCHI SGL (LPE53009)</v>
          </cell>
          <cell r="C156" t="str">
            <v>ACH109</v>
          </cell>
          <cell r="D156">
            <v>6120</v>
          </cell>
          <cell r="E156" t="str">
            <v>KG</v>
          </cell>
          <cell r="F156">
            <v>0.99117647058823533</v>
          </cell>
          <cell r="G156" t="str">
            <v>€</v>
          </cell>
          <cell r="H156">
            <v>6066</v>
          </cell>
          <cell r="I156" t="str">
            <v>€</v>
          </cell>
          <cell r="J156">
            <v>1.1599999999999999</v>
          </cell>
          <cell r="K156" t="str">
            <v>€</v>
          </cell>
          <cell r="L156">
            <v>7099.2</v>
          </cell>
          <cell r="M156" t="str">
            <v>€</v>
          </cell>
          <cell r="N156">
            <v>1.1599999999999999</v>
          </cell>
          <cell r="O156" t="str">
            <v>€</v>
          </cell>
          <cell r="P156">
            <v>5700.7554605611185</v>
          </cell>
          <cell r="Q156" t="str">
            <v>KG</v>
          </cell>
          <cell r="R156">
            <v>6612.8763342508973</v>
          </cell>
          <cell r="S156" t="str">
            <v>€</v>
          </cell>
          <cell r="T156">
            <v>6612.8763342508973</v>
          </cell>
          <cell r="U156" t="str">
            <v>€</v>
          </cell>
          <cell r="V156">
            <v>0</v>
          </cell>
          <cell r="W156" t="str">
            <v>€</v>
          </cell>
          <cell r="X156">
            <v>774.51099999999997</v>
          </cell>
        </row>
        <row r="157">
          <cell r="A157">
            <v>340013</v>
          </cell>
          <cell r="B157" t="str">
            <v>POIREAUX EMINCES SURGELES 6MM 90% BLANC</v>
          </cell>
          <cell r="C157" t="str">
            <v>ACH109</v>
          </cell>
          <cell r="D157">
            <v>1980</v>
          </cell>
          <cell r="E157" t="str">
            <v>KG</v>
          </cell>
          <cell r="F157">
            <v>1.43</v>
          </cell>
          <cell r="G157" t="str">
            <v>€</v>
          </cell>
          <cell r="H157">
            <v>2831.4</v>
          </cell>
          <cell r="I157" t="str">
            <v>€</v>
          </cell>
          <cell r="J157">
            <v>1.58</v>
          </cell>
          <cell r="K157" t="str">
            <v>€</v>
          </cell>
          <cell r="L157">
            <v>3128.4</v>
          </cell>
          <cell r="M157" t="str">
            <v>€</v>
          </cell>
          <cell r="N157">
            <v>1.58</v>
          </cell>
          <cell r="O157" t="str">
            <v>€</v>
          </cell>
          <cell r="P157">
            <v>2541.5591769478906</v>
          </cell>
          <cell r="Q157" t="str">
            <v>KG</v>
          </cell>
          <cell r="R157">
            <v>4015.6634995776672</v>
          </cell>
          <cell r="S157" t="str">
            <v>€</v>
          </cell>
          <cell r="T157">
            <v>4015.6634995776672</v>
          </cell>
          <cell r="U157" t="str">
            <v>€</v>
          </cell>
          <cell r="V157">
            <v>0</v>
          </cell>
          <cell r="W157" t="str">
            <v>€</v>
          </cell>
          <cell r="X157">
            <v>371</v>
          </cell>
        </row>
        <row r="158">
          <cell r="A158">
            <v>340282</v>
          </cell>
          <cell r="B158" t="str">
            <v>CITRONNELLE EMINCEE  POUDRE NEIGE SURG</v>
          </cell>
          <cell r="C158" t="str">
            <v>ACH109</v>
          </cell>
          <cell r="D158">
            <v>70</v>
          </cell>
          <cell r="E158" t="str">
            <v>KG</v>
          </cell>
          <cell r="F158">
            <v>5.975714285714286</v>
          </cell>
          <cell r="G158" t="str">
            <v>€</v>
          </cell>
          <cell r="H158">
            <v>418.3</v>
          </cell>
          <cell r="I158" t="str">
            <v>€</v>
          </cell>
          <cell r="J158">
            <v>48.65</v>
          </cell>
          <cell r="K158" t="str">
            <v>€</v>
          </cell>
          <cell r="L158">
            <v>3405.5</v>
          </cell>
          <cell r="M158" t="str">
            <v>€</v>
          </cell>
          <cell r="N158">
            <v>6.07</v>
          </cell>
          <cell r="O158" t="str">
            <v>€</v>
          </cell>
          <cell r="P158">
            <v>79.65200429974395</v>
          </cell>
          <cell r="Q158" t="str">
            <v>KG</v>
          </cell>
          <cell r="R158">
            <v>483.48766609944579</v>
          </cell>
          <cell r="S158" t="str">
            <v>€</v>
          </cell>
          <cell r="T158">
            <v>3875.0700091825429</v>
          </cell>
          <cell r="U158" t="str">
            <v>€</v>
          </cell>
          <cell r="V158">
            <v>-3391.5823430830969</v>
          </cell>
          <cell r="W158" t="str">
            <v>€</v>
          </cell>
          <cell r="X158">
            <v>7.101</v>
          </cell>
        </row>
        <row r="159">
          <cell r="A159">
            <v>340380</v>
          </cell>
          <cell r="B159" t="str">
            <v>POMME DE TERRE 10X10X10 CUBE SURG BLANCHI FRANCE</v>
          </cell>
          <cell r="C159" t="str">
            <v>ACH109</v>
          </cell>
          <cell r="D159">
            <v>6360</v>
          </cell>
          <cell r="E159" t="str">
            <v>KG</v>
          </cell>
          <cell r="F159">
            <v>1.0416037735849057</v>
          </cell>
          <cell r="G159" t="str">
            <v>€</v>
          </cell>
          <cell r="H159">
            <v>6624.6</v>
          </cell>
          <cell r="I159" t="str">
            <v>€</v>
          </cell>
          <cell r="J159">
            <v>0.85</v>
          </cell>
          <cell r="K159" t="str">
            <v>€</v>
          </cell>
          <cell r="L159">
            <v>5406</v>
          </cell>
          <cell r="M159" t="str">
            <v>€</v>
          </cell>
          <cell r="O159" t="str">
            <v>€</v>
          </cell>
          <cell r="P159">
            <v>7736.5193416944448</v>
          </cell>
          <cell r="Q159" t="str">
            <v>KG</v>
          </cell>
          <cell r="S159" t="str">
            <v>€</v>
          </cell>
          <cell r="T159">
            <v>6576.0414404402782</v>
          </cell>
          <cell r="U159" t="str">
            <v>€</v>
          </cell>
          <cell r="W159" t="str">
            <v>€</v>
          </cell>
          <cell r="X159">
            <v>973.15</v>
          </cell>
        </row>
        <row r="160">
          <cell r="A160">
            <v>340384</v>
          </cell>
          <cell r="B160" t="str">
            <v>ABRICOTS SECS n°3</v>
          </cell>
          <cell r="C160" t="str">
            <v>ACH109</v>
          </cell>
          <cell r="D160">
            <v>2550</v>
          </cell>
          <cell r="E160" t="str">
            <v>KG</v>
          </cell>
          <cell r="F160">
            <v>9.7172549019607839</v>
          </cell>
          <cell r="G160" t="str">
            <v>€</v>
          </cell>
          <cell r="H160">
            <v>24779</v>
          </cell>
          <cell r="I160" t="str">
            <v>€</v>
          </cell>
          <cell r="J160">
            <v>13.4</v>
          </cell>
          <cell r="K160" t="str">
            <v>€</v>
          </cell>
          <cell r="L160">
            <v>34170</v>
          </cell>
          <cell r="M160" t="str">
            <v>€</v>
          </cell>
          <cell r="N160">
            <v>10.210000000000001</v>
          </cell>
          <cell r="O160" t="str">
            <v>€</v>
          </cell>
          <cell r="P160">
            <v>2244.919653078261</v>
          </cell>
          <cell r="Q160" t="str">
            <v>KG</v>
          </cell>
          <cell r="R160">
            <v>22920.629657929047</v>
          </cell>
          <cell r="S160" t="str">
            <v>€</v>
          </cell>
          <cell r="T160">
            <v>30081.923351248697</v>
          </cell>
          <cell r="U160" t="str">
            <v>€</v>
          </cell>
          <cell r="V160">
            <v>-7161.2936933196506</v>
          </cell>
          <cell r="W160" t="str">
            <v>€</v>
          </cell>
          <cell r="X160">
            <v>52.237000000000002</v>
          </cell>
        </row>
        <row r="161">
          <cell r="A161">
            <v>340386</v>
          </cell>
          <cell r="B161" t="str">
            <v>CAROTTE 10*10 BLANCHI CUBE SURG (LCA49012)</v>
          </cell>
          <cell r="C161" t="str">
            <v>ACH109</v>
          </cell>
          <cell r="D161">
            <v>4980</v>
          </cell>
          <cell r="E161" t="str">
            <v>KG</v>
          </cell>
          <cell r="F161">
            <v>0.77048192771084334</v>
          </cell>
          <cell r="G161" t="str">
            <v>€</v>
          </cell>
          <cell r="H161">
            <v>3837</v>
          </cell>
          <cell r="I161" t="str">
            <v>€</v>
          </cell>
          <cell r="J161">
            <v>0.9</v>
          </cell>
          <cell r="K161" t="str">
            <v>€</v>
          </cell>
          <cell r="L161">
            <v>4482</v>
          </cell>
          <cell r="M161" t="str">
            <v>€</v>
          </cell>
          <cell r="N161">
            <v>0</v>
          </cell>
          <cell r="O161" t="str">
            <v>€</v>
          </cell>
          <cell r="P161">
            <v>4556.9274288888892</v>
          </cell>
          <cell r="Q161" t="str">
            <v>KG</v>
          </cell>
          <cell r="R161">
            <v>0</v>
          </cell>
          <cell r="S161" t="str">
            <v>€</v>
          </cell>
          <cell r="T161">
            <v>4101.2346860000007</v>
          </cell>
          <cell r="U161" t="str">
            <v>€</v>
          </cell>
          <cell r="V161">
            <v>-4101.2346860000007</v>
          </cell>
          <cell r="W161" t="str">
            <v>€</v>
          </cell>
          <cell r="X161">
            <v>679.37</v>
          </cell>
        </row>
        <row r="162">
          <cell r="A162">
            <v>340390</v>
          </cell>
          <cell r="B162" t="str">
            <v>CELERI BRANCHE BLANCHI 26MM SGL (LCL51004)</v>
          </cell>
          <cell r="C162" t="str">
            <v>ACH109</v>
          </cell>
          <cell r="D162">
            <v>4800</v>
          </cell>
          <cell r="E162" t="str">
            <v>KG</v>
          </cell>
          <cell r="F162">
            <v>0.94612499999999988</v>
          </cell>
          <cell r="G162" t="str">
            <v>€</v>
          </cell>
          <cell r="H162">
            <v>4541.3999999999996</v>
          </cell>
          <cell r="I162" t="str">
            <v>€</v>
          </cell>
          <cell r="J162">
            <v>0.91</v>
          </cell>
          <cell r="K162" t="str">
            <v>€</v>
          </cell>
          <cell r="L162">
            <v>4368</v>
          </cell>
          <cell r="M162" t="str">
            <v>€</v>
          </cell>
          <cell r="N162">
            <v>0.91</v>
          </cell>
          <cell r="O162" t="str">
            <v>€</v>
          </cell>
          <cell r="P162">
            <v>4556.1849085217391</v>
          </cell>
          <cell r="Q162" t="str">
            <v>KG</v>
          </cell>
          <cell r="R162">
            <v>4146.128266754783</v>
          </cell>
          <cell r="S162" t="str">
            <v>€</v>
          </cell>
          <cell r="T162">
            <v>4146.128266754783</v>
          </cell>
          <cell r="U162" t="str">
            <v>€</v>
          </cell>
          <cell r="V162">
            <v>0</v>
          </cell>
          <cell r="W162" t="str">
            <v>€</v>
          </cell>
          <cell r="X162">
            <v>396.32499999999999</v>
          </cell>
        </row>
        <row r="163">
          <cell r="A163">
            <v>340395</v>
          </cell>
          <cell r="B163" t="str">
            <v>CORNICHONS RONDELLES 40/60</v>
          </cell>
          <cell r="C163" t="str">
            <v>ACH109</v>
          </cell>
          <cell r="D163">
            <v>50209</v>
          </cell>
          <cell r="E163" t="str">
            <v>KG</v>
          </cell>
          <cell r="F163">
            <v>2.1241759445517734</v>
          </cell>
          <cell r="G163" t="str">
            <v>€</v>
          </cell>
          <cell r="H163">
            <v>106652.75</v>
          </cell>
          <cell r="I163" t="str">
            <v>€</v>
          </cell>
          <cell r="J163">
            <v>2.2000000000000002</v>
          </cell>
          <cell r="K163" t="str">
            <v>€</v>
          </cell>
          <cell r="L163">
            <v>110459.8</v>
          </cell>
          <cell r="M163" t="str">
            <v>€</v>
          </cell>
          <cell r="N163">
            <v>2.02</v>
          </cell>
          <cell r="O163" t="str">
            <v>€</v>
          </cell>
          <cell r="P163">
            <v>51603.088373698294</v>
          </cell>
          <cell r="Q163" t="str">
            <v>KG</v>
          </cell>
          <cell r="R163">
            <v>104238.23851487055</v>
          </cell>
          <cell r="S163" t="str">
            <v>€</v>
          </cell>
          <cell r="T163">
            <v>113526.79442213626</v>
          </cell>
          <cell r="U163" t="str">
            <v>€</v>
          </cell>
          <cell r="V163">
            <v>-9288.5559072657052</v>
          </cell>
          <cell r="W163" t="str">
            <v>€</v>
          </cell>
          <cell r="X163">
            <v>4800</v>
          </cell>
        </row>
        <row r="164">
          <cell r="A164">
            <v>340396</v>
          </cell>
          <cell r="B164" t="str">
            <v>COURGETTE CUBE 10*10 NON BLANCHI SURG (LCR10003)</v>
          </cell>
          <cell r="C164" t="str">
            <v>ACH109</v>
          </cell>
          <cell r="D164">
            <v>8340</v>
          </cell>
          <cell r="E164" t="str">
            <v>KG</v>
          </cell>
          <cell r="F164">
            <v>0.91158273381294963</v>
          </cell>
          <cell r="G164" t="str">
            <v>€</v>
          </cell>
          <cell r="H164">
            <v>7602.6</v>
          </cell>
          <cell r="I164" t="str">
            <v>€</v>
          </cell>
          <cell r="J164">
            <v>1</v>
          </cell>
          <cell r="K164" t="str">
            <v>€</v>
          </cell>
          <cell r="L164">
            <v>8340</v>
          </cell>
          <cell r="M164" t="str">
            <v>€</v>
          </cell>
          <cell r="N164">
            <v>0.88</v>
          </cell>
          <cell r="O164" t="str">
            <v>€</v>
          </cell>
          <cell r="P164">
            <v>9075.1407816114825</v>
          </cell>
          <cell r="Q164" t="str">
            <v>KG</v>
          </cell>
          <cell r="R164">
            <v>7986.1238878181048</v>
          </cell>
          <cell r="S164" t="str">
            <v>€</v>
          </cell>
          <cell r="T164">
            <v>9075.1407816114825</v>
          </cell>
          <cell r="U164" t="str">
            <v>€</v>
          </cell>
          <cell r="V164">
            <v>-1089.0168937933777</v>
          </cell>
          <cell r="W164" t="str">
            <v>€</v>
          </cell>
          <cell r="X164">
            <v>1130.1400000000001</v>
          </cell>
        </row>
        <row r="165">
          <cell r="A165">
            <v>340397</v>
          </cell>
          <cell r="B165" t="str">
            <v>COURGETTE 1/4 ROND FRAIS</v>
          </cell>
          <cell r="C165" t="str">
            <v>ACH109</v>
          </cell>
          <cell r="D165">
            <v>9920</v>
          </cell>
          <cell r="E165" t="str">
            <v>KG</v>
          </cell>
          <cell r="F165">
            <v>2.75</v>
          </cell>
          <cell r="G165" t="str">
            <v>€</v>
          </cell>
          <cell r="H165">
            <v>27280</v>
          </cell>
          <cell r="I165" t="str">
            <v>€</v>
          </cell>
          <cell r="J165">
            <v>2.46</v>
          </cell>
          <cell r="K165" t="str">
            <v>€</v>
          </cell>
          <cell r="L165">
            <v>24403.200000000001</v>
          </cell>
          <cell r="M165" t="str">
            <v>€</v>
          </cell>
          <cell r="N165">
            <v>2.46</v>
          </cell>
          <cell r="O165" t="str">
            <v>€</v>
          </cell>
          <cell r="P165">
            <v>10200.721691304348</v>
          </cell>
          <cell r="Q165" t="str">
            <v>KG</v>
          </cell>
          <cell r="R165">
            <v>25093.775360608695</v>
          </cell>
          <cell r="S165" t="str">
            <v>€</v>
          </cell>
          <cell r="T165">
            <v>25093.775360608695</v>
          </cell>
          <cell r="U165" t="str">
            <v>€</v>
          </cell>
          <cell r="V165">
            <v>0</v>
          </cell>
          <cell r="W165" t="str">
            <v>€</v>
          </cell>
          <cell r="X165">
            <v>0</v>
          </cell>
        </row>
        <row r="166">
          <cell r="A166">
            <v>340405</v>
          </cell>
          <cell r="B166" t="str">
            <v>NAVET 1/4 ROND FRAIS</v>
          </cell>
          <cell r="C166" t="str">
            <v>ACH109</v>
          </cell>
          <cell r="D166">
            <v>5640</v>
          </cell>
          <cell r="E166" t="str">
            <v>KG</v>
          </cell>
          <cell r="F166">
            <v>2.3800000000000003</v>
          </cell>
          <cell r="G166" t="str">
            <v>€</v>
          </cell>
          <cell r="H166">
            <v>13423.2</v>
          </cell>
          <cell r="I166" t="str">
            <v>€</v>
          </cell>
          <cell r="J166">
            <v>2.17</v>
          </cell>
          <cell r="K166" t="str">
            <v>€</v>
          </cell>
          <cell r="L166">
            <v>12238.8</v>
          </cell>
          <cell r="M166" t="str">
            <v>€</v>
          </cell>
          <cell r="N166">
            <v>2.17</v>
          </cell>
          <cell r="O166" t="str">
            <v>€</v>
          </cell>
          <cell r="P166">
            <v>5695.2311356521741</v>
          </cell>
          <cell r="Q166" t="str">
            <v>KG</v>
          </cell>
          <cell r="R166">
            <v>12358.651564365216</v>
          </cell>
          <cell r="S166" t="str">
            <v>€</v>
          </cell>
          <cell r="T166">
            <v>12358.651564365216</v>
          </cell>
          <cell r="U166" t="str">
            <v>€</v>
          </cell>
          <cell r="V166">
            <v>0</v>
          </cell>
          <cell r="W166" t="str">
            <v>€</v>
          </cell>
          <cell r="X166">
            <v>0</v>
          </cell>
        </row>
        <row r="167">
          <cell r="A167">
            <v>340856</v>
          </cell>
          <cell r="B167" t="str">
            <v>OIGNON 10X10 SURGELE IQF BIO origine france</v>
          </cell>
          <cell r="C167" t="str">
            <v>ACH137</v>
          </cell>
          <cell r="D167">
            <v>200</v>
          </cell>
          <cell r="E167" t="str">
            <v>KG</v>
          </cell>
          <cell r="F167">
            <v>2.52</v>
          </cell>
          <cell r="G167" t="str">
            <v>€</v>
          </cell>
          <cell r="H167">
            <v>504</v>
          </cell>
          <cell r="I167" t="str">
            <v>€</v>
          </cell>
          <cell r="J167">
            <v>2.52</v>
          </cell>
          <cell r="K167" t="str">
            <v>€</v>
          </cell>
          <cell r="L167">
            <v>504</v>
          </cell>
          <cell r="M167" t="str">
            <v>€</v>
          </cell>
          <cell r="O167" t="str">
            <v>€</v>
          </cell>
          <cell r="P167">
            <v>100.24241000000001</v>
          </cell>
          <cell r="Q167" t="str">
            <v>KG</v>
          </cell>
          <cell r="S167" t="str">
            <v>€</v>
          </cell>
          <cell r="T167">
            <v>252.61087320000001</v>
          </cell>
          <cell r="U167" t="str">
            <v>€</v>
          </cell>
          <cell r="W167" t="str">
            <v>€</v>
          </cell>
          <cell r="X167">
            <v>185.179</v>
          </cell>
        </row>
        <row r="168">
          <cell r="A168">
            <v>341591</v>
          </cell>
          <cell r="B168" t="str">
            <v xml:space="preserve">BROCOLIS BLANCHI FLEURETTE 20-40 mm IQF </v>
          </cell>
          <cell r="C168" t="str">
            <v>ACH109</v>
          </cell>
          <cell r="D168">
            <v>6076</v>
          </cell>
          <cell r="E168" t="str">
            <v>KG</v>
          </cell>
          <cell r="F168">
            <v>1.3821066491112575</v>
          </cell>
          <cell r="G168" t="str">
            <v>€</v>
          </cell>
          <cell r="H168">
            <v>8397.68</v>
          </cell>
          <cell r="I168" t="str">
            <v>€</v>
          </cell>
          <cell r="J168">
            <v>1.67</v>
          </cell>
          <cell r="K168" t="str">
            <v>€</v>
          </cell>
          <cell r="L168">
            <v>10146.92</v>
          </cell>
          <cell r="M168" t="str">
            <v>€</v>
          </cell>
          <cell r="N168">
            <v>1.67</v>
          </cell>
          <cell r="O168" t="str">
            <v>€</v>
          </cell>
          <cell r="P168">
            <v>5853.7902636668123</v>
          </cell>
          <cell r="Q168" t="str">
            <v>KG</v>
          </cell>
          <cell r="R168">
            <v>9775.8297403235756</v>
          </cell>
          <cell r="S168" t="str">
            <v>€</v>
          </cell>
          <cell r="T168">
            <v>9775.8297403235756</v>
          </cell>
          <cell r="U168" t="str">
            <v>€</v>
          </cell>
          <cell r="V168">
            <v>0</v>
          </cell>
          <cell r="W168" t="str">
            <v>€</v>
          </cell>
          <cell r="X168">
            <v>1044.499</v>
          </cell>
        </row>
        <row r="169">
          <cell r="A169">
            <v>343107</v>
          </cell>
          <cell r="B169" t="str">
            <v>COURGE BUTTERNUT BLANCHI CUBE 10x10 IQF (LC510003)</v>
          </cell>
          <cell r="C169" t="str">
            <v>ACH109</v>
          </cell>
          <cell r="D169">
            <v>20</v>
          </cell>
          <cell r="E169" t="str">
            <v>KG</v>
          </cell>
          <cell r="F169">
            <v>1.42</v>
          </cell>
          <cell r="G169" t="str">
            <v>€</v>
          </cell>
          <cell r="H169">
            <v>28.4</v>
          </cell>
          <cell r="I169" t="str">
            <v>€</v>
          </cell>
          <cell r="J169">
            <v>3.97</v>
          </cell>
          <cell r="K169" t="str">
            <v>€</v>
          </cell>
          <cell r="L169">
            <v>79.400000000000006</v>
          </cell>
          <cell r="M169" t="str">
            <v>€</v>
          </cell>
          <cell r="O169" t="str">
            <v>€</v>
          </cell>
          <cell r="Q169" t="str">
            <v>KG</v>
          </cell>
          <cell r="S169" t="str">
            <v>€</v>
          </cell>
          <cell r="U169" t="str">
            <v>€</v>
          </cell>
          <cell r="W169" t="str">
            <v>€</v>
          </cell>
        </row>
        <row r="170">
          <cell r="A170">
            <v>343915</v>
          </cell>
          <cell r="B170" t="str">
            <v>FEVES DE SOJA BLANCHI IQF (LSO10003)</v>
          </cell>
          <cell r="C170" t="str">
            <v>ACH109</v>
          </cell>
          <cell r="D170">
            <v>9876</v>
          </cell>
          <cell r="E170" t="str">
            <v>KG</v>
          </cell>
          <cell r="F170">
            <v>2.5155589307411907</v>
          </cell>
          <cell r="G170" t="str">
            <v>€</v>
          </cell>
          <cell r="H170">
            <v>24843.66</v>
          </cell>
          <cell r="I170" t="str">
            <v>€</v>
          </cell>
          <cell r="J170">
            <v>2.58</v>
          </cell>
          <cell r="K170" t="str">
            <v>€</v>
          </cell>
          <cell r="L170">
            <v>25480.080000000002</v>
          </cell>
          <cell r="M170" t="str">
            <v>€</v>
          </cell>
          <cell r="N170">
            <v>2.58</v>
          </cell>
          <cell r="O170" t="str">
            <v>€</v>
          </cell>
          <cell r="P170">
            <v>3688.7035900344595</v>
          </cell>
          <cell r="Q170" t="str">
            <v>KG</v>
          </cell>
          <cell r="R170">
            <v>9516.8552622889056</v>
          </cell>
          <cell r="S170" t="str">
            <v>€</v>
          </cell>
          <cell r="T170">
            <v>9516.8552622889056</v>
          </cell>
          <cell r="U170" t="str">
            <v>€</v>
          </cell>
          <cell r="V170">
            <v>0</v>
          </cell>
          <cell r="W170" t="str">
            <v>€</v>
          </cell>
          <cell r="X170">
            <v>1404.71</v>
          </cell>
        </row>
        <row r="171">
          <cell r="A171">
            <v>345558</v>
          </cell>
          <cell r="B171" t="str">
            <v>COMBAWA FEUILLES SGL</v>
          </cell>
          <cell r="C171" t="str">
            <v>ACH109</v>
          </cell>
          <cell r="D171">
            <v>108</v>
          </cell>
          <cell r="E171" t="str">
            <v>KG</v>
          </cell>
          <cell r="F171">
            <v>10.623333333333333</v>
          </cell>
          <cell r="G171" t="str">
            <v>€</v>
          </cell>
          <cell r="H171">
            <v>1147.32</v>
          </cell>
          <cell r="I171" t="str">
            <v>€</v>
          </cell>
          <cell r="J171">
            <v>10.54</v>
          </cell>
          <cell r="K171" t="str">
            <v>€</v>
          </cell>
          <cell r="L171">
            <v>1138.32</v>
          </cell>
          <cell r="M171" t="str">
            <v>€</v>
          </cell>
          <cell r="N171">
            <v>9.52</v>
          </cell>
          <cell r="O171" t="str">
            <v>€</v>
          </cell>
          <cell r="P171">
            <v>87.663104713670037</v>
          </cell>
          <cell r="Q171" t="str">
            <v>KG</v>
          </cell>
          <cell r="R171">
            <v>834.55275687413871</v>
          </cell>
          <cell r="S171" t="str">
            <v>€</v>
          </cell>
          <cell r="T171">
            <v>923.96912368208211</v>
          </cell>
          <cell r="U171" t="str">
            <v>€</v>
          </cell>
          <cell r="V171">
            <v>-89.416366807943405</v>
          </cell>
          <cell r="W171" t="str">
            <v>€</v>
          </cell>
          <cell r="X171">
            <v>15.521000000000001</v>
          </cell>
        </row>
        <row r="172">
          <cell r="A172">
            <v>346662</v>
          </cell>
          <cell r="B172" t="str">
            <v>GINGEMBRE CUBE 4X4X4 CGL</v>
          </cell>
          <cell r="C172" t="str">
            <v>ACH113</v>
          </cell>
          <cell r="D172">
            <v>3940</v>
          </cell>
          <cell r="E172" t="str">
            <v>KG</v>
          </cell>
          <cell r="F172">
            <v>4.3694416243654821</v>
          </cell>
          <cell r="G172" t="str">
            <v>€</v>
          </cell>
          <cell r="H172">
            <v>17215.599999999999</v>
          </cell>
          <cell r="I172" t="str">
            <v>€</v>
          </cell>
          <cell r="J172">
            <v>4.1900000000000004</v>
          </cell>
          <cell r="K172" t="str">
            <v>€</v>
          </cell>
          <cell r="L172">
            <v>16508.600000000002</v>
          </cell>
          <cell r="M172" t="str">
            <v>€</v>
          </cell>
          <cell r="N172">
            <v>4.09</v>
          </cell>
          <cell r="O172" t="str">
            <v>€</v>
          </cell>
          <cell r="P172">
            <v>4119.9635652659936</v>
          </cell>
          <cell r="Q172" t="str">
            <v>KG</v>
          </cell>
          <cell r="R172">
            <v>16850.650981937913</v>
          </cell>
          <cell r="S172" t="str">
            <v>€</v>
          </cell>
          <cell r="T172">
            <v>17262.647338464514</v>
          </cell>
          <cell r="U172" t="str">
            <v>€</v>
          </cell>
          <cell r="V172">
            <v>-411.99635652660072</v>
          </cell>
          <cell r="W172" t="str">
            <v>€</v>
          </cell>
          <cell r="X172">
            <v>246.41200000000001</v>
          </cell>
        </row>
        <row r="173">
          <cell r="A173">
            <v>347068</v>
          </cell>
          <cell r="B173" t="str">
            <v>OLIVE ENTIERE DENOYAUTE (sans gluco)</v>
          </cell>
          <cell r="C173" t="str">
            <v>ACH109</v>
          </cell>
          <cell r="D173">
            <v>4220</v>
          </cell>
          <cell r="E173" t="str">
            <v>KG</v>
          </cell>
          <cell r="F173">
            <v>3.4419431279620851</v>
          </cell>
          <cell r="G173" t="str">
            <v>€</v>
          </cell>
          <cell r="H173">
            <v>14525</v>
          </cell>
          <cell r="I173" t="str">
            <v>€</v>
          </cell>
          <cell r="J173">
            <v>4.5</v>
          </cell>
          <cell r="K173" t="str">
            <v>€</v>
          </cell>
          <cell r="L173">
            <v>18990</v>
          </cell>
          <cell r="M173" t="str">
            <v>€</v>
          </cell>
          <cell r="N173">
            <v>4.5</v>
          </cell>
          <cell r="O173" t="str">
            <v>€</v>
          </cell>
          <cell r="P173">
            <v>3503.197483007893</v>
          </cell>
          <cell r="Q173" t="str">
            <v>KG</v>
          </cell>
          <cell r="R173">
            <v>15764.388673535519</v>
          </cell>
          <cell r="S173" t="str">
            <v>€</v>
          </cell>
          <cell r="T173">
            <v>15764.388673535519</v>
          </cell>
          <cell r="U173" t="str">
            <v>€</v>
          </cell>
          <cell r="V173">
            <v>0</v>
          </cell>
          <cell r="W173" t="str">
            <v>€</v>
          </cell>
          <cell r="X173">
            <v>745.31700000000001</v>
          </cell>
        </row>
        <row r="174">
          <cell r="A174">
            <v>347199</v>
          </cell>
          <cell r="B174" t="str">
            <v xml:space="preserve">ZESTE CITRON JAUNE LANIERE IQF </v>
          </cell>
          <cell r="C174" t="str">
            <v>ACH109</v>
          </cell>
          <cell r="D174">
            <v>490</v>
          </cell>
          <cell r="E174" t="str">
            <v>KG</v>
          </cell>
          <cell r="F174">
            <v>9.6277551020408172</v>
          </cell>
          <cell r="G174" t="str">
            <v>€</v>
          </cell>
          <cell r="H174">
            <v>4717.6000000000004</v>
          </cell>
          <cell r="I174" t="str">
            <v>€</v>
          </cell>
          <cell r="J174">
            <v>9.51</v>
          </cell>
          <cell r="K174" t="str">
            <v>€</v>
          </cell>
          <cell r="L174">
            <v>4659.8999999999996</v>
          </cell>
          <cell r="M174" t="str">
            <v>€</v>
          </cell>
          <cell r="N174">
            <v>9.42</v>
          </cell>
          <cell r="O174" t="str">
            <v>€</v>
          </cell>
          <cell r="P174">
            <v>410.83824782125606</v>
          </cell>
          <cell r="Q174" t="str">
            <v>KG</v>
          </cell>
          <cell r="R174">
            <v>3870.0962944762323</v>
          </cell>
          <cell r="S174" t="str">
            <v>€</v>
          </cell>
          <cell r="T174">
            <v>3907.0717367801449</v>
          </cell>
          <cell r="U174" t="str">
            <v>€</v>
          </cell>
          <cell r="V174">
            <v>-36.975442303912587</v>
          </cell>
          <cell r="W174" t="str">
            <v>€</v>
          </cell>
          <cell r="X174">
            <v>39.58</v>
          </cell>
        </row>
        <row r="175">
          <cell r="A175">
            <v>347200</v>
          </cell>
          <cell r="B175" t="str">
            <v xml:space="preserve">RAISIN GOLDEN CHOISE AFS </v>
          </cell>
          <cell r="C175" t="str">
            <v>ACH109</v>
          </cell>
          <cell r="D175">
            <v>6410</v>
          </cell>
          <cell r="E175" t="str">
            <v>KG</v>
          </cell>
          <cell r="F175">
            <v>3.7291731669266772</v>
          </cell>
          <cell r="G175" t="str">
            <v>€</v>
          </cell>
          <cell r="H175">
            <v>23904</v>
          </cell>
          <cell r="I175" t="str">
            <v>€</v>
          </cell>
          <cell r="J175">
            <v>3.7</v>
          </cell>
          <cell r="K175" t="str">
            <v>€</v>
          </cell>
          <cell r="L175">
            <v>23717</v>
          </cell>
          <cell r="M175" t="str">
            <v>€</v>
          </cell>
          <cell r="N175">
            <v>3.7</v>
          </cell>
          <cell r="O175" t="str">
            <v>€</v>
          </cell>
          <cell r="P175">
            <v>7300.8100990885077</v>
          </cell>
          <cell r="Q175" t="str">
            <v>KG</v>
          </cell>
          <cell r="R175">
            <v>27012.997366627478</v>
          </cell>
          <cell r="S175" t="str">
            <v>€</v>
          </cell>
          <cell r="T175">
            <v>27012.997366627478</v>
          </cell>
          <cell r="U175" t="str">
            <v>€</v>
          </cell>
          <cell r="V175">
            <v>0</v>
          </cell>
          <cell r="W175" t="str">
            <v>€</v>
          </cell>
          <cell r="X175">
            <v>276.88203299999998</v>
          </cell>
        </row>
        <row r="176">
          <cell r="A176">
            <v>347203</v>
          </cell>
          <cell r="B176" t="str">
            <v xml:space="preserve">OIGNON QUARTIER FRAIS </v>
          </cell>
          <cell r="C176" t="str">
            <v>ACH109</v>
          </cell>
          <cell r="D176">
            <v>4940</v>
          </cell>
          <cell r="E176" t="str">
            <v>KG</v>
          </cell>
          <cell r="F176">
            <v>3.3</v>
          </cell>
          <cell r="G176" t="str">
            <v>€</v>
          </cell>
          <cell r="H176">
            <v>16302</v>
          </cell>
          <cell r="I176" t="str">
            <v>€</v>
          </cell>
          <cell r="J176">
            <v>3.6</v>
          </cell>
          <cell r="K176" t="str">
            <v>€</v>
          </cell>
          <cell r="L176">
            <v>17784</v>
          </cell>
          <cell r="M176" t="str">
            <v>€</v>
          </cell>
          <cell r="N176">
            <v>3.22</v>
          </cell>
          <cell r="O176" t="str">
            <v>€</v>
          </cell>
          <cell r="P176">
            <v>5100.360794086957</v>
          </cell>
          <cell r="Q176" t="str">
            <v>KG</v>
          </cell>
          <cell r="R176">
            <v>16423.161756960002</v>
          </cell>
          <cell r="S176" t="str">
            <v>€</v>
          </cell>
          <cell r="T176">
            <v>18361.298858713046</v>
          </cell>
          <cell r="U176" t="str">
            <v>€</v>
          </cell>
          <cell r="V176">
            <v>-1938.1371017530437</v>
          </cell>
          <cell r="W176" t="str">
            <v>€</v>
          </cell>
          <cell r="X176">
            <v>0</v>
          </cell>
        </row>
        <row r="177">
          <cell r="A177">
            <v>347216</v>
          </cell>
          <cell r="B177" t="str">
            <v>PUREE DE TAMARIN (3x6kg)</v>
          </cell>
          <cell r="C177" t="str">
            <v>ACH113</v>
          </cell>
          <cell r="D177">
            <v>91</v>
          </cell>
          <cell r="E177" t="str">
            <v>KG</v>
          </cell>
          <cell r="F177">
            <v>6.3736263736263732</v>
          </cell>
          <cell r="G177" t="str">
            <v>€</v>
          </cell>
          <cell r="H177">
            <v>580</v>
          </cell>
          <cell r="I177" t="str">
            <v>€</v>
          </cell>
          <cell r="J177">
            <v>6.45</v>
          </cell>
          <cell r="K177" t="str">
            <v>€</v>
          </cell>
          <cell r="L177">
            <v>586.95000000000005</v>
          </cell>
          <cell r="M177" t="str">
            <v>€</v>
          </cell>
          <cell r="N177">
            <v>6.45</v>
          </cell>
          <cell r="O177" t="str">
            <v>€</v>
          </cell>
          <cell r="P177">
            <v>71.235441927438544</v>
          </cell>
          <cell r="Q177" t="str">
            <v>KG</v>
          </cell>
          <cell r="R177">
            <v>459.46860043197864</v>
          </cell>
          <cell r="S177" t="str">
            <v>€</v>
          </cell>
          <cell r="T177">
            <v>459.46860043197864</v>
          </cell>
          <cell r="U177" t="str">
            <v>€</v>
          </cell>
          <cell r="V177">
            <v>0</v>
          </cell>
          <cell r="W177" t="str">
            <v>€</v>
          </cell>
          <cell r="X177">
            <v>36</v>
          </cell>
        </row>
        <row r="178">
          <cell r="A178">
            <v>347273</v>
          </cell>
          <cell r="B178" t="str">
            <v>ABRICOT CONFITURE 35% boite 5kg</v>
          </cell>
          <cell r="C178" t="str">
            <v>ACH109</v>
          </cell>
          <cell r="D178">
            <v>320</v>
          </cell>
          <cell r="E178" t="str">
            <v>KG</v>
          </cell>
          <cell r="F178">
            <v>4.3301875000000001</v>
          </cell>
          <cell r="G178" t="str">
            <v>€</v>
          </cell>
          <cell r="H178">
            <v>1385.66</v>
          </cell>
          <cell r="I178" t="str">
            <v>€</v>
          </cell>
          <cell r="J178">
            <v>4.1900000000000004</v>
          </cell>
          <cell r="K178" t="str">
            <v>€</v>
          </cell>
          <cell r="L178">
            <v>1340.8000000000002</v>
          </cell>
          <cell r="M178" t="str">
            <v>€</v>
          </cell>
          <cell r="N178">
            <v>4.1900000000000004</v>
          </cell>
          <cell r="O178" t="str">
            <v>€</v>
          </cell>
          <cell r="P178">
            <v>265.20915359321452</v>
          </cell>
          <cell r="Q178" t="str">
            <v>KG</v>
          </cell>
          <cell r="R178">
            <v>1111.2263535555689</v>
          </cell>
          <cell r="S178" t="str">
            <v>€</v>
          </cell>
          <cell r="T178">
            <v>1111.2263535555689</v>
          </cell>
          <cell r="U178" t="str">
            <v>€</v>
          </cell>
          <cell r="V178">
            <v>0</v>
          </cell>
          <cell r="W178" t="str">
            <v>€</v>
          </cell>
          <cell r="X178">
            <v>10</v>
          </cell>
        </row>
        <row r="179">
          <cell r="A179">
            <v>348562</v>
          </cell>
          <cell r="B179" t="str">
            <v>CAROTTE BISEAU 8-12 FLASH PASTE ORIGINE FRANCE</v>
          </cell>
          <cell r="C179" t="str">
            <v>ACH109</v>
          </cell>
          <cell r="D179">
            <v>2413</v>
          </cell>
          <cell r="E179" t="str">
            <v>KG</v>
          </cell>
          <cell r="F179">
            <v>3.6298922503108164</v>
          </cell>
          <cell r="G179" t="str">
            <v>€</v>
          </cell>
          <cell r="H179">
            <v>8758.93</v>
          </cell>
          <cell r="I179" t="str">
            <v>€</v>
          </cell>
          <cell r="J179">
            <v>3.95</v>
          </cell>
          <cell r="K179" t="str">
            <v>€</v>
          </cell>
          <cell r="L179">
            <v>9531.35</v>
          </cell>
          <cell r="M179" t="str">
            <v>€</v>
          </cell>
          <cell r="O179" t="str">
            <v>€</v>
          </cell>
          <cell r="Q179" t="str">
            <v>KG</v>
          </cell>
          <cell r="S179" t="str">
            <v>€</v>
          </cell>
          <cell r="U179" t="str">
            <v>€</v>
          </cell>
          <cell r="W179" t="str">
            <v>€</v>
          </cell>
        </row>
        <row r="180">
          <cell r="A180">
            <v>348565</v>
          </cell>
          <cell r="B180" t="str">
            <v xml:space="preserve">CHOU CHINOIS EMINCES </v>
          </cell>
          <cell r="C180" t="str">
            <v>ACH109</v>
          </cell>
          <cell r="D180">
            <v>912</v>
          </cell>
          <cell r="E180" t="str">
            <v>KG</v>
          </cell>
          <cell r="F180">
            <v>3</v>
          </cell>
          <cell r="G180" t="str">
            <v>€</v>
          </cell>
          <cell r="H180">
            <v>2736</v>
          </cell>
          <cell r="I180" t="str">
            <v>€</v>
          </cell>
          <cell r="J180">
            <v>4.1500000000000004</v>
          </cell>
          <cell r="K180" t="str">
            <v>€</v>
          </cell>
          <cell r="L180">
            <v>3784.8</v>
          </cell>
          <cell r="M180" t="str">
            <v>€</v>
          </cell>
          <cell r="N180">
            <v>4.1500000000000004</v>
          </cell>
          <cell r="O180" t="str">
            <v>€</v>
          </cell>
          <cell r="P180">
            <v>758.55512236571508</v>
          </cell>
          <cell r="Q180" t="str">
            <v>KG</v>
          </cell>
          <cell r="R180">
            <v>3148.003757817718</v>
          </cell>
          <cell r="S180" t="str">
            <v>€</v>
          </cell>
          <cell r="T180">
            <v>3148.003757817718</v>
          </cell>
          <cell r="U180" t="str">
            <v>€</v>
          </cell>
          <cell r="V180">
            <v>0</v>
          </cell>
          <cell r="W180" t="str">
            <v>€</v>
          </cell>
        </row>
        <row r="181">
          <cell r="A181">
            <v>350002</v>
          </cell>
          <cell r="B181" t="str">
            <v>CAROTTE CUBE 10X10 BIO SURGELEES origine france</v>
          </cell>
          <cell r="C181" t="str">
            <v>ACH137</v>
          </cell>
          <cell r="D181">
            <v>1740</v>
          </cell>
          <cell r="E181" t="str">
            <v>KG</v>
          </cell>
          <cell r="F181">
            <v>1.1113793103448275</v>
          </cell>
          <cell r="G181" t="str">
            <v>€</v>
          </cell>
          <cell r="H181">
            <v>1933.8</v>
          </cell>
          <cell r="I181" t="str">
            <v>€</v>
          </cell>
          <cell r="J181">
            <v>1.7</v>
          </cell>
          <cell r="K181" t="str">
            <v>€</v>
          </cell>
          <cell r="L181">
            <v>2958</v>
          </cell>
          <cell r="M181" t="str">
            <v>€</v>
          </cell>
          <cell r="N181">
            <v>1.33</v>
          </cell>
          <cell r="O181" t="str">
            <v>€</v>
          </cell>
          <cell r="P181">
            <v>3406.69641</v>
          </cell>
          <cell r="Q181" t="str">
            <v>KG</v>
          </cell>
          <cell r="R181">
            <v>4530.9062253000002</v>
          </cell>
          <cell r="S181" t="str">
            <v>€</v>
          </cell>
          <cell r="T181">
            <v>5791.3838969999997</v>
          </cell>
          <cell r="U181" t="str">
            <v>€</v>
          </cell>
          <cell r="V181">
            <v>-1260.4776716999995</v>
          </cell>
          <cell r="W181" t="str">
            <v>€</v>
          </cell>
          <cell r="X181">
            <v>1265.1500000000001</v>
          </cell>
        </row>
        <row r="182">
          <cell r="A182">
            <v>350013</v>
          </cell>
          <cell r="B182" t="str">
            <v>BROCOLIS BIO SURGELES fleurettes origine france</v>
          </cell>
          <cell r="C182" t="str">
            <v>ACH137</v>
          </cell>
          <cell r="D182">
            <v>1575</v>
          </cell>
          <cell r="E182" t="str">
            <v>KG</v>
          </cell>
          <cell r="F182">
            <v>1.7337142857142858</v>
          </cell>
          <cell r="G182" t="str">
            <v>€</v>
          </cell>
          <cell r="H182">
            <v>2730.6</v>
          </cell>
          <cell r="I182" t="str">
            <v>€</v>
          </cell>
          <cell r="J182">
            <v>1.5</v>
          </cell>
          <cell r="K182" t="str">
            <v>€</v>
          </cell>
          <cell r="L182">
            <v>2362.5</v>
          </cell>
          <cell r="M182" t="str">
            <v>€</v>
          </cell>
          <cell r="O182" t="str">
            <v>€</v>
          </cell>
          <cell r="P182">
            <v>5304.2063066666669</v>
          </cell>
          <cell r="Q182" t="str">
            <v>KG</v>
          </cell>
          <cell r="S182" t="str">
            <v>€</v>
          </cell>
          <cell r="T182">
            <v>7956.3094600000004</v>
          </cell>
          <cell r="U182" t="str">
            <v>€</v>
          </cell>
          <cell r="W182" t="str">
            <v>€</v>
          </cell>
          <cell r="X182">
            <v>766.64400000000001</v>
          </cell>
        </row>
        <row r="183">
          <cell r="A183">
            <v>350023</v>
          </cell>
          <cell r="B183" t="str">
            <v>POMMES DE TERRE CUBE BIO SURGELEES  IQF  origine france</v>
          </cell>
          <cell r="C183" t="str">
            <v>ACH136</v>
          </cell>
          <cell r="D183">
            <v>360</v>
          </cell>
          <cell r="E183" t="str">
            <v>KG</v>
          </cell>
          <cell r="F183">
            <v>0.95</v>
          </cell>
          <cell r="G183" t="str">
            <v>€</v>
          </cell>
          <cell r="H183">
            <v>342</v>
          </cell>
          <cell r="I183" t="str">
            <v>€</v>
          </cell>
          <cell r="J183">
            <v>0.95</v>
          </cell>
          <cell r="K183" t="str">
            <v>€</v>
          </cell>
          <cell r="L183">
            <v>342</v>
          </cell>
          <cell r="M183" t="str">
            <v>€</v>
          </cell>
          <cell r="O183" t="str">
            <v>€</v>
          </cell>
          <cell r="P183">
            <v>1328.2908091666666</v>
          </cell>
          <cell r="Q183" t="str">
            <v>KG</v>
          </cell>
          <cell r="S183" t="str">
            <v>€</v>
          </cell>
          <cell r="T183">
            <v>1261.8762687083331</v>
          </cell>
          <cell r="U183" t="str">
            <v>€</v>
          </cell>
          <cell r="W183" t="str">
            <v>€</v>
          </cell>
          <cell r="X183">
            <v>160.32599999999999</v>
          </cell>
        </row>
        <row r="184">
          <cell r="A184">
            <v>360401</v>
          </cell>
          <cell r="B184" t="str">
            <v>MAIS DOUX GRAIN SV 3/1 PRIMANCE 1.775KG</v>
          </cell>
          <cell r="C184" t="str">
            <v>ACH109</v>
          </cell>
          <cell r="D184">
            <v>216.55</v>
          </cell>
          <cell r="E184" t="str">
            <v>KG</v>
          </cell>
          <cell r="F184">
            <v>3.2739782960055415</v>
          </cell>
          <cell r="G184" t="str">
            <v>€</v>
          </cell>
          <cell r="H184">
            <v>708.98</v>
          </cell>
          <cell r="I184" t="str">
            <v>€</v>
          </cell>
          <cell r="J184">
            <v>2.93</v>
          </cell>
          <cell r="K184" t="str">
            <v>€</v>
          </cell>
          <cell r="L184">
            <v>634.49150000000009</v>
          </cell>
          <cell r="M184" t="str">
            <v>€</v>
          </cell>
          <cell r="N184">
            <v>2.93</v>
          </cell>
          <cell r="O184" t="str">
            <v>€</v>
          </cell>
          <cell r="P184">
            <v>188.27728153846155</v>
          </cell>
          <cell r="Q184" t="str">
            <v>KG</v>
          </cell>
          <cell r="R184">
            <v>551.6524349076924</v>
          </cell>
          <cell r="S184" t="str">
            <v>€</v>
          </cell>
          <cell r="T184">
            <v>551.6524349076924</v>
          </cell>
          <cell r="U184" t="str">
            <v>€</v>
          </cell>
          <cell r="V184">
            <v>0</v>
          </cell>
          <cell r="W184" t="str">
            <v>€</v>
          </cell>
          <cell r="X184">
            <v>8.8581889999999994</v>
          </cell>
        </row>
        <row r="185">
          <cell r="A185">
            <v>360403</v>
          </cell>
          <cell r="B185" t="str">
            <v>NAVET BLANCHI CUBE 10*10 SGL</v>
          </cell>
          <cell r="C185" t="str">
            <v>ACH109</v>
          </cell>
          <cell r="D185">
            <v>7200</v>
          </cell>
          <cell r="E185" t="str">
            <v>KG</v>
          </cell>
          <cell r="F185">
            <v>0.81400000000000006</v>
          </cell>
          <cell r="G185" t="str">
            <v>€</v>
          </cell>
          <cell r="H185">
            <v>5860.8</v>
          </cell>
          <cell r="I185" t="str">
            <v>€</v>
          </cell>
          <cell r="J185">
            <v>6</v>
          </cell>
          <cell r="K185" t="str">
            <v>€</v>
          </cell>
          <cell r="L185">
            <v>43200</v>
          </cell>
          <cell r="M185" t="str">
            <v>€</v>
          </cell>
          <cell r="N185">
            <v>0.83</v>
          </cell>
          <cell r="O185" t="str">
            <v>€</v>
          </cell>
          <cell r="P185">
            <v>7029.8806190444184</v>
          </cell>
          <cell r="Q185" t="str">
            <v>KG</v>
          </cell>
          <cell r="R185">
            <v>5834.8009138068674</v>
          </cell>
          <cell r="S185" t="str">
            <v>€</v>
          </cell>
          <cell r="T185">
            <v>42179.283714266508</v>
          </cell>
          <cell r="U185" t="str">
            <v>€</v>
          </cell>
          <cell r="V185">
            <v>-36344.482800459642</v>
          </cell>
          <cell r="W185" t="str">
            <v>€</v>
          </cell>
          <cell r="X185">
            <v>1187.6210000000001</v>
          </cell>
        </row>
        <row r="186">
          <cell r="A186">
            <v>360409</v>
          </cell>
          <cell r="B186" t="str">
            <v>ROSTI DE POMME DE TERRE EN GALETTE 30 G</v>
          </cell>
          <cell r="C186" t="str">
            <v>ACH109</v>
          </cell>
          <cell r="D186">
            <v>9181</v>
          </cell>
          <cell r="E186" t="str">
            <v>KG</v>
          </cell>
          <cell r="F186">
            <v>1.9266528700577277</v>
          </cell>
          <cell r="G186" t="str">
            <v>€</v>
          </cell>
          <cell r="H186">
            <v>17688.599999999999</v>
          </cell>
          <cell r="I186" t="str">
            <v>€</v>
          </cell>
          <cell r="J186">
            <v>1.9</v>
          </cell>
          <cell r="K186" t="str">
            <v>€</v>
          </cell>
          <cell r="L186">
            <v>17443.899999999998</v>
          </cell>
          <cell r="M186" t="str">
            <v>€</v>
          </cell>
          <cell r="N186">
            <v>1.9</v>
          </cell>
          <cell r="O186" t="str">
            <v>€</v>
          </cell>
          <cell r="P186">
            <v>3925.8222668076924</v>
          </cell>
          <cell r="Q186" t="str">
            <v>KG</v>
          </cell>
          <cell r="R186">
            <v>7459.0623069346148</v>
          </cell>
          <cell r="S186" t="str">
            <v>€</v>
          </cell>
          <cell r="T186">
            <v>7459.0623069346148</v>
          </cell>
          <cell r="U186" t="str">
            <v>€</v>
          </cell>
          <cell r="V186">
            <v>0</v>
          </cell>
          <cell r="W186" t="str">
            <v>€</v>
          </cell>
          <cell r="X186">
            <v>501.89800000000002</v>
          </cell>
        </row>
        <row r="187">
          <cell r="A187">
            <v>360410</v>
          </cell>
          <cell r="B187" t="str">
            <v>PDT RONDELLE 5/7 SAUTEE TOURNESOL SGL 55A</v>
          </cell>
          <cell r="C187" t="str">
            <v>ACH109</v>
          </cell>
          <cell r="D187">
            <v>68310</v>
          </cell>
          <cell r="E187" t="str">
            <v>KG</v>
          </cell>
          <cell r="F187">
            <v>1.6276811594202898</v>
          </cell>
          <cell r="G187" t="str">
            <v>€</v>
          </cell>
          <cell r="H187">
            <v>111186.9</v>
          </cell>
          <cell r="I187" t="str">
            <v>€</v>
          </cell>
          <cell r="J187">
            <v>1.8</v>
          </cell>
          <cell r="K187" t="str">
            <v>€</v>
          </cell>
          <cell r="L187">
            <v>122958</v>
          </cell>
          <cell r="M187" t="str">
            <v>€</v>
          </cell>
          <cell r="N187">
            <v>1.8</v>
          </cell>
          <cell r="O187" t="str">
            <v>€</v>
          </cell>
          <cell r="P187">
            <v>88489.81736078432</v>
          </cell>
          <cell r="Q187" t="str">
            <v>KG</v>
          </cell>
          <cell r="R187">
            <v>159281.67124941177</v>
          </cell>
          <cell r="S187" t="str">
            <v>€</v>
          </cell>
          <cell r="T187">
            <v>159281.67124941177</v>
          </cell>
          <cell r="U187" t="str">
            <v>€</v>
          </cell>
          <cell r="V187">
            <v>0</v>
          </cell>
          <cell r="W187" t="str">
            <v>€</v>
          </cell>
          <cell r="X187">
            <v>7708.0649999999996</v>
          </cell>
        </row>
        <row r="188">
          <cell r="A188">
            <v>360414</v>
          </cell>
          <cell r="B188" t="str">
            <v>PATATE DOUCE CUBE 20X20X20 IQF</v>
          </cell>
          <cell r="C188" t="str">
            <v>ACH109</v>
          </cell>
          <cell r="D188">
            <v>6480</v>
          </cell>
          <cell r="E188" t="str">
            <v>KG</v>
          </cell>
          <cell r="F188">
            <v>1.2344444444444445</v>
          </cell>
          <cell r="G188" t="str">
            <v>€</v>
          </cell>
          <cell r="H188">
            <v>7999.2</v>
          </cell>
          <cell r="I188" t="str">
            <v>€</v>
          </cell>
          <cell r="J188">
            <v>1.51</v>
          </cell>
          <cell r="K188" t="str">
            <v>€</v>
          </cell>
          <cell r="L188">
            <v>9784.7999999999993</v>
          </cell>
          <cell r="M188" t="str">
            <v>€</v>
          </cell>
          <cell r="N188">
            <v>1.51</v>
          </cell>
          <cell r="O188" t="str">
            <v>€</v>
          </cell>
          <cell r="P188">
            <v>6643.8427458333335</v>
          </cell>
          <cell r="Q188" t="str">
            <v>KG</v>
          </cell>
          <cell r="R188">
            <v>10032.202546208333</v>
          </cell>
          <cell r="S188" t="str">
            <v>€</v>
          </cell>
          <cell r="T188">
            <v>10032.202546208333</v>
          </cell>
          <cell r="U188" t="str">
            <v>€</v>
          </cell>
          <cell r="V188">
            <v>0</v>
          </cell>
          <cell r="W188" t="str">
            <v>€</v>
          </cell>
          <cell r="X188">
            <v>1337</v>
          </cell>
        </row>
        <row r="189">
          <cell r="A189">
            <v>360469</v>
          </cell>
          <cell r="B189" t="str">
            <v>PDT RUSTIQUE WEDGE POMME DE TERRE FRANCE stag</v>
          </cell>
          <cell r="C189" t="str">
            <v>ACH109</v>
          </cell>
          <cell r="D189">
            <v>9125</v>
          </cell>
          <cell r="E189" t="str">
            <v>KG</v>
          </cell>
          <cell r="F189">
            <v>2.8996821917808218</v>
          </cell>
          <cell r="G189" t="str">
            <v>€</v>
          </cell>
          <cell r="H189">
            <v>26459.599999999999</v>
          </cell>
          <cell r="I189" t="str">
            <v>€</v>
          </cell>
          <cell r="J189">
            <v>2.95</v>
          </cell>
          <cell r="K189" t="str">
            <v>€</v>
          </cell>
          <cell r="L189">
            <v>26918.75</v>
          </cell>
          <cell r="M189" t="str">
            <v>€</v>
          </cell>
          <cell r="O189" t="str">
            <v>€</v>
          </cell>
          <cell r="P189">
            <v>7642.1316862745098</v>
          </cell>
          <cell r="Q189" t="str">
            <v>KG</v>
          </cell>
          <cell r="S189" t="str">
            <v>€</v>
          </cell>
          <cell r="T189">
            <v>22544.288474509805</v>
          </cell>
          <cell r="U189" t="str">
            <v>€</v>
          </cell>
          <cell r="W189" t="str">
            <v>€</v>
          </cell>
          <cell r="X189">
            <v>163</v>
          </cell>
        </row>
        <row r="190">
          <cell r="A190">
            <v>360470</v>
          </cell>
          <cell r="B190" t="str">
            <v>POMME DE TERRE PDT PRE FRITES COUPE ROAST FRANCE 12x20x20 RISSOL</v>
          </cell>
          <cell r="C190" t="str">
            <v>ACH109</v>
          </cell>
          <cell r="D190">
            <v>432</v>
          </cell>
          <cell r="E190" t="str">
            <v>KG</v>
          </cell>
          <cell r="F190">
            <v>3.3</v>
          </cell>
          <cell r="G190" t="str">
            <v>€</v>
          </cell>
          <cell r="H190">
            <v>1425.6</v>
          </cell>
          <cell r="I190" t="str">
            <v>€</v>
          </cell>
          <cell r="J190">
            <v>3.25</v>
          </cell>
          <cell r="K190" t="str">
            <v>€</v>
          </cell>
          <cell r="L190">
            <v>1404</v>
          </cell>
          <cell r="M190" t="str">
            <v>€</v>
          </cell>
          <cell r="O190" t="str">
            <v>€</v>
          </cell>
          <cell r="P190">
            <v>9830.5970084967321</v>
          </cell>
          <cell r="Q190" t="str">
            <v>KG</v>
          </cell>
          <cell r="S190" t="str">
            <v>€</v>
          </cell>
          <cell r="T190">
            <v>31949.44027761438</v>
          </cell>
          <cell r="U190" t="str">
            <v>€</v>
          </cell>
          <cell r="W190" t="str">
            <v>€</v>
          </cell>
          <cell r="X190">
            <v>90</v>
          </cell>
        </row>
        <row r="191">
          <cell r="A191">
            <v>360800</v>
          </cell>
          <cell r="B191" t="str">
            <v>CAPRES VINAIGRE CAPUCINES 5/1 2.4KG</v>
          </cell>
          <cell r="C191" t="str">
            <v>ACH109</v>
          </cell>
          <cell r="D191">
            <v>8640</v>
          </cell>
          <cell r="E191" t="str">
            <v>KG</v>
          </cell>
          <cell r="F191">
            <v>4.9036504629629629</v>
          </cell>
          <cell r="G191" t="str">
            <v>€</v>
          </cell>
          <cell r="H191">
            <v>42367.54</v>
          </cell>
          <cell r="I191" t="str">
            <v>€</v>
          </cell>
          <cell r="J191">
            <v>7.56</v>
          </cell>
          <cell r="K191" t="str">
            <v>€</v>
          </cell>
          <cell r="L191">
            <v>65318.399999999994</v>
          </cell>
          <cell r="M191" t="str">
            <v>€</v>
          </cell>
          <cell r="N191">
            <v>5.59</v>
          </cell>
          <cell r="O191" t="str">
            <v>€</v>
          </cell>
          <cell r="P191">
            <v>9732.7870582384621</v>
          </cell>
          <cell r="Q191" t="str">
            <v>KG</v>
          </cell>
          <cell r="R191">
            <v>54406.279655553</v>
          </cell>
          <cell r="S191" t="str">
            <v>€</v>
          </cell>
          <cell r="T191">
            <v>73579.870160282764</v>
          </cell>
          <cell r="U191" t="str">
            <v>€</v>
          </cell>
          <cell r="V191">
            <v>-19173.590504729764</v>
          </cell>
          <cell r="W191" t="str">
            <v>€</v>
          </cell>
          <cell r="X191">
            <v>443.48</v>
          </cell>
        </row>
        <row r="192">
          <cell r="A192">
            <v>360852</v>
          </cell>
          <cell r="B192" t="str">
            <v>POTIMARRON CUBE 10*10MM IQF</v>
          </cell>
          <cell r="C192" t="str">
            <v>ACH109</v>
          </cell>
          <cell r="D192">
            <v>1950</v>
          </cell>
          <cell r="E192" t="str">
            <v>KG</v>
          </cell>
          <cell r="F192">
            <v>1.2889230769230771</v>
          </cell>
          <cell r="G192" t="str">
            <v>€</v>
          </cell>
          <cell r="H192">
            <v>2513.4</v>
          </cell>
          <cell r="I192" t="str">
            <v>€</v>
          </cell>
          <cell r="J192">
            <v>1.5</v>
          </cell>
          <cell r="K192" t="str">
            <v>€</v>
          </cell>
          <cell r="L192">
            <v>2925</v>
          </cell>
          <cell r="M192" t="str">
            <v>€</v>
          </cell>
          <cell r="N192">
            <v>1.5</v>
          </cell>
          <cell r="O192" t="str">
            <v>€</v>
          </cell>
          <cell r="P192">
            <v>2334.2870625</v>
          </cell>
          <cell r="Q192" t="str">
            <v>KG</v>
          </cell>
          <cell r="R192">
            <v>3501.4305937500003</v>
          </cell>
          <cell r="S192" t="str">
            <v>€</v>
          </cell>
          <cell r="T192">
            <v>3501.4305937500003</v>
          </cell>
          <cell r="U192" t="str">
            <v>€</v>
          </cell>
          <cell r="V192">
            <v>0</v>
          </cell>
          <cell r="W192" t="str">
            <v>€</v>
          </cell>
          <cell r="X192">
            <v>452.26</v>
          </cell>
        </row>
        <row r="193">
          <cell r="A193">
            <v>360943</v>
          </cell>
          <cell r="B193" t="str">
            <v>AUBERGINE PREFRITE CUBE 20*20 SGL (LAB10005)</v>
          </cell>
          <cell r="C193" t="str">
            <v>ACH109</v>
          </cell>
          <cell r="D193">
            <v>8190</v>
          </cell>
          <cell r="E193" t="str">
            <v>KG</v>
          </cell>
          <cell r="F193">
            <v>1.8739560439560441</v>
          </cell>
          <cell r="G193" t="str">
            <v>€</v>
          </cell>
          <cell r="H193">
            <v>15347.7</v>
          </cell>
          <cell r="I193" t="str">
            <v>€</v>
          </cell>
          <cell r="J193">
            <v>2.08</v>
          </cell>
          <cell r="K193" t="str">
            <v>€</v>
          </cell>
          <cell r="L193">
            <v>17035.2</v>
          </cell>
          <cell r="M193" t="str">
            <v>€</v>
          </cell>
          <cell r="N193">
            <v>2.08</v>
          </cell>
          <cell r="O193" t="str">
            <v>€</v>
          </cell>
          <cell r="P193">
            <v>10129.390879782324</v>
          </cell>
          <cell r="Q193" t="str">
            <v>KG</v>
          </cell>
          <cell r="R193">
            <v>21069.133029947236</v>
          </cell>
          <cell r="S193" t="str">
            <v>€</v>
          </cell>
          <cell r="T193">
            <v>21069.133029947236</v>
          </cell>
          <cell r="U193" t="str">
            <v>€</v>
          </cell>
          <cell r="V193">
            <v>0</v>
          </cell>
          <cell r="W193" t="str">
            <v>€</v>
          </cell>
          <cell r="X193">
            <v>1710</v>
          </cell>
        </row>
        <row r="194">
          <cell r="A194">
            <v>361005</v>
          </cell>
          <cell r="B194" t="str">
            <v>CELERI RAVE BLANCHI CUBE 6*6 SGL (LCL51006)</v>
          </cell>
          <cell r="C194" t="str">
            <v>ACH109</v>
          </cell>
          <cell r="D194">
            <v>660</v>
          </cell>
          <cell r="E194" t="str">
            <v>KG</v>
          </cell>
          <cell r="F194">
            <v>1.1700000000000002</v>
          </cell>
          <cell r="G194" t="str">
            <v>€</v>
          </cell>
          <cell r="H194">
            <v>772.2</v>
          </cell>
          <cell r="I194" t="str">
            <v>€</v>
          </cell>
          <cell r="J194">
            <v>0.91</v>
          </cell>
          <cell r="K194" t="str">
            <v>€</v>
          </cell>
          <cell r="L194">
            <v>600.6</v>
          </cell>
          <cell r="M194" t="str">
            <v>€</v>
          </cell>
          <cell r="N194">
            <v>0.91</v>
          </cell>
          <cell r="O194" t="str">
            <v>€</v>
          </cell>
          <cell r="P194">
            <v>1109.5237680188618</v>
          </cell>
          <cell r="Q194" t="str">
            <v>KG</v>
          </cell>
          <cell r="R194">
            <v>1009.6666288971643</v>
          </cell>
          <cell r="S194" t="str">
            <v>€</v>
          </cell>
          <cell r="T194">
            <v>1009.6666288971643</v>
          </cell>
          <cell r="U194" t="str">
            <v>€</v>
          </cell>
          <cell r="V194">
            <v>0</v>
          </cell>
          <cell r="W194" t="str">
            <v>€</v>
          </cell>
          <cell r="X194">
            <v>331.74299999999999</v>
          </cell>
        </row>
        <row r="195">
          <cell r="A195">
            <v>361013</v>
          </cell>
          <cell r="B195" t="str">
            <v>CAROTTE JAUNE CUBE  4*4 SGL</v>
          </cell>
          <cell r="C195" t="str">
            <v>ACH109</v>
          </cell>
          <cell r="D195">
            <v>1855</v>
          </cell>
          <cell r="E195" t="str">
            <v>KG</v>
          </cell>
          <cell r="F195">
            <v>1.0126415094339623</v>
          </cell>
          <cell r="G195" t="str">
            <v>€</v>
          </cell>
          <cell r="H195">
            <v>1878.45</v>
          </cell>
          <cell r="I195" t="str">
            <v>€</v>
          </cell>
          <cell r="J195">
            <v>0.78</v>
          </cell>
          <cell r="K195" t="str">
            <v>€</v>
          </cell>
          <cell r="L195">
            <v>1446.9</v>
          </cell>
          <cell r="M195" t="str">
            <v>€</v>
          </cell>
          <cell r="N195">
            <v>0.78</v>
          </cell>
          <cell r="O195" t="str">
            <v>€</v>
          </cell>
          <cell r="P195">
            <v>1177.5412391339869</v>
          </cell>
          <cell r="Q195" t="str">
            <v>KG</v>
          </cell>
          <cell r="R195">
            <v>918.48216652450981</v>
          </cell>
          <cell r="S195" t="str">
            <v>€</v>
          </cell>
          <cell r="T195">
            <v>918.48216652450981</v>
          </cell>
          <cell r="U195" t="str">
            <v>€</v>
          </cell>
          <cell r="V195">
            <v>0</v>
          </cell>
          <cell r="W195" t="str">
            <v>€</v>
          </cell>
          <cell r="X195">
            <v>573.38199999999995</v>
          </cell>
        </row>
        <row r="196">
          <cell r="A196">
            <v>370002</v>
          </cell>
          <cell r="B196" t="str">
            <v>OIGNON CUBE 10x10 CUIT POCHE STERILISE  REF 1336002 (poche 10kg)</v>
          </cell>
          <cell r="C196" t="str">
            <v>ACH109</v>
          </cell>
          <cell r="D196">
            <v>66522</v>
          </cell>
          <cell r="E196" t="str">
            <v>KG</v>
          </cell>
          <cell r="F196">
            <v>1.3803875409638917</v>
          </cell>
          <cell r="G196" t="str">
            <v>€</v>
          </cell>
          <cell r="H196">
            <v>91826.14</v>
          </cell>
          <cell r="I196" t="str">
            <v>€</v>
          </cell>
          <cell r="J196">
            <v>1.46</v>
          </cell>
          <cell r="K196" t="str">
            <v>€</v>
          </cell>
          <cell r="L196">
            <v>97122.12</v>
          </cell>
          <cell r="M196" t="str">
            <v>€</v>
          </cell>
          <cell r="N196">
            <v>1.46</v>
          </cell>
          <cell r="O196" t="str">
            <v>€</v>
          </cell>
          <cell r="P196">
            <v>82741.596085886486</v>
          </cell>
          <cell r="Q196" t="str">
            <v>KG</v>
          </cell>
          <cell r="R196">
            <v>120802.73028539427</v>
          </cell>
          <cell r="S196" t="str">
            <v>€</v>
          </cell>
          <cell r="T196">
            <v>120802.73028539427</v>
          </cell>
          <cell r="U196" t="str">
            <v>€</v>
          </cell>
          <cell r="V196">
            <v>0</v>
          </cell>
          <cell r="W196" t="str">
            <v>€</v>
          </cell>
          <cell r="X196">
            <v>4831.3599999999997</v>
          </cell>
        </row>
        <row r="197">
          <cell r="A197">
            <v>332145</v>
          </cell>
          <cell r="B197" t="str">
            <v>ALCOOL COGNAC COLORE MODIFIE 40%</v>
          </cell>
          <cell r="C197" t="str">
            <v>ACH113</v>
          </cell>
          <cell r="D197">
            <v>800</v>
          </cell>
          <cell r="E197" t="str">
            <v>KG</v>
          </cell>
          <cell r="F197">
            <v>8.5500000000000007</v>
          </cell>
          <cell r="G197" t="str">
            <v>€</v>
          </cell>
          <cell r="H197">
            <v>6840</v>
          </cell>
          <cell r="I197" t="str">
            <v>€</v>
          </cell>
          <cell r="J197">
            <v>8.5500000000000007</v>
          </cell>
          <cell r="K197" t="str">
            <v>€</v>
          </cell>
          <cell r="L197">
            <v>6840.0000000000009</v>
          </cell>
          <cell r="M197" t="str">
            <v>€</v>
          </cell>
          <cell r="N197">
            <v>8.5500000000000007</v>
          </cell>
          <cell r="O197" t="str">
            <v>€</v>
          </cell>
          <cell r="P197">
            <v>889.15190044085045</v>
          </cell>
          <cell r="Q197" t="str">
            <v>KG</v>
          </cell>
          <cell r="R197">
            <v>7602.2487487692724</v>
          </cell>
          <cell r="S197" t="str">
            <v>€</v>
          </cell>
          <cell r="T197">
            <v>7602.2487487692724</v>
          </cell>
          <cell r="U197" t="str">
            <v>€</v>
          </cell>
          <cell r="V197">
            <v>0</v>
          </cell>
          <cell r="W197" t="str">
            <v>€</v>
          </cell>
          <cell r="X197">
            <v>205</v>
          </cell>
        </row>
        <row r="198">
          <cell r="A198">
            <v>338357</v>
          </cell>
          <cell r="B198" t="str">
            <v>ARMAGNAC MODIFIE SEL POIVRE</v>
          </cell>
          <cell r="C198" t="str">
            <v>ACH113</v>
          </cell>
          <cell r="D198">
            <v>600</v>
          </cell>
          <cell r="E198" t="str">
            <v>KG</v>
          </cell>
          <cell r="F198">
            <v>4.03</v>
          </cell>
          <cell r="G198" t="str">
            <v>€</v>
          </cell>
          <cell r="H198">
            <v>2418</v>
          </cell>
          <cell r="I198" t="str">
            <v>€</v>
          </cell>
          <cell r="J198">
            <v>4.13</v>
          </cell>
          <cell r="K198" t="str">
            <v>€</v>
          </cell>
          <cell r="L198">
            <v>2478</v>
          </cell>
          <cell r="M198" t="str">
            <v>€</v>
          </cell>
          <cell r="N198">
            <v>4.1100000000000003</v>
          </cell>
          <cell r="O198" t="str">
            <v>€</v>
          </cell>
          <cell r="P198">
            <v>594.77529947649577</v>
          </cell>
          <cell r="Q198" t="str">
            <v>KG</v>
          </cell>
          <cell r="R198">
            <v>2444.526480848398</v>
          </cell>
          <cell r="S198" t="str">
            <v>€</v>
          </cell>
          <cell r="T198">
            <v>2456.4219868379273</v>
          </cell>
          <cell r="U198" t="str">
            <v>€</v>
          </cell>
          <cell r="V198">
            <v>-11.895505989529283</v>
          </cell>
          <cell r="W198" t="str">
            <v>€</v>
          </cell>
          <cell r="X198">
            <v>145</v>
          </cell>
        </row>
        <row r="199">
          <cell r="A199">
            <v>338362</v>
          </cell>
          <cell r="B199" t="str">
            <v xml:space="preserve">HUILE TOURNESOL NON HYDROGENEE </v>
          </cell>
          <cell r="C199" t="str">
            <v>ACH113</v>
          </cell>
          <cell r="D199">
            <v>47700</v>
          </cell>
          <cell r="E199" t="str">
            <v>KG</v>
          </cell>
          <cell r="F199">
            <v>1.39</v>
          </cell>
          <cell r="G199" t="str">
            <v>€</v>
          </cell>
          <cell r="H199">
            <v>66303</v>
          </cell>
          <cell r="I199" t="str">
            <v>€</v>
          </cell>
          <cell r="J199">
            <v>1.34</v>
          </cell>
          <cell r="K199" t="str">
            <v>€</v>
          </cell>
          <cell r="L199">
            <v>63918.000000000007</v>
          </cell>
          <cell r="M199" t="str">
            <v>€</v>
          </cell>
          <cell r="N199">
            <v>1.33</v>
          </cell>
          <cell r="O199" t="str">
            <v>€</v>
          </cell>
          <cell r="P199">
            <v>56043.506929363357</v>
          </cell>
          <cell r="Q199" t="str">
            <v>KG</v>
          </cell>
          <cell r="R199">
            <v>74537.864216053262</v>
          </cell>
          <cell r="S199" t="str">
            <v>€</v>
          </cell>
          <cell r="T199">
            <v>75098.299285346904</v>
          </cell>
          <cell r="U199" t="str">
            <v>€</v>
          </cell>
          <cell r="V199">
            <v>-560.4350692936423</v>
          </cell>
          <cell r="W199" t="str">
            <v>€</v>
          </cell>
          <cell r="X199">
            <v>3369.2935080000002</v>
          </cell>
        </row>
        <row r="200">
          <cell r="A200">
            <v>338363</v>
          </cell>
          <cell r="B200" t="str">
            <v>HUILE D'OLIVE EXTRA</v>
          </cell>
          <cell r="C200" t="str">
            <v>ACH113</v>
          </cell>
          <cell r="D200">
            <v>16248</v>
          </cell>
          <cell r="E200" t="str">
            <v>KG</v>
          </cell>
          <cell r="F200">
            <v>7.123995568685376</v>
          </cell>
          <cell r="G200" t="str">
            <v>€</v>
          </cell>
          <cell r="H200">
            <v>115750.68</v>
          </cell>
          <cell r="I200" t="str">
            <v>€</v>
          </cell>
          <cell r="J200">
            <v>9.81</v>
          </cell>
          <cell r="K200" t="str">
            <v>€</v>
          </cell>
          <cell r="L200">
            <v>159392.88</v>
          </cell>
          <cell r="M200" t="str">
            <v>€</v>
          </cell>
          <cell r="N200">
            <v>9.81</v>
          </cell>
          <cell r="O200" t="str">
            <v>€</v>
          </cell>
          <cell r="P200">
            <v>17532.798772988659</v>
          </cell>
          <cell r="Q200" t="str">
            <v>KG</v>
          </cell>
          <cell r="R200">
            <v>171996.75596301875</v>
          </cell>
          <cell r="S200" t="str">
            <v>€</v>
          </cell>
          <cell r="T200">
            <v>171996.75596301875</v>
          </cell>
          <cell r="U200" t="str">
            <v>€</v>
          </cell>
          <cell r="V200">
            <v>0</v>
          </cell>
          <cell r="W200" t="str">
            <v>€</v>
          </cell>
          <cell r="X200">
            <v>2423.4773799999998</v>
          </cell>
        </row>
        <row r="201">
          <cell r="A201">
            <v>338364</v>
          </cell>
          <cell r="B201" t="str">
            <v>NOILLY DRY / VERMOUTH</v>
          </cell>
          <cell r="C201" t="str">
            <v>ACH113</v>
          </cell>
          <cell r="D201">
            <v>900</v>
          </cell>
          <cell r="E201" t="str">
            <v>KG</v>
          </cell>
          <cell r="F201">
            <v>2.2000000000000002</v>
          </cell>
          <cell r="G201" t="str">
            <v>€</v>
          </cell>
          <cell r="H201">
            <v>1980</v>
          </cell>
          <cell r="I201" t="str">
            <v>€</v>
          </cell>
          <cell r="J201">
            <v>2.2400000000000002</v>
          </cell>
          <cell r="K201" t="str">
            <v>€</v>
          </cell>
          <cell r="L201">
            <v>2016.0000000000002</v>
          </cell>
          <cell r="M201" t="str">
            <v>€</v>
          </cell>
          <cell r="N201">
            <v>2.2400000000000002</v>
          </cell>
          <cell r="O201" t="str">
            <v>€</v>
          </cell>
          <cell r="P201">
            <v>1097.7381934677419</v>
          </cell>
          <cell r="Q201" t="str">
            <v>KG</v>
          </cell>
          <cell r="R201">
            <v>2458.9335533677422</v>
          </cell>
          <cell r="S201" t="str">
            <v>€</v>
          </cell>
          <cell r="T201">
            <v>2458.9335533677422</v>
          </cell>
          <cell r="U201" t="str">
            <v>€</v>
          </cell>
          <cell r="V201">
            <v>0</v>
          </cell>
          <cell r="W201" t="str">
            <v>€</v>
          </cell>
          <cell r="X201">
            <v>100</v>
          </cell>
        </row>
        <row r="202">
          <cell r="A202">
            <v>338368</v>
          </cell>
          <cell r="B202" t="str">
            <v>PORTO MODIFIÉ SEL &amp; POIVRE</v>
          </cell>
          <cell r="C202" t="str">
            <v>ACH113</v>
          </cell>
          <cell r="D202">
            <v>6000</v>
          </cell>
          <cell r="E202" t="str">
            <v>KG</v>
          </cell>
          <cell r="F202">
            <v>3.45</v>
          </cell>
          <cell r="G202" t="str">
            <v>€</v>
          </cell>
          <cell r="H202">
            <v>20700</v>
          </cell>
          <cell r="I202" t="str">
            <v>€</v>
          </cell>
          <cell r="J202">
            <v>3.45</v>
          </cell>
          <cell r="K202" t="str">
            <v>€</v>
          </cell>
          <cell r="L202">
            <v>20700</v>
          </cell>
          <cell r="M202" t="str">
            <v>€</v>
          </cell>
          <cell r="N202">
            <v>3.45</v>
          </cell>
          <cell r="O202" t="str">
            <v>€</v>
          </cell>
          <cell r="P202">
            <v>3990.5327749527514</v>
          </cell>
          <cell r="Q202" t="str">
            <v>KG</v>
          </cell>
          <cell r="R202">
            <v>13767.338073586992</v>
          </cell>
          <cell r="S202" t="str">
            <v>€</v>
          </cell>
          <cell r="T202">
            <v>13767.338073586992</v>
          </cell>
          <cell r="U202" t="str">
            <v>€</v>
          </cell>
          <cell r="V202">
            <v>0</v>
          </cell>
          <cell r="W202" t="str">
            <v>€</v>
          </cell>
          <cell r="X202">
            <v>259.35399999999998</v>
          </cell>
        </row>
        <row r="203">
          <cell r="A203">
            <v>338369</v>
          </cell>
          <cell r="B203" t="str">
            <v>HUILE DE COLZA</v>
          </cell>
          <cell r="C203" t="str">
            <v>ACH113</v>
          </cell>
          <cell r="D203">
            <v>50</v>
          </cell>
          <cell r="E203" t="str">
            <v>KG</v>
          </cell>
          <cell r="F203">
            <v>1.55</v>
          </cell>
          <cell r="G203" t="str">
            <v>€</v>
          </cell>
          <cell r="H203">
            <v>77.5</v>
          </cell>
          <cell r="I203" t="str">
            <v>€</v>
          </cell>
          <cell r="J203">
            <v>1.58</v>
          </cell>
          <cell r="K203" t="str">
            <v>€</v>
          </cell>
          <cell r="L203">
            <v>79</v>
          </cell>
          <cell r="M203" t="str">
            <v>€</v>
          </cell>
          <cell r="N203">
            <v>1.58</v>
          </cell>
          <cell r="O203" t="str">
            <v>€</v>
          </cell>
          <cell r="P203">
            <v>167.79839999999999</v>
          </cell>
          <cell r="Q203" t="str">
            <v>KG</v>
          </cell>
          <cell r="R203">
            <v>265.12147199999998</v>
          </cell>
          <cell r="S203" t="str">
            <v>€</v>
          </cell>
          <cell r="T203">
            <v>265.12147199999998</v>
          </cell>
          <cell r="U203" t="str">
            <v>€</v>
          </cell>
          <cell r="V203">
            <v>0</v>
          </cell>
          <cell r="W203" t="str">
            <v>€</v>
          </cell>
          <cell r="X203">
            <v>50</v>
          </cell>
        </row>
        <row r="204">
          <cell r="A204">
            <v>338372</v>
          </cell>
          <cell r="B204" t="str">
            <v>VIN BLANC 11 DEGRES</v>
          </cell>
          <cell r="C204" t="str">
            <v>ACH113</v>
          </cell>
          <cell r="D204">
            <v>33000</v>
          </cell>
          <cell r="E204" t="str">
            <v>KG</v>
          </cell>
          <cell r="F204">
            <v>0.74363636363636365</v>
          </cell>
          <cell r="G204" t="str">
            <v>€</v>
          </cell>
          <cell r="H204">
            <v>24540</v>
          </cell>
          <cell r="I204" t="str">
            <v>€</v>
          </cell>
          <cell r="J204">
            <v>0.75</v>
          </cell>
          <cell r="K204" t="str">
            <v>€</v>
          </cell>
          <cell r="L204">
            <v>24750</v>
          </cell>
          <cell r="M204" t="str">
            <v>€</v>
          </cell>
          <cell r="N204">
            <v>0.75</v>
          </cell>
          <cell r="O204" t="str">
            <v>€</v>
          </cell>
          <cell r="P204">
            <v>40582.625288292416</v>
          </cell>
          <cell r="Q204" t="str">
            <v>KG</v>
          </cell>
          <cell r="R204">
            <v>30436.968966219312</v>
          </cell>
          <cell r="S204" t="str">
            <v>€</v>
          </cell>
          <cell r="T204">
            <v>30436.968966219312</v>
          </cell>
          <cell r="U204" t="str">
            <v>€</v>
          </cell>
          <cell r="V204">
            <v>0</v>
          </cell>
          <cell r="W204" t="str">
            <v>€</v>
          </cell>
          <cell r="X204">
            <v>3939.268693</v>
          </cell>
        </row>
        <row r="205">
          <cell r="A205">
            <v>338373</v>
          </cell>
          <cell r="B205" t="str">
            <v>VIN ROUGE 11Ø</v>
          </cell>
          <cell r="C205" t="str">
            <v>ACH113</v>
          </cell>
          <cell r="D205">
            <v>26000</v>
          </cell>
          <cell r="E205" t="str">
            <v>KG</v>
          </cell>
          <cell r="F205">
            <v>0.68</v>
          </cell>
          <cell r="G205" t="str">
            <v>€</v>
          </cell>
          <cell r="H205">
            <v>17680</v>
          </cell>
          <cell r="I205" t="str">
            <v>€</v>
          </cell>
          <cell r="J205">
            <v>0.76</v>
          </cell>
          <cell r="K205" t="str">
            <v>€</v>
          </cell>
          <cell r="L205">
            <v>19760</v>
          </cell>
          <cell r="M205" t="str">
            <v>€</v>
          </cell>
          <cell r="N205">
            <v>0.69</v>
          </cell>
          <cell r="O205" t="str">
            <v>€</v>
          </cell>
          <cell r="P205">
            <v>34809.884441843482</v>
          </cell>
          <cell r="Q205" t="str">
            <v>KG</v>
          </cell>
          <cell r="R205">
            <v>24018.820264872</v>
          </cell>
          <cell r="S205" t="str">
            <v>€</v>
          </cell>
          <cell r="T205">
            <v>26455.512175801046</v>
          </cell>
          <cell r="U205" t="str">
            <v>€</v>
          </cell>
          <cell r="V205">
            <v>-2436.6919109290466</v>
          </cell>
          <cell r="W205" t="str">
            <v>€</v>
          </cell>
          <cell r="X205">
            <v>2887.7849999999999</v>
          </cell>
        </row>
        <row r="206">
          <cell r="A206">
            <v>338374</v>
          </cell>
          <cell r="B206" t="str">
            <v>VINAIGRE D'ALCOOL BLANC 8°</v>
          </cell>
          <cell r="C206" t="str">
            <v>ACH113</v>
          </cell>
          <cell r="D206">
            <v>3000</v>
          </cell>
          <cell r="E206" t="str">
            <v>KG</v>
          </cell>
          <cell r="F206">
            <v>0.61166666666666669</v>
          </cell>
          <cell r="G206" t="str">
            <v>€</v>
          </cell>
          <cell r="H206">
            <v>1835</v>
          </cell>
          <cell r="I206" t="str">
            <v>€</v>
          </cell>
          <cell r="J206">
            <v>4.3499999999999996</v>
          </cell>
          <cell r="K206" t="str">
            <v>€</v>
          </cell>
          <cell r="L206">
            <v>13049.999999999998</v>
          </cell>
          <cell r="M206" t="str">
            <v>€</v>
          </cell>
          <cell r="N206">
            <v>0.65</v>
          </cell>
          <cell r="O206" t="str">
            <v>€</v>
          </cell>
          <cell r="P206">
            <v>3486.5260928870789</v>
          </cell>
          <cell r="Q206" t="str">
            <v>KG</v>
          </cell>
          <cell r="R206">
            <v>2266.2419603766016</v>
          </cell>
          <cell r="S206" t="str">
            <v>€</v>
          </cell>
          <cell r="T206">
            <v>15166.388504058792</v>
          </cell>
          <cell r="U206" t="str">
            <v>€</v>
          </cell>
          <cell r="V206">
            <v>-12900.146543682191</v>
          </cell>
          <cell r="W206" t="str">
            <v>€</v>
          </cell>
          <cell r="X206">
            <v>361.88025599999997</v>
          </cell>
        </row>
        <row r="207">
          <cell r="A207">
            <v>338377</v>
          </cell>
          <cell r="B207" t="str">
            <v>VINAIGRE DE XÈRES</v>
          </cell>
          <cell r="C207" t="str">
            <v>ACH113</v>
          </cell>
          <cell r="D207">
            <v>2500</v>
          </cell>
          <cell r="E207" t="str">
            <v>KG</v>
          </cell>
          <cell r="F207">
            <v>3.00664</v>
          </cell>
          <cell r="G207" t="str">
            <v>€</v>
          </cell>
          <cell r="H207">
            <v>7516.6</v>
          </cell>
          <cell r="I207" t="str">
            <v>€</v>
          </cell>
          <cell r="J207">
            <v>19.149999999999999</v>
          </cell>
          <cell r="K207" t="str">
            <v>€</v>
          </cell>
          <cell r="L207">
            <v>47875</v>
          </cell>
          <cell r="M207" t="str">
            <v>€</v>
          </cell>
          <cell r="N207">
            <v>3.15</v>
          </cell>
          <cell r="O207" t="str">
            <v>€</v>
          </cell>
          <cell r="P207">
            <v>3337.8515309012519</v>
          </cell>
          <cell r="Q207" t="str">
            <v>KG</v>
          </cell>
          <cell r="R207">
            <v>10514.232322338943</v>
          </cell>
          <cell r="S207" t="str">
            <v>€</v>
          </cell>
          <cell r="T207">
            <v>63919.856816758969</v>
          </cell>
          <cell r="U207" t="str">
            <v>€</v>
          </cell>
          <cell r="V207">
            <v>-53405.62449442003</v>
          </cell>
          <cell r="W207" t="str">
            <v>€</v>
          </cell>
          <cell r="X207">
            <v>152.755224</v>
          </cell>
        </row>
        <row r="208">
          <cell r="A208">
            <v>338378</v>
          </cell>
          <cell r="B208" t="str">
            <v>VIN BLANC CHABLIS 12.5%</v>
          </cell>
          <cell r="C208" t="str">
            <v>ACH113</v>
          </cell>
          <cell r="D208">
            <v>3970</v>
          </cell>
          <cell r="E208" t="str">
            <v>KG</v>
          </cell>
          <cell r="F208">
            <v>10.076952141057934</v>
          </cell>
          <cell r="G208" t="str">
            <v>€</v>
          </cell>
          <cell r="H208">
            <v>40005.5</v>
          </cell>
          <cell r="I208" t="str">
            <v>€</v>
          </cell>
          <cell r="J208">
            <v>9.9499999999999993</v>
          </cell>
          <cell r="K208" t="str">
            <v>€</v>
          </cell>
          <cell r="L208">
            <v>39501.5</v>
          </cell>
          <cell r="M208" t="str">
            <v>€</v>
          </cell>
          <cell r="N208">
            <v>9.9499999999999993</v>
          </cell>
          <cell r="O208" t="str">
            <v>€</v>
          </cell>
          <cell r="P208">
            <v>5219.0480778149968</v>
          </cell>
          <cell r="Q208" t="str">
            <v>KG</v>
          </cell>
          <cell r="R208">
            <v>51929.528374259215</v>
          </cell>
          <cell r="S208" t="str">
            <v>€</v>
          </cell>
          <cell r="T208">
            <v>51929.528374259215</v>
          </cell>
          <cell r="U208" t="str">
            <v>€</v>
          </cell>
          <cell r="V208">
            <v>0</v>
          </cell>
          <cell r="W208" t="str">
            <v>€</v>
          </cell>
          <cell r="X208">
            <v>760</v>
          </cell>
        </row>
        <row r="209">
          <cell r="A209">
            <v>338379</v>
          </cell>
          <cell r="B209" t="str">
            <v>VINAIGRE DE RIZ BLAN</v>
          </cell>
          <cell r="C209" t="str">
            <v>ACH113</v>
          </cell>
          <cell r="D209">
            <v>640</v>
          </cell>
          <cell r="E209" t="str">
            <v>KG</v>
          </cell>
          <cell r="F209">
            <v>2.5499999999999998</v>
          </cell>
          <cell r="G209" t="str">
            <v>€</v>
          </cell>
          <cell r="H209">
            <v>1632</v>
          </cell>
          <cell r="I209" t="str">
            <v>€</v>
          </cell>
          <cell r="J209">
            <v>2.5499999999999998</v>
          </cell>
          <cell r="K209" t="str">
            <v>€</v>
          </cell>
          <cell r="L209">
            <v>1632</v>
          </cell>
          <cell r="M209" t="str">
            <v>€</v>
          </cell>
          <cell r="N209">
            <v>2.5499999999999998</v>
          </cell>
          <cell r="O209" t="str">
            <v>€</v>
          </cell>
          <cell r="P209">
            <v>694.24289314071723</v>
          </cell>
          <cell r="Q209" t="str">
            <v>KG</v>
          </cell>
          <cell r="R209">
            <v>1770.3193775088289</v>
          </cell>
          <cell r="S209" t="str">
            <v>€</v>
          </cell>
          <cell r="T209">
            <v>1770.3193775088289</v>
          </cell>
          <cell r="U209" t="str">
            <v>€</v>
          </cell>
          <cell r="V209">
            <v>0</v>
          </cell>
          <cell r="W209" t="str">
            <v>€</v>
          </cell>
          <cell r="X209">
            <v>15.304949000000001</v>
          </cell>
        </row>
        <row r="210">
          <cell r="A210">
            <v>338472</v>
          </cell>
          <cell r="B210" t="str">
            <v>VINAIGRE BALSAMIQUE DE MODENE 6% SANS COLORANT IGP</v>
          </cell>
          <cell r="C210" t="str">
            <v>ACH113</v>
          </cell>
          <cell r="D210">
            <v>100</v>
          </cell>
          <cell r="E210" t="str">
            <v>KG</v>
          </cell>
          <cell r="F210">
            <v>3.3860000000000001</v>
          </cell>
          <cell r="G210" t="str">
            <v>€</v>
          </cell>
          <cell r="H210">
            <v>338.6</v>
          </cell>
          <cell r="I210" t="str">
            <v>€</v>
          </cell>
          <cell r="J210">
            <v>3.1</v>
          </cell>
          <cell r="K210" t="str">
            <v>€</v>
          </cell>
          <cell r="L210">
            <v>310</v>
          </cell>
          <cell r="M210" t="str">
            <v>€</v>
          </cell>
          <cell r="N210">
            <v>3.1</v>
          </cell>
          <cell r="O210" t="str">
            <v>€</v>
          </cell>
          <cell r="P210">
            <v>188.34673331895425</v>
          </cell>
          <cell r="Q210" t="str">
            <v>KG</v>
          </cell>
          <cell r="R210">
            <v>583.87487328875818</v>
          </cell>
          <cell r="S210" t="str">
            <v>€</v>
          </cell>
          <cell r="T210">
            <v>583.87487328875818</v>
          </cell>
          <cell r="U210" t="str">
            <v>€</v>
          </cell>
          <cell r="V210">
            <v>0</v>
          </cell>
          <cell r="W210" t="str">
            <v>€</v>
          </cell>
          <cell r="X210">
            <v>64.564425999999997</v>
          </cell>
        </row>
        <row r="211">
          <cell r="A211">
            <v>338482</v>
          </cell>
          <cell r="B211" t="str">
            <v>BIERE BLE NOIR BIO SANS GLUTEN 5.1% NON GAZEIFIEE AMBREE</v>
          </cell>
          <cell r="C211" t="str">
            <v>ACH113</v>
          </cell>
          <cell r="D211">
            <v>1020</v>
          </cell>
          <cell r="E211" t="str">
            <v>KG</v>
          </cell>
          <cell r="F211">
            <v>2.0499999999999998</v>
          </cell>
          <cell r="G211" t="str">
            <v>€</v>
          </cell>
          <cell r="H211">
            <v>2091</v>
          </cell>
          <cell r="I211" t="str">
            <v>€</v>
          </cell>
          <cell r="J211">
            <v>2.1</v>
          </cell>
          <cell r="K211" t="str">
            <v>€</v>
          </cell>
          <cell r="L211">
            <v>2142</v>
          </cell>
          <cell r="M211" t="str">
            <v>€</v>
          </cell>
          <cell r="O211" t="str">
            <v>€</v>
          </cell>
          <cell r="P211">
            <v>743.98376762222222</v>
          </cell>
          <cell r="Q211" t="str">
            <v>KG</v>
          </cell>
          <cell r="S211" t="str">
            <v>€</v>
          </cell>
          <cell r="T211">
            <v>1562.3659120066668</v>
          </cell>
          <cell r="U211" t="str">
            <v>€</v>
          </cell>
          <cell r="W211" t="str">
            <v>€</v>
          </cell>
        </row>
        <row r="212">
          <cell r="A212">
            <v>339737</v>
          </cell>
          <cell r="B212" t="str">
            <v>HUILE DE SESAME</v>
          </cell>
          <cell r="C212" t="str">
            <v>ACH113</v>
          </cell>
          <cell r="D212">
            <v>6440</v>
          </cell>
          <cell r="E212" t="str">
            <v>KG</v>
          </cell>
          <cell r="F212">
            <v>5.9557142857142864</v>
          </cell>
          <cell r="G212" t="str">
            <v>€</v>
          </cell>
          <cell r="H212">
            <v>38354.800000000003</v>
          </cell>
          <cell r="I212" t="str">
            <v>€</v>
          </cell>
          <cell r="J212">
            <v>6.84</v>
          </cell>
          <cell r="K212" t="str">
            <v>€</v>
          </cell>
          <cell r="L212">
            <v>44049.599999999999</v>
          </cell>
          <cell r="M212" t="str">
            <v>€</v>
          </cell>
          <cell r="N212">
            <v>6.34</v>
          </cell>
          <cell r="O212" t="str">
            <v>€</v>
          </cell>
          <cell r="P212">
            <v>7156.3357659016538</v>
          </cell>
          <cell r="Q212" t="str">
            <v>KG</v>
          </cell>
          <cell r="R212">
            <v>45371.168755816485</v>
          </cell>
          <cell r="S212" t="str">
            <v>€</v>
          </cell>
          <cell r="T212">
            <v>48949.336638767309</v>
          </cell>
          <cell r="U212" t="str">
            <v>€</v>
          </cell>
          <cell r="V212">
            <v>-3578.1678829508237</v>
          </cell>
          <cell r="W212" t="str">
            <v>€</v>
          </cell>
          <cell r="X212">
            <v>253.26188500000001</v>
          </cell>
        </row>
        <row r="213">
          <cell r="A213">
            <v>339895</v>
          </cell>
          <cell r="B213" t="str">
            <v>VIN DE MONBAZILLAC DENATURE</v>
          </cell>
          <cell r="C213" t="str">
            <v>ACH113</v>
          </cell>
          <cell r="D213">
            <v>920</v>
          </cell>
          <cell r="E213" t="str">
            <v>KG</v>
          </cell>
          <cell r="F213">
            <v>5.1721739130434781</v>
          </cell>
          <cell r="G213" t="str">
            <v>€</v>
          </cell>
          <cell r="H213">
            <v>4758.3999999999996</v>
          </cell>
          <cell r="I213" t="str">
            <v>€</v>
          </cell>
          <cell r="J213">
            <v>5.16</v>
          </cell>
          <cell r="K213" t="str">
            <v>€</v>
          </cell>
          <cell r="L213">
            <v>4747.2</v>
          </cell>
          <cell r="M213" t="str">
            <v>€</v>
          </cell>
          <cell r="N213">
            <v>5.16</v>
          </cell>
          <cell r="O213" t="str">
            <v>€</v>
          </cell>
          <cell r="P213">
            <v>585.87844838840579</v>
          </cell>
          <cell r="Q213" t="str">
            <v>KG</v>
          </cell>
          <cell r="R213">
            <v>3023.132793684174</v>
          </cell>
          <cell r="S213" t="str">
            <v>€</v>
          </cell>
          <cell r="T213">
            <v>3023.132793684174</v>
          </cell>
          <cell r="U213" t="str">
            <v>€</v>
          </cell>
          <cell r="V213">
            <v>0</v>
          </cell>
          <cell r="W213" t="str">
            <v>€</v>
          </cell>
          <cell r="X213">
            <v>195</v>
          </cell>
        </row>
        <row r="214">
          <cell r="A214">
            <v>340415</v>
          </cell>
          <cell r="B214" t="str">
            <v>CIDRE BRUT TRADITIONNEL 4.5% bidon 20L</v>
          </cell>
          <cell r="C214" t="str">
            <v>ACH113</v>
          </cell>
          <cell r="D214">
            <v>1000</v>
          </cell>
          <cell r="E214" t="str">
            <v>KG</v>
          </cell>
          <cell r="F214">
            <v>1.95</v>
          </cell>
          <cell r="G214" t="str">
            <v>€</v>
          </cell>
          <cell r="H214">
            <v>1950</v>
          </cell>
          <cell r="I214" t="str">
            <v>€</v>
          </cell>
          <cell r="J214">
            <v>2.06</v>
          </cell>
          <cell r="K214" t="str">
            <v>€</v>
          </cell>
          <cell r="L214">
            <v>2060</v>
          </cell>
          <cell r="M214" t="str">
            <v>€</v>
          </cell>
          <cell r="O214" t="str">
            <v>€</v>
          </cell>
          <cell r="Q214" t="str">
            <v>KG</v>
          </cell>
          <cell r="S214" t="str">
            <v>€</v>
          </cell>
          <cell r="U214" t="str">
            <v>€</v>
          </cell>
          <cell r="W214" t="str">
            <v>€</v>
          </cell>
        </row>
        <row r="215">
          <cell r="A215">
            <v>340417</v>
          </cell>
          <cell r="B215" t="str">
            <v>MADÈRE MODIFIÉ SEL &amp; POIVRE</v>
          </cell>
          <cell r="C215" t="str">
            <v>ACH113</v>
          </cell>
          <cell r="D215">
            <v>4000</v>
          </cell>
          <cell r="E215" t="str">
            <v>KG</v>
          </cell>
          <cell r="F215">
            <v>3.3875000000000002</v>
          </cell>
          <cell r="G215" t="str">
            <v>€</v>
          </cell>
          <cell r="H215">
            <v>13550</v>
          </cell>
          <cell r="I215" t="str">
            <v>€</v>
          </cell>
          <cell r="J215">
            <v>3.39</v>
          </cell>
          <cell r="K215" t="str">
            <v>€</v>
          </cell>
          <cell r="L215">
            <v>13560</v>
          </cell>
          <cell r="M215" t="str">
            <v>€</v>
          </cell>
          <cell r="N215">
            <v>3.39</v>
          </cell>
          <cell r="O215" t="str">
            <v>€</v>
          </cell>
          <cell r="P215">
            <v>5813.7498441346152</v>
          </cell>
          <cell r="Q215" t="str">
            <v>KG</v>
          </cell>
          <cell r="R215">
            <v>19708.611971616345</v>
          </cell>
          <cell r="S215" t="str">
            <v>€</v>
          </cell>
          <cell r="T215">
            <v>19708.611971616345</v>
          </cell>
          <cell r="U215" t="str">
            <v>€</v>
          </cell>
          <cell r="V215">
            <v>0</v>
          </cell>
          <cell r="W215" t="str">
            <v>€</v>
          </cell>
          <cell r="X215">
            <v>812</v>
          </cell>
        </row>
        <row r="216">
          <cell r="A216">
            <v>343161</v>
          </cell>
          <cell r="B216" t="str">
            <v>VIN ROUGE DE BUZET</v>
          </cell>
          <cell r="C216" t="str">
            <v>ACH113</v>
          </cell>
          <cell r="D216">
            <v>35838.97</v>
          </cell>
          <cell r="E216" t="str">
            <v>KG</v>
          </cell>
          <cell r="F216">
            <v>1.6132935740061725</v>
          </cell>
          <cell r="G216" t="str">
            <v>€</v>
          </cell>
          <cell r="H216">
            <v>57818.78</v>
          </cell>
          <cell r="I216" t="str">
            <v>€</v>
          </cell>
          <cell r="J216">
            <v>1.63</v>
          </cell>
          <cell r="K216" t="str">
            <v>€</v>
          </cell>
          <cell r="L216">
            <v>58417.521099999998</v>
          </cell>
          <cell r="M216" t="str">
            <v>€</v>
          </cell>
          <cell r="N216">
            <v>1.63</v>
          </cell>
          <cell r="O216" t="str">
            <v>€</v>
          </cell>
          <cell r="P216">
            <v>50594.857387858196</v>
          </cell>
          <cell r="Q216" t="str">
            <v>KG</v>
          </cell>
          <cell r="R216">
            <v>82469.617542208856</v>
          </cell>
          <cell r="S216" t="str">
            <v>€</v>
          </cell>
          <cell r="T216">
            <v>82469.617542208856</v>
          </cell>
          <cell r="U216" t="str">
            <v>€</v>
          </cell>
          <cell r="V216">
            <v>0</v>
          </cell>
          <cell r="W216" t="str">
            <v>€</v>
          </cell>
          <cell r="X216">
            <v>2391.44</v>
          </cell>
        </row>
        <row r="217">
          <cell r="A217">
            <v>343162</v>
          </cell>
          <cell r="B217" t="str">
            <v>VIN ROUGE COTEAUX BOURGUIGNONS AOC</v>
          </cell>
          <cell r="C217" t="str">
            <v>ACH113</v>
          </cell>
          <cell r="D217">
            <v>10000</v>
          </cell>
          <cell r="E217" t="str">
            <v>KG</v>
          </cell>
          <cell r="F217">
            <v>3.3</v>
          </cell>
          <cell r="G217" t="str">
            <v>€</v>
          </cell>
          <cell r="H217">
            <v>33000</v>
          </cell>
          <cell r="I217" t="str">
            <v>€</v>
          </cell>
          <cell r="J217">
            <v>3.3</v>
          </cell>
          <cell r="K217" t="str">
            <v>€</v>
          </cell>
          <cell r="L217">
            <v>33000</v>
          </cell>
          <cell r="M217" t="str">
            <v>€</v>
          </cell>
          <cell r="N217">
            <v>3.3</v>
          </cell>
          <cell r="O217" t="str">
            <v>€</v>
          </cell>
          <cell r="P217">
            <v>10413.325132108172</v>
          </cell>
          <cell r="Q217" t="str">
            <v>KG</v>
          </cell>
          <cell r="R217">
            <v>34363.972935956961</v>
          </cell>
          <cell r="S217" t="str">
            <v>€</v>
          </cell>
          <cell r="T217">
            <v>34363.972935956961</v>
          </cell>
          <cell r="U217" t="str">
            <v>€</v>
          </cell>
          <cell r="V217">
            <v>0</v>
          </cell>
          <cell r="W217" t="str">
            <v>€</v>
          </cell>
          <cell r="X217">
            <v>2650</v>
          </cell>
        </row>
        <row r="218">
          <cell r="A218">
            <v>338180</v>
          </cell>
          <cell r="B218" t="str">
            <v>ENCORNET CUBE GEANT 2X2 CM CRUE CONG IQF GIGAS</v>
          </cell>
          <cell r="C218" t="str">
            <v>ACH110</v>
          </cell>
          <cell r="D218">
            <v>9550</v>
          </cell>
          <cell r="E218" t="str">
            <v>KG</v>
          </cell>
          <cell r="F218">
            <v>4.8431937172774866</v>
          </cell>
          <cell r="G218" t="str">
            <v>€</v>
          </cell>
          <cell r="H218">
            <v>46252.5</v>
          </cell>
          <cell r="I218" t="str">
            <v>€</v>
          </cell>
          <cell r="J218">
            <v>4.7699999999999996</v>
          </cell>
          <cell r="K218" t="str">
            <v>€</v>
          </cell>
          <cell r="L218">
            <v>45553.499999999993</v>
          </cell>
          <cell r="M218" t="str">
            <v>€</v>
          </cell>
          <cell r="N218">
            <v>4.7699999999999996</v>
          </cell>
          <cell r="O218" t="str">
            <v>€</v>
          </cell>
          <cell r="P218">
            <v>9523.4395381443301</v>
          </cell>
          <cell r="Q218" t="str">
            <v>KG</v>
          </cell>
          <cell r="R218">
            <v>45426.806596948452</v>
          </cell>
          <cell r="S218" t="str">
            <v>€</v>
          </cell>
          <cell r="T218">
            <v>45426.806596948452</v>
          </cell>
          <cell r="U218" t="str">
            <v>€</v>
          </cell>
          <cell r="V218">
            <v>0</v>
          </cell>
          <cell r="W218" t="str">
            <v>€</v>
          </cell>
          <cell r="X218">
            <v>436.40899999999999</v>
          </cell>
        </row>
        <row r="219">
          <cell r="A219">
            <v>340423</v>
          </cell>
          <cell r="B219" t="str">
            <v>CALAMAR ANNEAUX 60 UP LOLIGOT SPP SURGELES</v>
          </cell>
          <cell r="C219" t="str">
            <v>ACH110</v>
          </cell>
          <cell r="D219">
            <v>8840</v>
          </cell>
          <cell r="E219" t="str">
            <v>KG</v>
          </cell>
          <cell r="F219">
            <v>5.3920814479638013</v>
          </cell>
          <cell r="G219" t="str">
            <v>€</v>
          </cell>
          <cell r="H219">
            <v>47666</v>
          </cell>
          <cell r="I219" t="str">
            <v>€</v>
          </cell>
          <cell r="J219">
            <v>6.75</v>
          </cell>
          <cell r="K219" t="str">
            <v>€</v>
          </cell>
          <cell r="L219">
            <v>59670</v>
          </cell>
          <cell r="M219" t="str">
            <v>€</v>
          </cell>
          <cell r="N219">
            <v>5.5</v>
          </cell>
          <cell r="O219" t="str">
            <v>€</v>
          </cell>
          <cell r="P219">
            <v>10107.624991203462</v>
          </cell>
          <cell r="Q219" t="str">
            <v>KG</v>
          </cell>
          <cell r="R219">
            <v>55591.937451619044</v>
          </cell>
          <cell r="S219" t="str">
            <v>€</v>
          </cell>
          <cell r="T219">
            <v>68226.468690623369</v>
          </cell>
          <cell r="U219" t="str">
            <v>€</v>
          </cell>
          <cell r="V219">
            <v>-12634.531239004325</v>
          </cell>
          <cell r="W219" t="str">
            <v>€</v>
          </cell>
          <cell r="X219">
            <v>414.76299999999998</v>
          </cell>
        </row>
        <row r="220">
          <cell r="A220">
            <v>340892</v>
          </cell>
          <cell r="B220" t="str">
            <v>ESCARGOTS CHAIR LUCORUM 2/4 SURG IQF</v>
          </cell>
          <cell r="C220" t="str">
            <v>ACH113</v>
          </cell>
          <cell r="D220">
            <v>2000</v>
          </cell>
          <cell r="E220" t="str">
            <v>KG</v>
          </cell>
          <cell r="F220">
            <v>13.68</v>
          </cell>
          <cell r="G220" t="str">
            <v>€</v>
          </cell>
          <cell r="H220">
            <v>27360</v>
          </cell>
          <cell r="I220" t="str">
            <v>€</v>
          </cell>
          <cell r="J220">
            <v>11.94</v>
          </cell>
          <cell r="K220" t="str">
            <v>€</v>
          </cell>
          <cell r="L220">
            <v>23880</v>
          </cell>
          <cell r="M220" t="str">
            <v>€</v>
          </cell>
          <cell r="N220">
            <v>11.94</v>
          </cell>
          <cell r="O220" t="str">
            <v>€</v>
          </cell>
          <cell r="P220">
            <v>2436.2325457831325</v>
          </cell>
          <cell r="Q220" t="str">
            <v>KG</v>
          </cell>
          <cell r="R220">
            <v>29088.616596650601</v>
          </cell>
          <cell r="S220" t="str">
            <v>€</v>
          </cell>
          <cell r="T220">
            <v>29088.616596650601</v>
          </cell>
          <cell r="U220" t="str">
            <v>€</v>
          </cell>
          <cell r="V220">
            <v>0</v>
          </cell>
          <cell r="W220" t="str">
            <v>€</v>
          </cell>
          <cell r="X220">
            <v>187.9</v>
          </cell>
        </row>
        <row r="221">
          <cell r="A221">
            <v>338418</v>
          </cell>
          <cell r="B221" t="str">
            <v>MOULES COQUILLES 80/110 ENTIERES FERMEES SURG</v>
          </cell>
          <cell r="C221" t="str">
            <v>ACH112</v>
          </cell>
          <cell r="D221">
            <v>19550</v>
          </cell>
          <cell r="E221" t="str">
            <v>KG</v>
          </cell>
          <cell r="F221">
            <v>2.2270076726342709</v>
          </cell>
          <cell r="G221" t="str">
            <v>€</v>
          </cell>
          <cell r="H221">
            <v>43538</v>
          </cell>
          <cell r="I221" t="str">
            <v>€</v>
          </cell>
          <cell r="J221">
            <v>2.35</v>
          </cell>
          <cell r="K221" t="str">
            <v>€</v>
          </cell>
          <cell r="L221">
            <v>45942.5</v>
          </cell>
          <cell r="M221" t="str">
            <v>€</v>
          </cell>
          <cell r="N221">
            <v>2.23</v>
          </cell>
          <cell r="O221" t="str">
            <v>€</v>
          </cell>
          <cell r="P221">
            <v>19020.400000000001</v>
          </cell>
          <cell r="Q221" t="str">
            <v>KG</v>
          </cell>
          <cell r="R221">
            <v>42415.492000000006</v>
          </cell>
          <cell r="S221" t="str">
            <v>€</v>
          </cell>
          <cell r="T221">
            <v>44697.94</v>
          </cell>
          <cell r="U221" t="str">
            <v>€</v>
          </cell>
          <cell r="V221">
            <v>-2282.4479999999967</v>
          </cell>
          <cell r="W221" t="str">
            <v>€</v>
          </cell>
          <cell r="X221">
            <v>1175.9100000000001</v>
          </cell>
        </row>
        <row r="222">
          <cell r="A222">
            <v>338419</v>
          </cell>
          <cell r="B222" t="str">
            <v>MOULE DECORTIQUEES CHILI PACIFIQUE CUITE SURG</v>
          </cell>
          <cell r="C222" t="str">
            <v>ACH112</v>
          </cell>
          <cell r="D222">
            <v>895</v>
          </cell>
          <cell r="E222" t="str">
            <v>KG</v>
          </cell>
          <cell r="F222">
            <v>4.1337988826815639</v>
          </cell>
          <cell r="G222" t="str">
            <v>€</v>
          </cell>
          <cell r="H222">
            <v>3699.75</v>
          </cell>
          <cell r="I222" t="str">
            <v>€</v>
          </cell>
          <cell r="J222">
            <v>4.13</v>
          </cell>
          <cell r="K222" t="str">
            <v>€</v>
          </cell>
          <cell r="L222">
            <v>3696.35</v>
          </cell>
          <cell r="M222" t="str">
            <v>€</v>
          </cell>
          <cell r="N222">
            <v>4.13</v>
          </cell>
          <cell r="O222" t="str">
            <v>€</v>
          </cell>
          <cell r="P222">
            <v>617.80368946153851</v>
          </cell>
          <cell r="Q222" t="str">
            <v>KG</v>
          </cell>
          <cell r="R222">
            <v>2551.5292374761539</v>
          </cell>
          <cell r="S222" t="str">
            <v>€</v>
          </cell>
          <cell r="T222">
            <v>2551.5292374761539</v>
          </cell>
          <cell r="U222" t="str">
            <v>€</v>
          </cell>
          <cell r="V222">
            <v>0</v>
          </cell>
          <cell r="W222" t="str">
            <v>€</v>
          </cell>
          <cell r="X222">
            <v>216.08500000000001</v>
          </cell>
        </row>
        <row r="223">
          <cell r="A223">
            <v>338181</v>
          </cell>
          <cell r="B223" t="str">
            <v xml:space="preserve">CREVETTE QUEUS PDTO CRUES 41/50 IQF DEVEINEES </v>
          </cell>
          <cell r="C223" t="str">
            <v>ACH112</v>
          </cell>
          <cell r="D223">
            <v>11287.6</v>
          </cell>
          <cell r="E223" t="str">
            <v>KG</v>
          </cell>
          <cell r="F223">
            <v>9.6544881108473017</v>
          </cell>
          <cell r="G223" t="str">
            <v>€</v>
          </cell>
          <cell r="H223">
            <v>108976</v>
          </cell>
          <cell r="I223" t="str">
            <v>€</v>
          </cell>
          <cell r="J223">
            <v>9.1999999999999993</v>
          </cell>
          <cell r="K223" t="str">
            <v>€</v>
          </cell>
          <cell r="L223">
            <v>103845.92</v>
          </cell>
          <cell r="M223" t="str">
            <v>€</v>
          </cell>
          <cell r="N223">
            <v>9.1999999999999993</v>
          </cell>
          <cell r="O223" t="str">
            <v>€</v>
          </cell>
          <cell r="P223">
            <v>14551.867963461291</v>
          </cell>
          <cell r="Q223" t="str">
            <v>KG</v>
          </cell>
          <cell r="R223">
            <v>133877.18526384386</v>
          </cell>
          <cell r="S223" t="str">
            <v>€</v>
          </cell>
          <cell r="T223">
            <v>133877.18526384386</v>
          </cell>
          <cell r="U223" t="str">
            <v>€</v>
          </cell>
          <cell r="V223">
            <v>0</v>
          </cell>
          <cell r="W223" t="str">
            <v>€</v>
          </cell>
          <cell r="X223">
            <v>1447.279</v>
          </cell>
        </row>
        <row r="224">
          <cell r="A224">
            <v>338403</v>
          </cell>
          <cell r="B224" t="str">
            <v>CREVETTE DECORTIQUE 41/50 VANAMEI</v>
          </cell>
          <cell r="C224" t="str">
            <v>ACH112</v>
          </cell>
          <cell r="D224">
            <v>6176</v>
          </cell>
          <cell r="E224" t="str">
            <v>KG</v>
          </cell>
          <cell r="F224">
            <v>10.867195595854923</v>
          </cell>
          <cell r="G224" t="str">
            <v>€</v>
          </cell>
          <cell r="H224">
            <v>67115.8</v>
          </cell>
          <cell r="I224" t="str">
            <v>€</v>
          </cell>
          <cell r="J224">
            <v>11.7</v>
          </cell>
          <cell r="K224" t="str">
            <v>€</v>
          </cell>
          <cell r="L224">
            <v>72259.199999999997</v>
          </cell>
          <cell r="M224" t="str">
            <v>€</v>
          </cell>
          <cell r="N224">
            <v>11.7</v>
          </cell>
          <cell r="O224" t="str">
            <v>€</v>
          </cell>
          <cell r="P224">
            <v>8959.2076816510144</v>
          </cell>
          <cell r="Q224" t="str">
            <v>KG</v>
          </cell>
          <cell r="R224">
            <v>104822.72987531686</v>
          </cell>
          <cell r="S224" t="str">
            <v>€</v>
          </cell>
          <cell r="T224">
            <v>104822.72987531686</v>
          </cell>
          <cell r="U224" t="str">
            <v>€</v>
          </cell>
          <cell r="V224">
            <v>0</v>
          </cell>
          <cell r="W224" t="str">
            <v>€</v>
          </cell>
          <cell r="X224">
            <v>394</v>
          </cell>
        </row>
        <row r="225">
          <cell r="A225">
            <v>338407</v>
          </cell>
          <cell r="B225" t="str">
            <v>LANGOUSTINE BISQUE 1</v>
          </cell>
          <cell r="C225" t="str">
            <v>ACH112</v>
          </cell>
          <cell r="D225">
            <v>1919</v>
          </cell>
          <cell r="E225" t="str">
            <v>KG</v>
          </cell>
          <cell r="F225">
            <v>2.3499999999999996</v>
          </cell>
          <cell r="G225" t="str">
            <v>€</v>
          </cell>
          <cell r="H225">
            <v>4509.6499999999996</v>
          </cell>
          <cell r="I225" t="str">
            <v>€</v>
          </cell>
          <cell r="J225">
            <v>2.4</v>
          </cell>
          <cell r="K225" t="str">
            <v>€</v>
          </cell>
          <cell r="L225">
            <v>4605.5999999999995</v>
          </cell>
          <cell r="M225" t="str">
            <v>€</v>
          </cell>
          <cell r="N225">
            <v>2.4</v>
          </cell>
          <cell r="O225" t="str">
            <v>€</v>
          </cell>
          <cell r="P225">
            <v>2812.8003149934002</v>
          </cell>
          <cell r="Q225" t="str">
            <v>KG</v>
          </cell>
          <cell r="R225">
            <v>6750.72075598416</v>
          </cell>
          <cell r="S225" t="str">
            <v>€</v>
          </cell>
          <cell r="T225">
            <v>6750.72075598416</v>
          </cell>
          <cell r="U225" t="str">
            <v>€</v>
          </cell>
          <cell r="V225">
            <v>0</v>
          </cell>
          <cell r="W225" t="str">
            <v>€</v>
          </cell>
          <cell r="X225">
            <v>23</v>
          </cell>
        </row>
        <row r="226">
          <cell r="A226">
            <v>338462</v>
          </cell>
          <cell r="B226" t="str">
            <v>CREVETTES DECORTIQUEES CRUES CONG OCEAN INDIEN 40/60 AUCHAN FIL</v>
          </cell>
          <cell r="C226" t="str">
            <v>ACH112</v>
          </cell>
          <cell r="D226">
            <v>-100</v>
          </cell>
          <cell r="E226" t="str">
            <v>KG</v>
          </cell>
          <cell r="F226">
            <v>4.9000000000000004</v>
          </cell>
          <cell r="G226" t="str">
            <v>€</v>
          </cell>
          <cell r="H226">
            <v>-490</v>
          </cell>
          <cell r="I226" t="str">
            <v>€</v>
          </cell>
          <cell r="K226" t="str">
            <v>€</v>
          </cell>
          <cell r="L226">
            <v>0</v>
          </cell>
          <cell r="M226" t="str">
            <v>€</v>
          </cell>
          <cell r="O226" t="str">
            <v>€</v>
          </cell>
          <cell r="Q226" t="str">
            <v>KG</v>
          </cell>
          <cell r="S226" t="str">
            <v>€</v>
          </cell>
          <cell r="U226" t="str">
            <v>€</v>
          </cell>
          <cell r="W226" t="str">
            <v>€</v>
          </cell>
        </row>
        <row r="227">
          <cell r="A227">
            <v>339701</v>
          </cell>
          <cell r="B227" t="str">
            <v>CREVETTE DECO CUITE IQF DECORTIQUEE  BLANCHIE 300/500 SURG</v>
          </cell>
          <cell r="C227" t="str">
            <v>ACH112</v>
          </cell>
          <cell r="D227">
            <v>60</v>
          </cell>
          <cell r="E227" t="str">
            <v>KG</v>
          </cell>
          <cell r="F227">
            <v>5.45</v>
          </cell>
          <cell r="G227" t="str">
            <v>€</v>
          </cell>
          <cell r="H227">
            <v>327</v>
          </cell>
          <cell r="I227" t="str">
            <v>€</v>
          </cell>
          <cell r="J227">
            <v>5.6</v>
          </cell>
          <cell r="K227" t="str">
            <v>€</v>
          </cell>
          <cell r="L227">
            <v>336</v>
          </cell>
          <cell r="M227" t="str">
            <v>€</v>
          </cell>
          <cell r="N227">
            <v>0</v>
          </cell>
          <cell r="O227" t="str">
            <v>€</v>
          </cell>
          <cell r="P227">
            <v>29.238378999999998</v>
          </cell>
          <cell r="Q227" t="str">
            <v>KG</v>
          </cell>
          <cell r="R227">
            <v>0</v>
          </cell>
          <cell r="S227" t="str">
            <v>€</v>
          </cell>
          <cell r="T227">
            <v>163.73492239999999</v>
          </cell>
          <cell r="U227" t="str">
            <v>€</v>
          </cell>
          <cell r="V227">
            <v>-163.73492239999999</v>
          </cell>
          <cell r="W227" t="str">
            <v>€</v>
          </cell>
          <cell r="X227">
            <v>26.684999999999999</v>
          </cell>
        </row>
        <row r="228">
          <cell r="A228">
            <v>340202</v>
          </cell>
          <cell r="B228" t="str">
            <v>NOIX ST JACQ 20/30 PLACOPEC CONG</v>
          </cell>
          <cell r="C228" t="str">
            <v>ACH112</v>
          </cell>
          <cell r="D228">
            <v>700</v>
          </cell>
          <cell r="E228" t="str">
            <v>KG</v>
          </cell>
          <cell r="F228">
            <v>34</v>
          </cell>
          <cell r="G228" t="str">
            <v>€</v>
          </cell>
          <cell r="H228">
            <v>23800</v>
          </cell>
          <cell r="I228" t="str">
            <v>€</v>
          </cell>
          <cell r="J228">
            <v>34.68</v>
          </cell>
          <cell r="K228" t="str">
            <v>€</v>
          </cell>
          <cell r="L228">
            <v>24276</v>
          </cell>
          <cell r="M228" t="str">
            <v>€</v>
          </cell>
          <cell r="N228">
            <v>34.68</v>
          </cell>
          <cell r="O228" t="str">
            <v>€</v>
          </cell>
          <cell r="P228">
            <v>968.61119331989244</v>
          </cell>
          <cell r="Q228" t="str">
            <v>KG</v>
          </cell>
          <cell r="R228">
            <v>33591.43618433387</v>
          </cell>
          <cell r="S228" t="str">
            <v>€</v>
          </cell>
          <cell r="T228">
            <v>33591.43618433387</v>
          </cell>
          <cell r="U228" t="str">
            <v>€</v>
          </cell>
          <cell r="V228">
            <v>0</v>
          </cell>
          <cell r="W228" t="str">
            <v>€</v>
          </cell>
          <cell r="X228">
            <v>178.09299999999999</v>
          </cell>
        </row>
        <row r="229">
          <cell r="A229">
            <v>346118</v>
          </cell>
          <cell r="B229" t="str">
            <v>CREVETTE ENTIÈRE CRUE ELEVAGE 40/50 CGL</v>
          </cell>
          <cell r="C229" t="str">
            <v>ACH112</v>
          </cell>
          <cell r="D229">
            <v>23732</v>
          </cell>
          <cell r="E229" t="str">
            <v>KG</v>
          </cell>
          <cell r="F229">
            <v>5.5051660205629531</v>
          </cell>
          <cell r="G229" t="str">
            <v>€</v>
          </cell>
          <cell r="H229">
            <v>130648.6</v>
          </cell>
          <cell r="I229" t="str">
            <v>€</v>
          </cell>
          <cell r="J229">
            <v>7.48</v>
          </cell>
          <cell r="K229" t="str">
            <v>€</v>
          </cell>
          <cell r="L229">
            <v>177515.36000000002</v>
          </cell>
          <cell r="M229" t="str">
            <v>€</v>
          </cell>
          <cell r="N229">
            <v>5.85</v>
          </cell>
          <cell r="O229" t="str">
            <v>€</v>
          </cell>
          <cell r="P229">
            <v>23573.439519076925</v>
          </cell>
          <cell r="Q229" t="str">
            <v>KG</v>
          </cell>
          <cell r="R229">
            <v>137904.62118660001</v>
          </cell>
          <cell r="S229" t="str">
            <v>€</v>
          </cell>
          <cell r="T229">
            <v>176329.32760269541</v>
          </cell>
          <cell r="U229" t="str">
            <v>€</v>
          </cell>
          <cell r="V229">
            <v>-38424.706416095403</v>
          </cell>
          <cell r="W229" t="str">
            <v>€</v>
          </cell>
          <cell r="X229">
            <v>493</v>
          </cell>
        </row>
        <row r="230">
          <cell r="A230">
            <v>360419</v>
          </cell>
          <cell r="B230" t="str">
            <v>NOIX ST JACQUES 60/80 CHLAMYS OP/PATAGO</v>
          </cell>
          <cell r="C230" t="str">
            <v>ACH112</v>
          </cell>
          <cell r="D230">
            <v>15489</v>
          </cell>
          <cell r="E230" t="str">
            <v>KG</v>
          </cell>
          <cell r="F230">
            <v>13.720956808057331</v>
          </cell>
          <cell r="G230" t="str">
            <v>€</v>
          </cell>
          <cell r="H230">
            <v>212523.9</v>
          </cell>
          <cell r="I230" t="str">
            <v>€</v>
          </cell>
          <cell r="J230">
            <v>18</v>
          </cell>
          <cell r="K230" t="str">
            <v>€</v>
          </cell>
          <cell r="L230">
            <v>278802</v>
          </cell>
          <cell r="M230" t="str">
            <v>€</v>
          </cell>
          <cell r="N230">
            <v>12.7</v>
          </cell>
          <cell r="O230" t="str">
            <v>€</v>
          </cell>
          <cell r="P230">
            <v>14375.016666065871</v>
          </cell>
          <cell r="Q230" t="str">
            <v>KG</v>
          </cell>
          <cell r="R230">
            <v>182562.71165903655</v>
          </cell>
          <cell r="S230" t="str">
            <v>€</v>
          </cell>
          <cell r="T230">
            <v>258750.29998918567</v>
          </cell>
          <cell r="U230" t="str">
            <v>€</v>
          </cell>
          <cell r="V230">
            <v>-76187.588330149127</v>
          </cell>
          <cell r="W230" t="str">
            <v>€</v>
          </cell>
          <cell r="X230">
            <v>2109.5</v>
          </cell>
        </row>
        <row r="231">
          <cell r="A231">
            <v>338413</v>
          </cell>
          <cell r="B231" t="str">
            <v>LOTTE MORCEAUX USA 35/55 SS QUEUE SS PEAU ISSUE 400/800 SURG IQF</v>
          </cell>
          <cell r="C231" t="str">
            <v>ACH110</v>
          </cell>
          <cell r="D231">
            <v>6260</v>
          </cell>
          <cell r="E231" t="str">
            <v>KG</v>
          </cell>
          <cell r="F231">
            <v>15.7</v>
          </cell>
          <cell r="G231" t="str">
            <v>€</v>
          </cell>
          <cell r="H231">
            <v>98282</v>
          </cell>
          <cell r="I231" t="str">
            <v>€</v>
          </cell>
          <cell r="J231">
            <v>15.7</v>
          </cell>
          <cell r="K231" t="str">
            <v>€</v>
          </cell>
          <cell r="L231">
            <v>98282</v>
          </cell>
          <cell r="M231" t="str">
            <v>€</v>
          </cell>
          <cell r="N231">
            <v>15.7</v>
          </cell>
          <cell r="O231" t="str">
            <v>€</v>
          </cell>
          <cell r="P231">
            <v>7376.0306794360904</v>
          </cell>
          <cell r="Q231" t="str">
            <v>KG</v>
          </cell>
          <cell r="R231">
            <v>115803.68166714661</v>
          </cell>
          <cell r="S231" t="str">
            <v>€</v>
          </cell>
          <cell r="T231">
            <v>115803.68166714661</v>
          </cell>
          <cell r="U231" t="str">
            <v>€</v>
          </cell>
          <cell r="V231">
            <v>0</v>
          </cell>
          <cell r="W231" t="str">
            <v>€</v>
          </cell>
          <cell r="X231">
            <v>936</v>
          </cell>
        </row>
        <row r="232">
          <cell r="A232">
            <v>338417</v>
          </cell>
          <cell r="B232" t="str">
            <v>MORUE BITS &amp; PIECES</v>
          </cell>
          <cell r="C232" t="str">
            <v>ACH110</v>
          </cell>
          <cell r="D232">
            <v>3709.5</v>
          </cell>
          <cell r="E232" t="str">
            <v>KG</v>
          </cell>
          <cell r="F232">
            <v>6.5835692141798088</v>
          </cell>
          <cell r="G232" t="str">
            <v>€</v>
          </cell>
          <cell r="H232">
            <v>24421.75</v>
          </cell>
          <cell r="I232" t="str">
            <v>€</v>
          </cell>
          <cell r="J232">
            <v>6.1</v>
          </cell>
          <cell r="K232" t="str">
            <v>€</v>
          </cell>
          <cell r="L232">
            <v>22627.949999999997</v>
          </cell>
          <cell r="M232" t="str">
            <v>€</v>
          </cell>
          <cell r="N232">
            <v>6.1</v>
          </cell>
          <cell r="O232" t="str">
            <v>€</v>
          </cell>
          <cell r="P232">
            <v>3356.0351538461537</v>
          </cell>
          <cell r="Q232" t="str">
            <v>KG</v>
          </cell>
          <cell r="R232">
            <v>20471.814438461537</v>
          </cell>
          <cell r="S232" t="str">
            <v>€</v>
          </cell>
          <cell r="T232">
            <v>20471.814438461537</v>
          </cell>
          <cell r="U232" t="str">
            <v>€</v>
          </cell>
          <cell r="V232">
            <v>0</v>
          </cell>
          <cell r="W232" t="str">
            <v>€</v>
          </cell>
          <cell r="X232">
            <v>630.22699999999998</v>
          </cell>
        </row>
        <row r="233">
          <cell r="A233">
            <v>338427</v>
          </cell>
          <cell r="B233" t="str">
            <v>SAUMON PAUPIETTE 125</v>
          </cell>
          <cell r="C233" t="str">
            <v>ACH110</v>
          </cell>
          <cell r="D233">
            <v>2052</v>
          </cell>
          <cell r="E233" t="str">
            <v>KG</v>
          </cell>
          <cell r="F233">
            <v>4.9269980506822613</v>
          </cell>
          <cell r="G233" t="str">
            <v>€</v>
          </cell>
          <cell r="H233">
            <v>10110.200000000001</v>
          </cell>
          <cell r="I233" t="str">
            <v>€</v>
          </cell>
          <cell r="J233">
            <v>5.21</v>
          </cell>
          <cell r="K233" t="str">
            <v>€</v>
          </cell>
          <cell r="L233">
            <v>10690.92</v>
          </cell>
          <cell r="M233" t="str">
            <v>€</v>
          </cell>
          <cell r="O233" t="str">
            <v>€</v>
          </cell>
          <cell r="Q233" t="str">
            <v>KG</v>
          </cell>
          <cell r="S233" t="str">
            <v>€</v>
          </cell>
          <cell r="U233" t="str">
            <v>€</v>
          </cell>
          <cell r="W233" t="str">
            <v>€</v>
          </cell>
        </row>
        <row r="234">
          <cell r="A234">
            <v>338483</v>
          </cell>
          <cell r="B234" t="str">
            <v>FILET LOTTE CAP CONGELE 80-100  (POUR POCHE)</v>
          </cell>
          <cell r="C234" t="str">
            <v>ACH110</v>
          </cell>
          <cell r="D234">
            <v>9065</v>
          </cell>
          <cell r="E234" t="str">
            <v>KG</v>
          </cell>
          <cell r="F234">
            <v>14.173436293436293</v>
          </cell>
          <cell r="G234" t="str">
            <v>€</v>
          </cell>
          <cell r="H234">
            <v>128482.2</v>
          </cell>
          <cell r="I234" t="str">
            <v>€</v>
          </cell>
          <cell r="J234">
            <v>16</v>
          </cell>
          <cell r="K234" t="str">
            <v>€</v>
          </cell>
          <cell r="L234">
            <v>145040</v>
          </cell>
          <cell r="M234" t="str">
            <v>€</v>
          </cell>
          <cell r="O234" t="str">
            <v>€</v>
          </cell>
          <cell r="P234">
            <v>972.72433249999995</v>
          </cell>
          <cell r="Q234" t="str">
            <v>KG</v>
          </cell>
          <cell r="S234" t="str">
            <v>€</v>
          </cell>
          <cell r="T234">
            <v>15563.589319999999</v>
          </cell>
          <cell r="U234" t="str">
            <v>€</v>
          </cell>
          <cell r="W234" t="str">
            <v>€</v>
          </cell>
          <cell r="X234">
            <v>1135.7</v>
          </cell>
        </row>
        <row r="235">
          <cell r="A235">
            <v>338626</v>
          </cell>
          <cell r="B235" t="str">
            <v>SAUMON PORTIONS DE FILET IQF NORVEGE SANS PEAU 80/90 G</v>
          </cell>
          <cell r="C235" t="str">
            <v>ACH110</v>
          </cell>
          <cell r="D235">
            <v>25542</v>
          </cell>
          <cell r="E235" t="str">
            <v>KG</v>
          </cell>
          <cell r="F235">
            <v>15.481692897971969</v>
          </cell>
          <cell r="G235" t="str">
            <v>€</v>
          </cell>
          <cell r="H235">
            <v>395433.4</v>
          </cell>
          <cell r="I235" t="str">
            <v>€</v>
          </cell>
          <cell r="J235">
            <v>17</v>
          </cell>
          <cell r="K235" t="str">
            <v>€</v>
          </cell>
          <cell r="L235">
            <v>434214</v>
          </cell>
          <cell r="M235" t="str">
            <v>€</v>
          </cell>
          <cell r="N235">
            <v>13.75</v>
          </cell>
          <cell r="O235" t="str">
            <v>€</v>
          </cell>
          <cell r="P235">
            <v>27170.76</v>
          </cell>
          <cell r="Q235" t="str">
            <v>KG</v>
          </cell>
          <cell r="R235">
            <v>373597.94999999995</v>
          </cell>
          <cell r="S235" t="str">
            <v>€</v>
          </cell>
          <cell r="T235">
            <v>461902.92</v>
          </cell>
          <cell r="U235" t="str">
            <v>€</v>
          </cell>
          <cell r="V235">
            <v>-88304.97000000003</v>
          </cell>
          <cell r="W235" t="str">
            <v>€</v>
          </cell>
          <cell r="X235">
            <v>1386</v>
          </cell>
        </row>
        <row r="236">
          <cell r="A236">
            <v>340581</v>
          </cell>
          <cell r="B236" t="str">
            <v>COLIN LIEU 110G S/A SURG MORCEAUX INF OU EGAL 13CM</v>
          </cell>
          <cell r="C236" t="str">
            <v>ACH110</v>
          </cell>
          <cell r="D236">
            <v>4105</v>
          </cell>
          <cell r="E236" t="str">
            <v>KG</v>
          </cell>
          <cell r="F236">
            <v>6.2872107186358104</v>
          </cell>
          <cell r="G236" t="str">
            <v>€</v>
          </cell>
          <cell r="H236">
            <v>25809</v>
          </cell>
          <cell r="I236" t="str">
            <v>€</v>
          </cell>
          <cell r="J236">
            <v>6.35</v>
          </cell>
          <cell r="K236" t="str">
            <v>€</v>
          </cell>
          <cell r="L236">
            <v>26066.75</v>
          </cell>
          <cell r="M236" t="str">
            <v>€</v>
          </cell>
          <cell r="N236">
            <v>6.35</v>
          </cell>
          <cell r="O236" t="str">
            <v>€</v>
          </cell>
          <cell r="P236">
            <v>4792.1295471923077</v>
          </cell>
          <cell r="Q236" t="str">
            <v>KG</v>
          </cell>
          <cell r="R236">
            <v>30430.022624671154</v>
          </cell>
          <cell r="S236" t="str">
            <v>€</v>
          </cell>
          <cell r="T236">
            <v>30430.022624671154</v>
          </cell>
          <cell r="U236" t="str">
            <v>€</v>
          </cell>
          <cell r="V236">
            <v>0</v>
          </cell>
          <cell r="W236" t="str">
            <v>€</v>
          </cell>
          <cell r="X236">
            <v>635</v>
          </cell>
        </row>
        <row r="237">
          <cell r="A237">
            <v>340867</v>
          </cell>
          <cell r="B237" t="str">
            <v>CUBES SAUMON 15X15X15 MM ATLANTIQUE IQF SANS PEAU</v>
          </cell>
          <cell r="C237" t="str">
            <v>ACH110</v>
          </cell>
          <cell r="D237">
            <v>5042.3999999999996</v>
          </cell>
          <cell r="E237" t="str">
            <v>KG</v>
          </cell>
          <cell r="F237">
            <v>13.10834324924639</v>
          </cell>
          <cell r="G237" t="str">
            <v>€</v>
          </cell>
          <cell r="H237">
            <v>66097.509999999995</v>
          </cell>
          <cell r="I237" t="str">
            <v>€</v>
          </cell>
          <cell r="J237">
            <v>14</v>
          </cell>
          <cell r="K237" t="str">
            <v>€</v>
          </cell>
          <cell r="L237">
            <v>70593.599999999991</v>
          </cell>
          <cell r="M237" t="str">
            <v>€</v>
          </cell>
          <cell r="N237">
            <v>13.83</v>
          </cell>
          <cell r="O237" t="str">
            <v>€</v>
          </cell>
          <cell r="P237">
            <v>5015.2711931538461</v>
          </cell>
          <cell r="Q237" t="str">
            <v>KG</v>
          </cell>
          <cell r="R237">
            <v>69361.200601317687</v>
          </cell>
          <cell r="S237" t="str">
            <v>€</v>
          </cell>
          <cell r="T237">
            <v>70213.79670415385</v>
          </cell>
          <cell r="U237" t="str">
            <v>€</v>
          </cell>
          <cell r="V237">
            <v>-852.59610283616348</v>
          </cell>
          <cell r="W237" t="str">
            <v>€</v>
          </cell>
          <cell r="X237">
            <v>486</v>
          </cell>
        </row>
        <row r="238">
          <cell r="A238">
            <v>340868</v>
          </cell>
          <cell r="B238" t="str">
            <v>CHAIR DE TOURTEAUX ISSUE DE CHAIR BLANCHE SURG</v>
          </cell>
          <cell r="C238" t="str">
            <v>ACH110</v>
          </cell>
          <cell r="D238">
            <v>72</v>
          </cell>
          <cell r="E238" t="str">
            <v>KG</v>
          </cell>
          <cell r="F238">
            <v>24.950000000000003</v>
          </cell>
          <cell r="G238" t="str">
            <v>€</v>
          </cell>
          <cell r="H238">
            <v>1796.4</v>
          </cell>
          <cell r="I238" t="str">
            <v>€</v>
          </cell>
          <cell r="J238">
            <v>25</v>
          </cell>
          <cell r="K238" t="str">
            <v>€</v>
          </cell>
          <cell r="L238">
            <v>1800</v>
          </cell>
          <cell r="M238" t="str">
            <v>€</v>
          </cell>
          <cell r="O238" t="str">
            <v>€</v>
          </cell>
          <cell r="P238">
            <v>60.117750000000001</v>
          </cell>
          <cell r="Q238" t="str">
            <v>KG</v>
          </cell>
          <cell r="S238" t="str">
            <v>€</v>
          </cell>
          <cell r="T238">
            <v>1502.9437499999999</v>
          </cell>
          <cell r="U238" t="str">
            <v>€</v>
          </cell>
          <cell r="W238" t="str">
            <v>€</v>
          </cell>
          <cell r="X238">
            <v>7.7</v>
          </cell>
        </row>
        <row r="239">
          <cell r="A239">
            <v>343904</v>
          </cell>
          <cell r="B239" t="str">
            <v>MORUE 7.5KG SEL 2%</v>
          </cell>
          <cell r="C239" t="str">
            <v>ACH110</v>
          </cell>
          <cell r="D239">
            <v>5837.52</v>
          </cell>
          <cell r="E239" t="str">
            <v>KG</v>
          </cell>
          <cell r="F239">
            <v>3.2653849579958609</v>
          </cell>
          <cell r="G239" t="str">
            <v>€</v>
          </cell>
          <cell r="H239">
            <v>19061.75</v>
          </cell>
          <cell r="I239" t="str">
            <v>€</v>
          </cell>
          <cell r="J239">
            <v>3</v>
          </cell>
          <cell r="K239" t="str">
            <v>€</v>
          </cell>
          <cell r="L239">
            <v>17512.560000000001</v>
          </cell>
          <cell r="M239" t="str">
            <v>€</v>
          </cell>
          <cell r="N239">
            <v>3</v>
          </cell>
          <cell r="O239" t="str">
            <v>€</v>
          </cell>
          <cell r="P239">
            <v>5817.2891538461536</v>
          </cell>
          <cell r="Q239" t="str">
            <v>KG</v>
          </cell>
          <cell r="R239">
            <v>17451.867461538459</v>
          </cell>
          <cell r="S239" t="str">
            <v>€</v>
          </cell>
          <cell r="T239">
            <v>17451.867461538459</v>
          </cell>
          <cell r="U239" t="str">
            <v>€</v>
          </cell>
          <cell r="V239">
            <v>0</v>
          </cell>
          <cell r="W239" t="str">
            <v>€</v>
          </cell>
          <cell r="X239">
            <v>1931.2739999999999</v>
          </cell>
        </row>
        <row r="240">
          <cell r="A240">
            <v>360418</v>
          </cell>
          <cell r="B240" t="str">
            <v>MERLU BLANC DU CAP DOS MSC 20-30G</v>
          </cell>
          <cell r="C240" t="str">
            <v>ACH110</v>
          </cell>
          <cell r="D240">
            <v>2645</v>
          </cell>
          <cell r="E240" t="str">
            <v>KG</v>
          </cell>
          <cell r="F240">
            <v>10.95</v>
          </cell>
          <cell r="G240" t="str">
            <v>€</v>
          </cell>
          <cell r="H240">
            <v>28962.75</v>
          </cell>
          <cell r="I240" t="str">
            <v>€</v>
          </cell>
          <cell r="J240">
            <v>9.85</v>
          </cell>
          <cell r="K240" t="str">
            <v>€</v>
          </cell>
          <cell r="L240">
            <v>26053.25</v>
          </cell>
          <cell r="M240" t="str">
            <v>€</v>
          </cell>
          <cell r="O240" t="str">
            <v>€</v>
          </cell>
          <cell r="P240">
            <v>5005.4857462222226</v>
          </cell>
          <cell r="Q240" t="str">
            <v>KG</v>
          </cell>
          <cell r="S240" t="str">
            <v>€</v>
          </cell>
          <cell r="T240">
            <v>49304.034600288891</v>
          </cell>
          <cell r="U240" t="str">
            <v>€</v>
          </cell>
          <cell r="W240" t="str">
            <v>€</v>
          </cell>
          <cell r="X240">
            <v>1770</v>
          </cell>
        </row>
        <row r="241">
          <cell r="A241">
            <v>360421</v>
          </cell>
          <cell r="B241" t="str">
            <v>CABILLAUD DOS 100/120 NET IQF</v>
          </cell>
          <cell r="C241" t="str">
            <v>ACH110</v>
          </cell>
          <cell r="D241">
            <v>8737.7999999999993</v>
          </cell>
          <cell r="E241" t="str">
            <v>KG</v>
          </cell>
          <cell r="F241">
            <v>10.315364279338048</v>
          </cell>
          <cell r="G241" t="str">
            <v>€</v>
          </cell>
          <cell r="H241">
            <v>90133.59</v>
          </cell>
          <cell r="I241" t="str">
            <v>€</v>
          </cell>
          <cell r="J241">
            <v>9.0500000000000007</v>
          </cell>
          <cell r="K241" t="str">
            <v>€</v>
          </cell>
          <cell r="L241">
            <v>79077.09</v>
          </cell>
          <cell r="M241" t="str">
            <v>€</v>
          </cell>
          <cell r="N241">
            <v>9.0500000000000007</v>
          </cell>
          <cell r="O241" t="str">
            <v>€</v>
          </cell>
          <cell r="P241">
            <v>9614</v>
          </cell>
          <cell r="Q241" t="str">
            <v>KG</v>
          </cell>
          <cell r="R241">
            <v>87006.700000000012</v>
          </cell>
          <cell r="S241" t="str">
            <v>€</v>
          </cell>
          <cell r="T241">
            <v>87006.700000000012</v>
          </cell>
          <cell r="U241" t="str">
            <v>€</v>
          </cell>
          <cell r="V241">
            <v>0</v>
          </cell>
          <cell r="W241" t="str">
            <v>€</v>
          </cell>
          <cell r="X241">
            <v>1270</v>
          </cell>
        </row>
        <row r="242">
          <cell r="A242">
            <v>370005</v>
          </cell>
          <cell r="B242" t="str">
            <v>SAUMON PAVE  80/90 SS PEAU SS ARETES CHILI SALMO SAL</v>
          </cell>
          <cell r="C242" t="str">
            <v>ACH110</v>
          </cell>
          <cell r="D242">
            <v>42506.8</v>
          </cell>
          <cell r="E242" t="str">
            <v>KG</v>
          </cell>
          <cell r="F242">
            <v>13.135472442056329</v>
          </cell>
          <cell r="G242" t="str">
            <v>€</v>
          </cell>
          <cell r="H242">
            <v>558346.9</v>
          </cell>
          <cell r="I242" t="str">
            <v>€</v>
          </cell>
          <cell r="J242">
            <v>15.15</v>
          </cell>
          <cell r="K242" t="str">
            <v>€</v>
          </cell>
          <cell r="L242">
            <v>643978.02</v>
          </cell>
          <cell r="M242" t="str">
            <v>€</v>
          </cell>
          <cell r="N242">
            <v>15.2</v>
          </cell>
          <cell r="O242" t="str">
            <v>€</v>
          </cell>
          <cell r="P242">
            <v>49522.7</v>
          </cell>
          <cell r="Q242" t="str">
            <v>KG</v>
          </cell>
          <cell r="R242">
            <v>752745.03999999992</v>
          </cell>
          <cell r="S242" t="str">
            <v>€</v>
          </cell>
          <cell r="T242">
            <v>750268.90500000003</v>
          </cell>
          <cell r="U242" t="str">
            <v>€</v>
          </cell>
          <cell r="V242">
            <v>2476.1349999998929</v>
          </cell>
          <cell r="W242" t="str">
            <v>€</v>
          </cell>
          <cell r="X242">
            <v>3403.3</v>
          </cell>
        </row>
        <row r="243">
          <cell r="A243">
            <v>338021</v>
          </cell>
          <cell r="B243" t="str">
            <v>BLANC D OEUF POUDRE</v>
          </cell>
          <cell r="C243" t="str">
            <v>ACH113</v>
          </cell>
          <cell r="D243">
            <v>133</v>
          </cell>
          <cell r="E243" t="str">
            <v>KG</v>
          </cell>
          <cell r="F243">
            <v>16.653383458646616</v>
          </cell>
          <cell r="G243" t="str">
            <v>€</v>
          </cell>
          <cell r="H243">
            <v>2214.9</v>
          </cell>
          <cell r="I243" t="str">
            <v>€</v>
          </cell>
          <cell r="J243">
            <v>17.88</v>
          </cell>
          <cell r="K243" t="str">
            <v>€</v>
          </cell>
          <cell r="L243">
            <v>2378.04</v>
          </cell>
          <cell r="M243" t="str">
            <v>€</v>
          </cell>
          <cell r="N243">
            <v>17.88</v>
          </cell>
          <cell r="O243" t="str">
            <v>€</v>
          </cell>
          <cell r="P243">
            <v>50.859278009259256</v>
          </cell>
          <cell r="Q243" t="str">
            <v>KG</v>
          </cell>
          <cell r="R243">
            <v>909.36389080555546</v>
          </cell>
          <cell r="S243" t="str">
            <v>€</v>
          </cell>
          <cell r="T243">
            <v>909.36389080555546</v>
          </cell>
          <cell r="U243" t="str">
            <v>€</v>
          </cell>
          <cell r="V243">
            <v>0</v>
          </cell>
          <cell r="W243" t="str">
            <v>€</v>
          </cell>
          <cell r="X243">
            <v>6.9834290000000001</v>
          </cell>
        </row>
        <row r="244">
          <cell r="A244">
            <v>339460</v>
          </cell>
          <cell r="B244" t="str">
            <v>OMELETTE NATURE BROUILLES SURGELES OEUF FRANCE</v>
          </cell>
          <cell r="C244" t="str">
            <v>ACH113</v>
          </cell>
          <cell r="D244">
            <v>620</v>
          </cell>
          <cell r="E244" t="str">
            <v>KG</v>
          </cell>
          <cell r="F244">
            <v>5.1570967741935485</v>
          </cell>
          <cell r="G244" t="str">
            <v>€</v>
          </cell>
          <cell r="H244">
            <v>3197.4</v>
          </cell>
          <cell r="I244" t="str">
            <v>€</v>
          </cell>
          <cell r="J244">
            <v>5.12</v>
          </cell>
          <cell r="K244" t="str">
            <v>€</v>
          </cell>
          <cell r="L244">
            <v>3174.4</v>
          </cell>
          <cell r="M244" t="str">
            <v>€</v>
          </cell>
          <cell r="N244">
            <v>5.12</v>
          </cell>
          <cell r="O244" t="str">
            <v>€</v>
          </cell>
          <cell r="P244">
            <v>724.73152235368752</v>
          </cell>
          <cell r="Q244" t="str">
            <v>KG</v>
          </cell>
          <cell r="R244">
            <v>3710.6253944508803</v>
          </cell>
          <cell r="S244" t="str">
            <v>€</v>
          </cell>
          <cell r="T244">
            <v>3710.6253944508803</v>
          </cell>
          <cell r="U244" t="str">
            <v>€</v>
          </cell>
          <cell r="V244">
            <v>0</v>
          </cell>
          <cell r="W244" t="str">
            <v>€</v>
          </cell>
          <cell r="X244">
            <v>3.1349999999999998</v>
          </cell>
        </row>
        <row r="245">
          <cell r="A245">
            <v>338230</v>
          </cell>
          <cell r="B245" t="str">
            <v xml:space="preserve">BEURRE DOUX 82 % </v>
          </cell>
          <cell r="C245" t="str">
            <v>ACH113</v>
          </cell>
          <cell r="D245">
            <v>32680</v>
          </cell>
          <cell r="E245" t="str">
            <v>KG</v>
          </cell>
          <cell r="F245">
            <v>7.3395838433292537</v>
          </cell>
          <cell r="G245" t="str">
            <v>€</v>
          </cell>
          <cell r="H245">
            <v>239857.6</v>
          </cell>
          <cell r="I245" t="str">
            <v>€</v>
          </cell>
          <cell r="J245">
            <v>6.4</v>
          </cell>
          <cell r="K245" t="str">
            <v>€</v>
          </cell>
          <cell r="L245">
            <v>209152</v>
          </cell>
          <cell r="M245" t="str">
            <v>€</v>
          </cell>
          <cell r="N245">
            <v>6.4</v>
          </cell>
          <cell r="O245" t="str">
            <v>€</v>
          </cell>
          <cell r="P245">
            <v>41891.650546657016</v>
          </cell>
          <cell r="Q245" t="str">
            <v>KG</v>
          </cell>
          <cell r="R245">
            <v>268106.56349860493</v>
          </cell>
          <cell r="S245" t="str">
            <v>€</v>
          </cell>
          <cell r="T245">
            <v>268106.56349860493</v>
          </cell>
          <cell r="U245" t="str">
            <v>€</v>
          </cell>
          <cell r="V245">
            <v>0</v>
          </cell>
          <cell r="W245" t="str">
            <v>€</v>
          </cell>
          <cell r="X245">
            <v>751.23800000000006</v>
          </cell>
        </row>
        <row r="246">
          <cell r="A246">
            <v>338234</v>
          </cell>
          <cell r="B246" t="str">
            <v>FROMAGE EMMENTAL RAPE</v>
          </cell>
          <cell r="C246" t="str">
            <v>ACH113</v>
          </cell>
          <cell r="D246">
            <v>8999</v>
          </cell>
          <cell r="E246" t="str">
            <v>KG</v>
          </cell>
          <cell r="F246">
            <v>5.5700633403711519</v>
          </cell>
          <cell r="G246" t="str">
            <v>€</v>
          </cell>
          <cell r="H246">
            <v>50125</v>
          </cell>
          <cell r="I246" t="str">
            <v>€</v>
          </cell>
          <cell r="J246">
            <v>6.48</v>
          </cell>
          <cell r="K246" t="str">
            <v>€</v>
          </cell>
          <cell r="L246">
            <v>58313.520000000004</v>
          </cell>
          <cell r="M246" t="str">
            <v>€</v>
          </cell>
          <cell r="N246">
            <v>6.44</v>
          </cell>
          <cell r="O246" t="str">
            <v>€</v>
          </cell>
          <cell r="P246">
            <v>7387.8926837885874</v>
          </cell>
          <cell r="Q246" t="str">
            <v>KG</v>
          </cell>
          <cell r="R246">
            <v>47578.028883598505</v>
          </cell>
          <cell r="S246" t="str">
            <v>€</v>
          </cell>
          <cell r="T246">
            <v>47873.544590950049</v>
          </cell>
          <cell r="U246" t="str">
            <v>€</v>
          </cell>
          <cell r="V246">
            <v>-295.51570735154382</v>
          </cell>
          <cell r="W246" t="str">
            <v>€</v>
          </cell>
          <cell r="X246">
            <v>1381.84</v>
          </cell>
        </row>
        <row r="247">
          <cell r="A247">
            <v>338238</v>
          </cell>
          <cell r="B247" t="str">
            <v>LAIT 1/2 ECREME UHT</v>
          </cell>
          <cell r="C247" t="str">
            <v>ACH113</v>
          </cell>
          <cell r="D247">
            <v>8960</v>
          </cell>
          <cell r="E247" t="str">
            <v>KG</v>
          </cell>
          <cell r="F247">
            <v>0.87250000000000005</v>
          </cell>
          <cell r="G247" t="str">
            <v>€</v>
          </cell>
          <cell r="H247">
            <v>7817.6</v>
          </cell>
          <cell r="I247" t="str">
            <v>€</v>
          </cell>
          <cell r="J247">
            <v>0.88</v>
          </cell>
          <cell r="K247" t="str">
            <v>€</v>
          </cell>
          <cell r="L247">
            <v>7884.8</v>
          </cell>
          <cell r="M247" t="str">
            <v>€</v>
          </cell>
          <cell r="N247">
            <v>0.88</v>
          </cell>
          <cell r="O247" t="str">
            <v>€</v>
          </cell>
          <cell r="P247">
            <v>6570.3619365897439</v>
          </cell>
          <cell r="Q247" t="str">
            <v>KG</v>
          </cell>
          <cell r="R247">
            <v>5781.9185041989749</v>
          </cell>
          <cell r="S247" t="str">
            <v>€</v>
          </cell>
          <cell r="T247">
            <v>5781.9185041989749</v>
          </cell>
          <cell r="U247" t="str">
            <v>€</v>
          </cell>
          <cell r="V247">
            <v>0</v>
          </cell>
          <cell r="W247" t="str">
            <v>€</v>
          </cell>
          <cell r="X247">
            <v>675.17399999999998</v>
          </cell>
        </row>
        <row r="248">
          <cell r="A248">
            <v>338240</v>
          </cell>
          <cell r="B248" t="str">
            <v>FROMAGE PARMESAN RAPE</v>
          </cell>
          <cell r="C248" t="str">
            <v>ACH113</v>
          </cell>
          <cell r="D248">
            <v>3312</v>
          </cell>
          <cell r="E248" t="str">
            <v>KG</v>
          </cell>
          <cell r="F248">
            <v>13.815126811594203</v>
          </cell>
          <cell r="G248" t="str">
            <v>€</v>
          </cell>
          <cell r="H248">
            <v>45755.7</v>
          </cell>
          <cell r="I248" t="str">
            <v>€</v>
          </cell>
          <cell r="J248">
            <v>13.9</v>
          </cell>
          <cell r="K248" t="str">
            <v>€</v>
          </cell>
          <cell r="L248">
            <v>46036.800000000003</v>
          </cell>
          <cell r="M248" t="str">
            <v>€</v>
          </cell>
          <cell r="N248">
            <v>13.9</v>
          </cell>
          <cell r="O248" t="str">
            <v>€</v>
          </cell>
          <cell r="P248">
            <v>3276.3860001773505</v>
          </cell>
          <cell r="Q248" t="str">
            <v>KG</v>
          </cell>
          <cell r="R248">
            <v>45541.765402465171</v>
          </cell>
          <cell r="S248" t="str">
            <v>€</v>
          </cell>
          <cell r="T248">
            <v>45541.765402465171</v>
          </cell>
          <cell r="U248" t="str">
            <v>€</v>
          </cell>
          <cell r="V248">
            <v>0</v>
          </cell>
          <cell r="W248" t="str">
            <v>€</v>
          </cell>
          <cell r="X248">
            <v>208.77099999999999</v>
          </cell>
        </row>
        <row r="249">
          <cell r="A249">
            <v>338461</v>
          </cell>
          <cell r="B249" t="str">
            <v>CREME UHT SANS CARRAGHENANE</v>
          </cell>
          <cell r="C249" t="str">
            <v>ACH113</v>
          </cell>
          <cell r="D249">
            <v>209690</v>
          </cell>
          <cell r="E249" t="str">
            <v>KG</v>
          </cell>
          <cell r="F249">
            <v>3.074216700844103</v>
          </cell>
          <cell r="G249" t="str">
            <v>€</v>
          </cell>
          <cell r="H249">
            <v>644632.5</v>
          </cell>
          <cell r="I249" t="str">
            <v>€</v>
          </cell>
          <cell r="J249">
            <v>3.3</v>
          </cell>
          <cell r="K249" t="str">
            <v>€</v>
          </cell>
          <cell r="L249">
            <v>691977</v>
          </cell>
          <cell r="M249" t="str">
            <v>€</v>
          </cell>
          <cell r="N249">
            <v>3.3</v>
          </cell>
          <cell r="O249" t="str">
            <v>€</v>
          </cell>
          <cell r="P249">
            <v>238637.98035097722</v>
          </cell>
          <cell r="Q249" t="str">
            <v>KG</v>
          </cell>
          <cell r="R249">
            <v>787505.3351582248</v>
          </cell>
          <cell r="S249" t="str">
            <v>€</v>
          </cell>
          <cell r="T249">
            <v>787505.3351582248</v>
          </cell>
          <cell r="U249" t="str">
            <v>€</v>
          </cell>
          <cell r="V249">
            <v>0</v>
          </cell>
          <cell r="W249" t="str">
            <v>€</v>
          </cell>
          <cell r="X249">
            <v>11676.079174</v>
          </cell>
        </row>
        <row r="250">
          <cell r="A250">
            <v>338463</v>
          </cell>
          <cell r="B250" t="str">
            <v>CREME D'ISIGNY AOP 35% MG</v>
          </cell>
          <cell r="C250" t="str">
            <v>ACH113</v>
          </cell>
          <cell r="D250">
            <v>20605</v>
          </cell>
          <cell r="E250" t="str">
            <v>KG</v>
          </cell>
          <cell r="F250">
            <v>4.839388497937394</v>
          </cell>
          <cell r="G250" t="str">
            <v>€</v>
          </cell>
          <cell r="H250">
            <v>99715.6</v>
          </cell>
          <cell r="I250" t="str">
            <v>€</v>
          </cell>
          <cell r="J250">
            <v>5.03</v>
          </cell>
          <cell r="K250" t="str">
            <v>€</v>
          </cell>
          <cell r="L250">
            <v>103643.15000000001</v>
          </cell>
          <cell r="M250" t="str">
            <v>€</v>
          </cell>
          <cell r="N250">
            <v>5.03</v>
          </cell>
          <cell r="O250" t="str">
            <v>€</v>
          </cell>
          <cell r="P250">
            <v>26000.133511546781</v>
          </cell>
          <cell r="Q250" t="str">
            <v>KG</v>
          </cell>
          <cell r="R250">
            <v>130780.67156308031</v>
          </cell>
          <cell r="S250" t="str">
            <v>€</v>
          </cell>
          <cell r="T250">
            <v>130780.67156308031</v>
          </cell>
          <cell r="U250" t="str">
            <v>€</v>
          </cell>
          <cell r="V250">
            <v>0</v>
          </cell>
          <cell r="W250" t="str">
            <v>€</v>
          </cell>
          <cell r="X250">
            <v>818.75</v>
          </cell>
        </row>
        <row r="251">
          <cell r="A251">
            <v>338478</v>
          </cell>
          <cell r="B251" t="str">
            <v>CREME FRAICHE FLUIDE 30% PASTEURISEE FRANCE</v>
          </cell>
          <cell r="C251" t="str">
            <v>ACH113</v>
          </cell>
          <cell r="D251">
            <v>1</v>
          </cell>
          <cell r="E251" t="str">
            <v>KG</v>
          </cell>
          <cell r="F251">
            <v>1629.6</v>
          </cell>
          <cell r="G251" t="str">
            <v>€</v>
          </cell>
          <cell r="H251">
            <v>1629.6</v>
          </cell>
          <cell r="I251" t="str">
            <v>€</v>
          </cell>
          <cell r="K251" t="str">
            <v>€</v>
          </cell>
          <cell r="L251">
            <v>0</v>
          </cell>
          <cell r="M251" t="str">
            <v>€</v>
          </cell>
          <cell r="O251" t="str">
            <v>€</v>
          </cell>
          <cell r="Q251" t="str">
            <v>KG</v>
          </cell>
          <cell r="S251" t="str">
            <v>€</v>
          </cell>
          <cell r="U251" t="str">
            <v>€</v>
          </cell>
          <cell r="W251" t="str">
            <v>€</v>
          </cell>
        </row>
        <row r="252">
          <cell r="A252">
            <v>339495</v>
          </cell>
          <cell r="B252" t="str">
            <v>COMTE AOP 12 MOIS MINIDES 10x10mm FRANCE</v>
          </cell>
          <cell r="C252" t="str">
            <v>ACH113</v>
          </cell>
          <cell r="D252">
            <v>738.2</v>
          </cell>
          <cell r="E252" t="str">
            <v>KG</v>
          </cell>
          <cell r="F252">
            <v>17.101449471687889</v>
          </cell>
          <cell r="G252" t="str">
            <v>€</v>
          </cell>
          <cell r="H252">
            <v>12624.29</v>
          </cell>
          <cell r="I252" t="str">
            <v>€</v>
          </cell>
          <cell r="J252">
            <v>17.54</v>
          </cell>
          <cell r="K252" t="str">
            <v>€</v>
          </cell>
          <cell r="L252">
            <v>12948.028</v>
          </cell>
          <cell r="M252" t="str">
            <v>€</v>
          </cell>
          <cell r="N252">
            <v>17.54</v>
          </cell>
          <cell r="O252" t="str">
            <v>€</v>
          </cell>
          <cell r="P252">
            <v>741.14486392156857</v>
          </cell>
          <cell r="Q252" t="str">
            <v>KG</v>
          </cell>
          <cell r="R252">
            <v>12999.680913184313</v>
          </cell>
          <cell r="S252" t="str">
            <v>€</v>
          </cell>
          <cell r="T252">
            <v>12999.680913184313</v>
          </cell>
          <cell r="U252" t="str">
            <v>€</v>
          </cell>
          <cell r="V252">
            <v>0</v>
          </cell>
          <cell r="W252" t="str">
            <v>€</v>
          </cell>
        </row>
        <row r="253">
          <cell r="A253">
            <v>339498</v>
          </cell>
          <cell r="B253" t="str">
            <v>FROMAGE BLEU AUVERGNE CRUMBLE FRAIS FRANCE AOP</v>
          </cell>
          <cell r="C253" t="str">
            <v>ACH113</v>
          </cell>
          <cell r="D253">
            <v>120</v>
          </cell>
          <cell r="E253" t="str">
            <v>KG</v>
          </cell>
          <cell r="F253">
            <v>10.96</v>
          </cell>
          <cell r="G253" t="str">
            <v>€</v>
          </cell>
          <cell r="H253">
            <v>1315.2</v>
          </cell>
          <cell r="I253" t="str">
            <v>€</v>
          </cell>
          <cell r="J253">
            <v>8.42</v>
          </cell>
          <cell r="K253" t="str">
            <v>€</v>
          </cell>
          <cell r="L253">
            <v>1010.4</v>
          </cell>
          <cell r="M253" t="str">
            <v>€</v>
          </cell>
          <cell r="N253">
            <v>8.42</v>
          </cell>
          <cell r="O253" t="str">
            <v>€</v>
          </cell>
          <cell r="P253">
            <v>32.997807638888887</v>
          </cell>
          <cell r="Q253" t="str">
            <v>KG</v>
          </cell>
          <cell r="R253">
            <v>277.84154031944445</v>
          </cell>
          <cell r="S253" t="str">
            <v>€</v>
          </cell>
          <cell r="T253">
            <v>277.84154031944445</v>
          </cell>
          <cell r="U253" t="str">
            <v>€</v>
          </cell>
          <cell r="V253">
            <v>0</v>
          </cell>
          <cell r="W253" t="str">
            <v>€</v>
          </cell>
          <cell r="X253">
            <v>44</v>
          </cell>
        </row>
        <row r="254">
          <cell r="A254">
            <v>340382</v>
          </cell>
          <cell r="B254" t="str">
            <v>YAOURT POUDRE</v>
          </cell>
          <cell r="C254" t="str">
            <v>ACH113</v>
          </cell>
          <cell r="D254">
            <v>1600</v>
          </cell>
          <cell r="E254" t="str">
            <v>KG</v>
          </cell>
          <cell r="F254">
            <v>9.1843749999999993</v>
          </cell>
          <cell r="G254" t="str">
            <v>€</v>
          </cell>
          <cell r="H254">
            <v>14695</v>
          </cell>
          <cell r="I254" t="str">
            <v>€</v>
          </cell>
          <cell r="J254">
            <v>10.28</v>
          </cell>
          <cell r="K254" t="str">
            <v>€</v>
          </cell>
          <cell r="L254">
            <v>16448</v>
          </cell>
          <cell r="M254" t="str">
            <v>€</v>
          </cell>
          <cell r="N254">
            <v>10.28</v>
          </cell>
          <cell r="O254" t="str">
            <v>€</v>
          </cell>
          <cell r="P254">
            <v>747.68864609477521</v>
          </cell>
          <cell r="Q254" t="str">
            <v>KG</v>
          </cell>
          <cell r="R254">
            <v>7686.2392818542885</v>
          </cell>
          <cell r="S254" t="str">
            <v>€</v>
          </cell>
          <cell r="T254">
            <v>7686.2392818542885</v>
          </cell>
          <cell r="U254" t="str">
            <v>€</v>
          </cell>
          <cell r="V254">
            <v>0</v>
          </cell>
          <cell r="W254" t="str">
            <v>€</v>
          </cell>
          <cell r="X254">
            <v>240.08569499999999</v>
          </cell>
        </row>
        <row r="255">
          <cell r="A255">
            <v>343033</v>
          </cell>
          <cell r="B255" t="str">
            <v>CRUMBLE DE CHEVRE IQF SURG UE</v>
          </cell>
          <cell r="C255" t="str">
            <v>ACH113</v>
          </cell>
          <cell r="D255">
            <v>300</v>
          </cell>
          <cell r="E255" t="str">
            <v>KG</v>
          </cell>
          <cell r="F255">
            <v>13.5</v>
          </cell>
          <cell r="G255" t="str">
            <v>€</v>
          </cell>
          <cell r="H255">
            <v>4050</v>
          </cell>
          <cell r="I255" t="str">
            <v>€</v>
          </cell>
          <cell r="J255">
            <v>13.5</v>
          </cell>
          <cell r="K255" t="str">
            <v>€</v>
          </cell>
          <cell r="L255">
            <v>4050</v>
          </cell>
          <cell r="M255" t="str">
            <v>€</v>
          </cell>
          <cell r="O255" t="str">
            <v>€</v>
          </cell>
          <cell r="P255">
            <v>256.5</v>
          </cell>
          <cell r="Q255" t="str">
            <v>KG</v>
          </cell>
          <cell r="S255" t="str">
            <v>€</v>
          </cell>
          <cell r="T255">
            <v>3462.75</v>
          </cell>
          <cell r="U255" t="str">
            <v>€</v>
          </cell>
          <cell r="W255" t="str">
            <v>€</v>
          </cell>
          <cell r="X255">
            <v>33.5</v>
          </cell>
        </row>
        <row r="256">
          <cell r="A256">
            <v>350001</v>
          </cell>
          <cell r="B256" t="str">
            <v xml:space="preserve">BEURRE DOUX 82 % BIO </v>
          </cell>
          <cell r="C256" t="str">
            <v>ACH133</v>
          </cell>
          <cell r="D256">
            <v>70</v>
          </cell>
          <cell r="E256" t="str">
            <v>KG</v>
          </cell>
          <cell r="F256">
            <v>8.65</v>
          </cell>
          <cell r="G256" t="str">
            <v>€</v>
          </cell>
          <cell r="H256">
            <v>605.5</v>
          </cell>
          <cell r="I256" t="str">
            <v>€</v>
          </cell>
          <cell r="J256">
            <v>11.6</v>
          </cell>
          <cell r="K256" t="str">
            <v>€</v>
          </cell>
          <cell r="L256">
            <v>812</v>
          </cell>
          <cell r="M256" t="str">
            <v>€</v>
          </cell>
          <cell r="O256" t="str">
            <v>€</v>
          </cell>
          <cell r="P256">
            <v>317.39700611111112</v>
          </cell>
          <cell r="Q256" t="str">
            <v>KG</v>
          </cell>
          <cell r="S256" t="str">
            <v>€</v>
          </cell>
          <cell r="T256">
            <v>3681.805270888889</v>
          </cell>
          <cell r="U256" t="str">
            <v>€</v>
          </cell>
          <cell r="W256" t="str">
            <v>€</v>
          </cell>
          <cell r="X256">
            <v>0</v>
          </cell>
        </row>
        <row r="257">
          <cell r="A257">
            <v>361003</v>
          </cell>
          <cell r="B257" t="str">
            <v>REBLOCHON  FRANCE</v>
          </cell>
          <cell r="C257" t="str">
            <v>ACH113</v>
          </cell>
          <cell r="D257">
            <v>834.09</v>
          </cell>
          <cell r="E257" t="str">
            <v>KG</v>
          </cell>
          <cell r="F257">
            <v>12.979990168926614</v>
          </cell>
          <cell r="G257" t="str">
            <v>€</v>
          </cell>
          <cell r="H257">
            <v>10826.48</v>
          </cell>
          <cell r="I257" t="str">
            <v>€</v>
          </cell>
          <cell r="J257">
            <v>12.99</v>
          </cell>
          <cell r="K257" t="str">
            <v>€</v>
          </cell>
          <cell r="L257">
            <v>10834.829100000001</v>
          </cell>
          <cell r="M257" t="str">
            <v>€</v>
          </cell>
          <cell r="N257">
            <v>12.99</v>
          </cell>
          <cell r="O257" t="str">
            <v>€</v>
          </cell>
          <cell r="P257">
            <v>879.58889599999998</v>
          </cell>
          <cell r="Q257" t="str">
            <v>KG</v>
          </cell>
          <cell r="R257">
            <v>11425.85975904</v>
          </cell>
          <cell r="S257" t="str">
            <v>€</v>
          </cell>
          <cell r="T257">
            <v>11425.85975904</v>
          </cell>
          <cell r="U257" t="str">
            <v>€</v>
          </cell>
          <cell r="V257">
            <v>0</v>
          </cell>
          <cell r="W257" t="str">
            <v>€</v>
          </cell>
          <cell r="X257">
            <v>140.13499999999999</v>
          </cell>
        </row>
        <row r="258">
          <cell r="A258">
            <v>361009</v>
          </cell>
          <cell r="B258" t="str">
            <v>REBLOCHON PIECE 480G ENVIRON ENTIER</v>
          </cell>
          <cell r="C258" t="str">
            <v>ACH113</v>
          </cell>
          <cell r="D258">
            <v>2983.018</v>
          </cell>
          <cell r="E258" t="str">
            <v>KG</v>
          </cell>
          <cell r="F258">
            <v>13.021141675980502</v>
          </cell>
          <cell r="G258" t="str">
            <v>€</v>
          </cell>
          <cell r="H258">
            <v>38842.300000000003</v>
          </cell>
          <cell r="I258" t="str">
            <v>€</v>
          </cell>
          <cell r="J258">
            <v>6.24</v>
          </cell>
          <cell r="K258" t="str">
            <v>€</v>
          </cell>
          <cell r="L258">
            <v>38779.234000000004</v>
          </cell>
          <cell r="M258" t="str">
            <v>€</v>
          </cell>
          <cell r="N258">
            <v>12.99</v>
          </cell>
          <cell r="O258" t="str">
            <v>€</v>
          </cell>
          <cell r="P258">
            <v>5680</v>
          </cell>
          <cell r="Q258" t="str">
            <v>KG</v>
          </cell>
          <cell r="R258">
            <v>73783.199999999997</v>
          </cell>
          <cell r="S258" t="str">
            <v>€</v>
          </cell>
          <cell r="T258">
            <v>35443.200000000004</v>
          </cell>
          <cell r="U258" t="str">
            <v>€</v>
          </cell>
          <cell r="V258">
            <v>38339.999999999993</v>
          </cell>
          <cell r="W258" t="str">
            <v>€</v>
          </cell>
        </row>
        <row r="259">
          <cell r="A259">
            <v>347548</v>
          </cell>
          <cell r="B259" t="str">
            <v>GUACAMOLE COUPELLE 0.100KG</v>
          </cell>
          <cell r="C259" t="str">
            <v>ACH101</v>
          </cell>
          <cell r="D259">
            <v>72000</v>
          </cell>
          <cell r="E259" t="str">
            <v>PI</v>
          </cell>
          <cell r="F259">
            <v>0.80500000000000005</v>
          </cell>
          <cell r="G259" t="str">
            <v>€</v>
          </cell>
          <cell r="H259">
            <v>57960</v>
          </cell>
          <cell r="I259" t="str">
            <v>€</v>
          </cell>
          <cell r="J259">
            <v>0.81</v>
          </cell>
          <cell r="K259" t="str">
            <v>€</v>
          </cell>
          <cell r="L259">
            <v>58320.000000000007</v>
          </cell>
          <cell r="M259" t="str">
            <v>€</v>
          </cell>
          <cell r="N259">
            <v>0.81</v>
          </cell>
          <cell r="O259" t="str">
            <v>€</v>
          </cell>
          <cell r="P259">
            <v>125400</v>
          </cell>
          <cell r="Q259" t="str">
            <v>PI</v>
          </cell>
          <cell r="R259">
            <v>101574</v>
          </cell>
          <cell r="S259" t="str">
            <v>€</v>
          </cell>
          <cell r="T259">
            <v>101574</v>
          </cell>
          <cell r="U259" t="str">
            <v>€</v>
          </cell>
          <cell r="V259">
            <v>0</v>
          </cell>
          <cell r="W259" t="str">
            <v>€</v>
          </cell>
          <cell r="X259">
            <v>6168</v>
          </cell>
        </row>
        <row r="260">
          <cell r="A260">
            <v>347600</v>
          </cell>
          <cell r="B260" t="str">
            <v xml:space="preserve">VERRINES 40G ST JACQ POMME CAROTTE X12 </v>
          </cell>
          <cell r="C260" t="str">
            <v>ACH003</v>
          </cell>
          <cell r="D260">
            <v>19992</v>
          </cell>
          <cell r="E260" t="str">
            <v>PI</v>
          </cell>
          <cell r="F260">
            <v>0.73841986794717884</v>
          </cell>
          <cell r="G260" t="str">
            <v>€</v>
          </cell>
          <cell r="H260">
            <v>14762.49</v>
          </cell>
          <cell r="I260" t="str">
            <v>€</v>
          </cell>
          <cell r="J260">
            <v>0.75</v>
          </cell>
          <cell r="K260" t="str">
            <v>€</v>
          </cell>
          <cell r="L260">
            <v>14994</v>
          </cell>
          <cell r="M260" t="str">
            <v>€</v>
          </cell>
          <cell r="O260" t="str">
            <v>€</v>
          </cell>
          <cell r="P260">
            <v>17100</v>
          </cell>
          <cell r="Q260" t="str">
            <v>PI</v>
          </cell>
          <cell r="S260" t="str">
            <v>€</v>
          </cell>
          <cell r="T260">
            <v>12825</v>
          </cell>
          <cell r="U260" t="str">
            <v>€</v>
          </cell>
          <cell r="W260" t="str">
            <v>€</v>
          </cell>
        </row>
        <row r="261">
          <cell r="A261">
            <v>347601</v>
          </cell>
          <cell r="B261" t="str">
            <v>VERRINES 40G FG BLOC POMME SPECULOS X12</v>
          </cell>
          <cell r="C261" t="str">
            <v>ACH003</v>
          </cell>
          <cell r="D261">
            <v>19980</v>
          </cell>
          <cell r="E261" t="str">
            <v>PI</v>
          </cell>
          <cell r="F261">
            <v>0.94000000000000006</v>
          </cell>
          <cell r="G261" t="str">
            <v>€</v>
          </cell>
          <cell r="H261">
            <v>18781.2</v>
          </cell>
          <cell r="I261" t="str">
            <v>€</v>
          </cell>
          <cell r="J261">
            <v>0.75</v>
          </cell>
          <cell r="K261" t="str">
            <v>€</v>
          </cell>
          <cell r="L261">
            <v>14985</v>
          </cell>
          <cell r="M261" t="str">
            <v>€</v>
          </cell>
          <cell r="O261" t="str">
            <v>€</v>
          </cell>
          <cell r="P261">
            <v>16500</v>
          </cell>
          <cell r="Q261" t="str">
            <v>PI</v>
          </cell>
          <cell r="S261" t="str">
            <v>€</v>
          </cell>
          <cell r="T261">
            <v>12375</v>
          </cell>
          <cell r="U261" t="str">
            <v>€</v>
          </cell>
          <cell r="W261" t="str">
            <v>€</v>
          </cell>
        </row>
        <row r="262">
          <cell r="A262">
            <v>339421</v>
          </cell>
          <cell r="B262" t="str">
            <v>AGNEAU SOURIS 350 - 450 G</v>
          </cell>
          <cell r="C262" t="str">
            <v>ACH103</v>
          </cell>
          <cell r="D262">
            <v>43159.32</v>
          </cell>
          <cell r="E262" t="str">
            <v>KG</v>
          </cell>
          <cell r="F262">
            <v>9.5660441360058499</v>
          </cell>
          <cell r="G262" t="str">
            <v>€</v>
          </cell>
          <cell r="H262">
            <v>412863.96</v>
          </cell>
          <cell r="I262" t="str">
            <v>€</v>
          </cell>
          <cell r="J262">
            <v>9.65</v>
          </cell>
          <cell r="K262" t="str">
            <v>€</v>
          </cell>
          <cell r="L262">
            <v>416487.43800000002</v>
          </cell>
          <cell r="M262" t="str">
            <v>€</v>
          </cell>
          <cell r="N262">
            <v>11.07</v>
          </cell>
          <cell r="O262" t="str">
            <v>€</v>
          </cell>
          <cell r="P262">
            <v>41534.279150967319</v>
          </cell>
          <cell r="Q262" t="str">
            <v>KG</v>
          </cell>
          <cell r="R262">
            <v>459784.47020120826</v>
          </cell>
          <cell r="S262" t="str">
            <v>€</v>
          </cell>
          <cell r="T262">
            <v>400805.79380683467</v>
          </cell>
          <cell r="U262" t="str">
            <v>€</v>
          </cell>
          <cell r="V262">
            <v>58978.676394373586</v>
          </cell>
          <cell r="W262" t="str">
            <v>€</v>
          </cell>
          <cell r="X262">
            <v>2022.384</v>
          </cell>
        </row>
        <row r="263">
          <cell r="A263">
            <v>361033</v>
          </cell>
          <cell r="B263" t="str">
            <v>AGNEAU SAUTE 60/70 EPAULE IQF</v>
          </cell>
          <cell r="C263" t="str">
            <v>ACH103</v>
          </cell>
          <cell r="D263">
            <v>13652.53</v>
          </cell>
          <cell r="E263" t="str">
            <v>KG</v>
          </cell>
          <cell r="F263">
            <v>12.294656008813018</v>
          </cell>
          <cell r="G263" t="str">
            <v>€</v>
          </cell>
          <cell r="H263">
            <v>167853.16</v>
          </cell>
          <cell r="I263" t="str">
            <v>€</v>
          </cell>
          <cell r="J263">
            <v>11.37</v>
          </cell>
          <cell r="K263" t="str">
            <v>€</v>
          </cell>
          <cell r="L263">
            <v>155229.26610000001</v>
          </cell>
          <cell r="M263" t="str">
            <v>€</v>
          </cell>
          <cell r="N263">
            <v>11.37</v>
          </cell>
          <cell r="O263" t="str">
            <v>€</v>
          </cell>
          <cell r="P263">
            <v>13082.327332638888</v>
          </cell>
          <cell r="Q263" t="str">
            <v>KG</v>
          </cell>
          <cell r="R263">
            <v>148746.06177210415</v>
          </cell>
          <cell r="S263" t="str">
            <v>€</v>
          </cell>
          <cell r="T263">
            <v>148746.06177210415</v>
          </cell>
          <cell r="U263" t="str">
            <v>€</v>
          </cell>
          <cell r="V263">
            <v>0</v>
          </cell>
          <cell r="W263" t="str">
            <v>€</v>
          </cell>
          <cell r="X263">
            <v>1968</v>
          </cell>
        </row>
        <row r="264">
          <cell r="A264">
            <v>339417</v>
          </cell>
          <cell r="B264" t="str">
            <v>BOEUF HACHE GRANULES VBF CRUS 14% MG 6 MM DIAM IQF</v>
          </cell>
          <cell r="C264" t="str">
            <v>ACH104</v>
          </cell>
          <cell r="D264">
            <v>2875</v>
          </cell>
          <cell r="E264" t="str">
            <v>KG</v>
          </cell>
          <cell r="F264">
            <v>7.6</v>
          </cell>
          <cell r="G264" t="str">
            <v>€</v>
          </cell>
          <cell r="H264">
            <v>21850</v>
          </cell>
          <cell r="I264" t="str">
            <v>€</v>
          </cell>
          <cell r="J264">
            <v>7.6</v>
          </cell>
          <cell r="K264" t="str">
            <v>€</v>
          </cell>
          <cell r="L264">
            <v>21850</v>
          </cell>
          <cell r="M264" t="str">
            <v>€</v>
          </cell>
          <cell r="O264" t="str">
            <v>€</v>
          </cell>
          <cell r="Q264" t="str">
            <v>KG</v>
          </cell>
          <cell r="S264" t="str">
            <v>€</v>
          </cell>
          <cell r="U264" t="str">
            <v>€</v>
          </cell>
          <cell r="W264" t="str">
            <v>€</v>
          </cell>
        </row>
        <row r="265">
          <cell r="A265">
            <v>339418</v>
          </cell>
          <cell r="B265" t="str">
            <v>BOEUF GRAINS DE VIANDE BOVINE VBF SURG CUIT SALE</v>
          </cell>
          <cell r="C265" t="str">
            <v>ACH104</v>
          </cell>
          <cell r="D265">
            <v>28080</v>
          </cell>
          <cell r="E265" t="str">
            <v>KG</v>
          </cell>
          <cell r="F265">
            <v>7.8055555555555554</v>
          </cell>
          <cell r="G265" t="str">
            <v>€</v>
          </cell>
          <cell r="H265">
            <v>219180</v>
          </cell>
          <cell r="I265" t="str">
            <v>€</v>
          </cell>
          <cell r="J265">
            <v>8.5</v>
          </cell>
          <cell r="K265" t="str">
            <v>€</v>
          </cell>
          <cell r="L265">
            <v>238680</v>
          </cell>
          <cell r="M265" t="str">
            <v>€</v>
          </cell>
          <cell r="N265">
            <v>8</v>
          </cell>
          <cell r="O265" t="str">
            <v>€</v>
          </cell>
          <cell r="P265">
            <v>25640.321091696831</v>
          </cell>
          <cell r="Q265" t="str">
            <v>KG</v>
          </cell>
          <cell r="R265">
            <v>205122.56873357465</v>
          </cell>
          <cell r="S265" t="str">
            <v>€</v>
          </cell>
          <cell r="T265">
            <v>217942.72927942307</v>
          </cell>
          <cell r="U265" t="str">
            <v>€</v>
          </cell>
          <cell r="V265">
            <v>-12820.160545848426</v>
          </cell>
          <cell r="W265" t="str">
            <v>€</v>
          </cell>
          <cell r="X265">
            <v>2434.96</v>
          </cell>
        </row>
        <row r="266">
          <cell r="A266">
            <v>339424</v>
          </cell>
          <cell r="B266" t="str">
            <v>BOEUF LANGUE CUITE CGL 600 UP</v>
          </cell>
          <cell r="C266" t="str">
            <v>ACH104</v>
          </cell>
          <cell r="D266">
            <v>70918.315000000002</v>
          </cell>
          <cell r="E266" t="str">
            <v>KG</v>
          </cell>
          <cell r="F266">
            <v>6.7234143958440065</v>
          </cell>
          <cell r="G266" t="str">
            <v>€</v>
          </cell>
          <cell r="H266">
            <v>476813.22</v>
          </cell>
          <cell r="I266" t="str">
            <v>€</v>
          </cell>
          <cell r="J266">
            <v>8.4</v>
          </cell>
          <cell r="K266" t="str">
            <v>€</v>
          </cell>
          <cell r="L266">
            <v>595713.84600000002</v>
          </cell>
          <cell r="M266" t="str">
            <v>€</v>
          </cell>
          <cell r="O266" t="str">
            <v>€</v>
          </cell>
          <cell r="Q266" t="str">
            <v>KG</v>
          </cell>
          <cell r="S266" t="str">
            <v>€</v>
          </cell>
          <cell r="U266" t="str">
            <v>€</v>
          </cell>
          <cell r="W266" t="str">
            <v>€</v>
          </cell>
          <cell r="X266">
            <v>18662.86</v>
          </cell>
        </row>
        <row r="267">
          <cell r="A267">
            <v>339426</v>
          </cell>
          <cell r="B267" t="str">
            <v>BŒUF SAUTE JARRET VBF 45G  CGL</v>
          </cell>
          <cell r="C267" t="str">
            <v>ACH104</v>
          </cell>
          <cell r="D267">
            <v>36051.644999999997</v>
          </cell>
          <cell r="E267" t="str">
            <v>KG</v>
          </cell>
          <cell r="F267">
            <v>7.4856431655199094</v>
          </cell>
          <cell r="G267" t="str">
            <v>€</v>
          </cell>
          <cell r="H267">
            <v>269869.75</v>
          </cell>
          <cell r="I267" t="str">
            <v>€</v>
          </cell>
          <cell r="J267">
            <v>7.45</v>
          </cell>
          <cell r="K267" t="str">
            <v>€</v>
          </cell>
          <cell r="L267">
            <v>268584.75524999999</v>
          </cell>
          <cell r="M267" t="str">
            <v>€</v>
          </cell>
          <cell r="N267">
            <v>7.73</v>
          </cell>
          <cell r="O267" t="str">
            <v>€</v>
          </cell>
          <cell r="P267">
            <v>39338.703489096151</v>
          </cell>
          <cell r="Q267" t="str">
            <v>KG</v>
          </cell>
          <cell r="R267">
            <v>304088.1779707133</v>
          </cell>
          <cell r="S267" t="str">
            <v>€</v>
          </cell>
          <cell r="T267">
            <v>293073.34099376632</v>
          </cell>
          <cell r="U267" t="str">
            <v>€</v>
          </cell>
          <cell r="V267">
            <v>11014.836976946972</v>
          </cell>
          <cell r="W267" t="str">
            <v>€</v>
          </cell>
          <cell r="X267">
            <v>2882.8359999999998</v>
          </cell>
        </row>
        <row r="268">
          <cell r="A268">
            <v>339427</v>
          </cell>
          <cell r="B268" t="str">
            <v>BOEUF SAUTE 45G+/-10G COLLIER FRANCE VBF SURG</v>
          </cell>
          <cell r="C268" t="str">
            <v>ACH104</v>
          </cell>
          <cell r="D268">
            <v>14957.955</v>
          </cell>
          <cell r="E268" t="str">
            <v>KG</v>
          </cell>
          <cell r="F268">
            <v>7.7881301287508888</v>
          </cell>
          <cell r="G268" t="str">
            <v>€</v>
          </cell>
          <cell r="H268">
            <v>116494.5</v>
          </cell>
          <cell r="I268" t="str">
            <v>€</v>
          </cell>
          <cell r="J268">
            <v>7.86</v>
          </cell>
          <cell r="K268" t="str">
            <v>€</v>
          </cell>
          <cell r="L268">
            <v>117569.5263</v>
          </cell>
          <cell r="M268" t="str">
            <v>€</v>
          </cell>
          <cell r="N268">
            <v>8.1</v>
          </cell>
          <cell r="O268" t="str">
            <v>€</v>
          </cell>
          <cell r="P268">
            <v>15160.139857117647</v>
          </cell>
          <cell r="Q268" t="str">
            <v>KG</v>
          </cell>
          <cell r="R268">
            <v>122797.13284265294</v>
          </cell>
          <cell r="S268" t="str">
            <v>€</v>
          </cell>
          <cell r="T268">
            <v>119158.69927694471</v>
          </cell>
          <cell r="U268" t="str">
            <v>€</v>
          </cell>
          <cell r="V268">
            <v>3638.4335657082265</v>
          </cell>
          <cell r="W268" t="str">
            <v>€</v>
          </cell>
          <cell r="X268">
            <v>100.084</v>
          </cell>
        </row>
        <row r="269">
          <cell r="A269">
            <v>340529</v>
          </cell>
          <cell r="B269" t="str">
            <v>BOEUF LAMELLES PRÉCUITES IQF</v>
          </cell>
          <cell r="C269" t="str">
            <v>ACH104</v>
          </cell>
          <cell r="D269">
            <v>18062</v>
          </cell>
          <cell r="E269" t="str">
            <v>KG</v>
          </cell>
          <cell r="F269">
            <v>11.382943195659395</v>
          </cell>
          <cell r="G269" t="str">
            <v>€</v>
          </cell>
          <cell r="H269">
            <v>205598.72</v>
          </cell>
          <cell r="I269" t="str">
            <v>€</v>
          </cell>
          <cell r="J269">
            <v>11.3</v>
          </cell>
          <cell r="K269" t="str">
            <v>€</v>
          </cell>
          <cell r="L269">
            <v>204100.6</v>
          </cell>
          <cell r="M269" t="str">
            <v>€</v>
          </cell>
          <cell r="N269">
            <v>10.9</v>
          </cell>
          <cell r="O269" t="str">
            <v>€</v>
          </cell>
          <cell r="P269">
            <v>19899.195372840219</v>
          </cell>
          <cell r="Q269" t="str">
            <v>KG</v>
          </cell>
          <cell r="R269">
            <v>216901.22956395839</v>
          </cell>
          <cell r="S269" t="str">
            <v>€</v>
          </cell>
          <cell r="T269">
            <v>224860.90771309449</v>
          </cell>
          <cell r="U269" t="str">
            <v>€</v>
          </cell>
          <cell r="V269">
            <v>-7959.6781491361035</v>
          </cell>
          <cell r="W269" t="str">
            <v>€</v>
          </cell>
          <cell r="X269">
            <v>485</v>
          </cell>
        </row>
        <row r="270">
          <cell r="A270">
            <v>347198</v>
          </cell>
          <cell r="B270" t="str">
            <v>BŒUF PALERON 160/180 PAVE VBF SG</v>
          </cell>
          <cell r="C270" t="str">
            <v>ACH104</v>
          </cell>
          <cell r="D270">
            <v>5917.1850000000004</v>
          </cell>
          <cell r="E270" t="str">
            <v>KG</v>
          </cell>
          <cell r="F270">
            <v>8.8969991642985633</v>
          </cell>
          <cell r="G270" t="str">
            <v>€</v>
          </cell>
          <cell r="H270">
            <v>52645.19</v>
          </cell>
          <cell r="I270" t="str">
            <v>€</v>
          </cell>
          <cell r="J270">
            <v>8.91</v>
          </cell>
          <cell r="K270" t="str">
            <v>€</v>
          </cell>
          <cell r="L270">
            <v>52722.118350000004</v>
          </cell>
          <cell r="M270" t="str">
            <v>€</v>
          </cell>
          <cell r="N270">
            <v>9.1999999999999993</v>
          </cell>
          <cell r="O270" t="str">
            <v>€</v>
          </cell>
          <cell r="P270">
            <v>5006.1003845359473</v>
          </cell>
          <cell r="Q270" t="str">
            <v>KG</v>
          </cell>
          <cell r="R270">
            <v>46056.123537730709</v>
          </cell>
          <cell r="S270" t="str">
            <v>€</v>
          </cell>
          <cell r="T270">
            <v>44604.354426215294</v>
          </cell>
          <cell r="U270" t="str">
            <v>€</v>
          </cell>
          <cell r="V270">
            <v>1451.7691115154157</v>
          </cell>
          <cell r="W270" t="str">
            <v>€</v>
          </cell>
          <cell r="X270">
            <v>819.91499999999996</v>
          </cell>
        </row>
        <row r="271">
          <cell r="A271">
            <v>347213</v>
          </cell>
          <cell r="B271" t="str">
            <v>BOEUF SAUTE PALERON FR 40G CGL</v>
          </cell>
          <cell r="C271" t="str">
            <v>ACH104</v>
          </cell>
          <cell r="D271">
            <v>30028.68</v>
          </cell>
          <cell r="E271" t="str">
            <v>KG</v>
          </cell>
          <cell r="F271">
            <v>9.3268158973354804</v>
          </cell>
          <cell r="G271" t="str">
            <v>€</v>
          </cell>
          <cell r="H271">
            <v>280071.96999999997</v>
          </cell>
          <cell r="I271" t="str">
            <v>€</v>
          </cell>
          <cell r="J271">
            <v>8.91</v>
          </cell>
          <cell r="K271" t="str">
            <v>€</v>
          </cell>
          <cell r="L271">
            <v>267555.53879999998</v>
          </cell>
          <cell r="M271" t="str">
            <v>€</v>
          </cell>
          <cell r="N271">
            <v>9.0399999999999991</v>
          </cell>
          <cell r="O271" t="str">
            <v>€</v>
          </cell>
          <cell r="P271">
            <v>26410.902984052991</v>
          </cell>
          <cell r="Q271" t="str">
            <v>KG</v>
          </cell>
          <cell r="R271">
            <v>238754.56297583901</v>
          </cell>
          <cell r="S271" t="str">
            <v>€</v>
          </cell>
          <cell r="T271">
            <v>235321.14558791215</v>
          </cell>
          <cell r="U271" t="str">
            <v>€</v>
          </cell>
          <cell r="V271">
            <v>3433.4173879268637</v>
          </cell>
          <cell r="W271" t="str">
            <v>€</v>
          </cell>
          <cell r="X271">
            <v>755.59199999999998</v>
          </cell>
        </row>
        <row r="272">
          <cell r="A272">
            <v>361001</v>
          </cell>
          <cell r="B272" t="str">
            <v>BOEUF JOUE 40/60 OF IQF FRANCE</v>
          </cell>
          <cell r="C272" t="str">
            <v>ACH104</v>
          </cell>
          <cell r="D272">
            <v>5535.54</v>
          </cell>
          <cell r="E272" t="str">
            <v>KG</v>
          </cell>
          <cell r="F272">
            <v>7.6615795387622532</v>
          </cell>
          <cell r="G272" t="str">
            <v>€</v>
          </cell>
          <cell r="H272">
            <v>42410.98</v>
          </cell>
          <cell r="I272" t="str">
            <v>€</v>
          </cell>
          <cell r="J272">
            <v>8.9499999999999993</v>
          </cell>
          <cell r="K272" t="str">
            <v>€</v>
          </cell>
          <cell r="L272">
            <v>49543.082999999999</v>
          </cell>
          <cell r="M272" t="str">
            <v>€</v>
          </cell>
          <cell r="N272">
            <v>8.56</v>
          </cell>
          <cell r="O272" t="str">
            <v>€</v>
          </cell>
          <cell r="P272">
            <v>8718.0240292341095</v>
          </cell>
          <cell r="Q272" t="str">
            <v>KG</v>
          </cell>
          <cell r="R272">
            <v>74626.285690243982</v>
          </cell>
          <cell r="S272" t="str">
            <v>€</v>
          </cell>
          <cell r="T272">
            <v>78026.315061645277</v>
          </cell>
          <cell r="U272" t="str">
            <v>€</v>
          </cell>
          <cell r="V272">
            <v>-3400.0293714012951</v>
          </cell>
          <cell r="W272" t="str">
            <v>€</v>
          </cell>
          <cell r="X272">
            <v>517.23199999999997</v>
          </cell>
        </row>
        <row r="273">
          <cell r="A273">
            <v>380002</v>
          </cell>
          <cell r="B273" t="str">
            <v>FR LANGUE BOEUF ORIGINE FRANCE CUITE fraiche ou surg</v>
          </cell>
          <cell r="C273" t="str">
            <v>ACH104</v>
          </cell>
          <cell r="D273">
            <v>77955.490000000005</v>
          </cell>
          <cell r="E273" t="str">
            <v>KG</v>
          </cell>
          <cell r="F273">
            <v>9.8152913925626013</v>
          </cell>
          <cell r="G273" t="str">
            <v>€</v>
          </cell>
          <cell r="H273">
            <v>765155.85</v>
          </cell>
          <cell r="I273" t="str">
            <v>€</v>
          </cell>
          <cell r="J273">
            <v>10.5</v>
          </cell>
          <cell r="K273" t="str">
            <v>€</v>
          </cell>
          <cell r="L273">
            <v>818532.64500000002</v>
          </cell>
          <cell r="M273" t="str">
            <v>€</v>
          </cell>
          <cell r="N273">
            <v>11.17</v>
          </cell>
          <cell r="O273" t="str">
            <v>€</v>
          </cell>
          <cell r="P273">
            <v>73172.941549884621</v>
          </cell>
          <cell r="Q273" t="str">
            <v>KG</v>
          </cell>
          <cell r="R273">
            <v>817341.7571122112</v>
          </cell>
          <cell r="S273" t="str">
            <v>€</v>
          </cell>
          <cell r="T273">
            <v>768315.88627378852</v>
          </cell>
          <cell r="U273" t="str">
            <v>€</v>
          </cell>
          <cell r="V273">
            <v>49025.870838422677</v>
          </cell>
          <cell r="W273" t="str">
            <v>€</v>
          </cell>
          <cell r="X273">
            <v>4715.5600000000004</v>
          </cell>
        </row>
        <row r="274">
          <cell r="A274">
            <v>380004</v>
          </cell>
          <cell r="B274" t="str">
            <v xml:space="preserve">BOEUF UE LANGUE ORIGINE UE CUITE </v>
          </cell>
          <cell r="C274" t="str">
            <v>ACH104</v>
          </cell>
          <cell r="D274">
            <v>49693.65</v>
          </cell>
          <cell r="E274" t="str">
            <v>KG</v>
          </cell>
          <cell r="F274">
            <v>10.904817013843822</v>
          </cell>
          <cell r="G274" t="str">
            <v>€</v>
          </cell>
          <cell r="H274">
            <v>541900.16</v>
          </cell>
          <cell r="I274" t="str">
            <v>€</v>
          </cell>
          <cell r="J274">
            <v>10.5</v>
          </cell>
          <cell r="K274" t="str">
            <v>€</v>
          </cell>
          <cell r="L274">
            <v>521783.32500000001</v>
          </cell>
          <cell r="M274" t="str">
            <v>€</v>
          </cell>
          <cell r="O274" t="str">
            <v>€</v>
          </cell>
          <cell r="P274">
            <v>119082.56117723889</v>
          </cell>
          <cell r="Q274" t="str">
            <v>KG</v>
          </cell>
          <cell r="S274" t="str">
            <v>€</v>
          </cell>
          <cell r="T274">
            <v>1250366.8923610083</v>
          </cell>
          <cell r="U274" t="str">
            <v>€</v>
          </cell>
          <cell r="W274" t="str">
            <v>€</v>
          </cell>
          <cell r="X274">
            <v>7972.9120000000003</v>
          </cell>
        </row>
        <row r="275">
          <cell r="A275">
            <v>338856</v>
          </cell>
          <cell r="B275" t="str">
            <v>BOULETTES DE VOLAILLE 20G SURG</v>
          </cell>
          <cell r="C275" t="str">
            <v>ACH107</v>
          </cell>
          <cell r="D275">
            <v>15345</v>
          </cell>
          <cell r="E275" t="str">
            <v>KG</v>
          </cell>
          <cell r="F275">
            <v>6.75</v>
          </cell>
          <cell r="G275" t="str">
            <v>€</v>
          </cell>
          <cell r="H275">
            <v>103578.75</v>
          </cell>
          <cell r="I275" t="str">
            <v>€</v>
          </cell>
          <cell r="J275">
            <v>6.75</v>
          </cell>
          <cell r="K275" t="str">
            <v>€</v>
          </cell>
          <cell r="L275">
            <v>103578.75</v>
          </cell>
          <cell r="M275" t="str">
            <v>€</v>
          </cell>
          <cell r="N275">
            <v>6.75</v>
          </cell>
          <cell r="O275" t="str">
            <v>€</v>
          </cell>
          <cell r="P275">
            <v>14262.390791466383</v>
          </cell>
          <cell r="Q275" t="str">
            <v>KG</v>
          </cell>
          <cell r="R275">
            <v>96271.137842398093</v>
          </cell>
          <cell r="S275" t="str">
            <v>€</v>
          </cell>
          <cell r="T275">
            <v>96271.137842398093</v>
          </cell>
          <cell r="U275" t="str">
            <v>€</v>
          </cell>
          <cell r="V275">
            <v>0</v>
          </cell>
          <cell r="W275" t="str">
            <v>€</v>
          </cell>
          <cell r="X275">
            <v>574.20000000000005</v>
          </cell>
        </row>
        <row r="276">
          <cell r="A276">
            <v>338857</v>
          </cell>
          <cell r="B276" t="str">
            <v>TSUKUNE BOULETTES  25G SURG</v>
          </cell>
          <cell r="C276" t="str">
            <v>ACH107</v>
          </cell>
          <cell r="D276">
            <v>915</v>
          </cell>
          <cell r="E276" t="str">
            <v>KG</v>
          </cell>
          <cell r="F276">
            <v>7.05</v>
          </cell>
          <cell r="G276" t="str">
            <v>€</v>
          </cell>
          <cell r="H276">
            <v>6450.75</v>
          </cell>
          <cell r="I276" t="str">
            <v>€</v>
          </cell>
          <cell r="J276">
            <v>7.19</v>
          </cell>
          <cell r="K276" t="str">
            <v>€</v>
          </cell>
          <cell r="L276">
            <v>6578.85</v>
          </cell>
          <cell r="M276" t="str">
            <v>€</v>
          </cell>
          <cell r="N276">
            <v>7.19</v>
          </cell>
          <cell r="O276" t="str">
            <v>€</v>
          </cell>
          <cell r="P276">
            <v>1130.8800037113401</v>
          </cell>
          <cell r="Q276" t="str">
            <v>KG</v>
          </cell>
          <cell r="R276">
            <v>8131.0272266845359</v>
          </cell>
          <cell r="S276" t="str">
            <v>€</v>
          </cell>
          <cell r="T276">
            <v>8131.0272266845359</v>
          </cell>
          <cell r="U276" t="str">
            <v>€</v>
          </cell>
          <cell r="V276">
            <v>0</v>
          </cell>
          <cell r="W276" t="str">
            <v>€</v>
          </cell>
          <cell r="X276">
            <v>25.64</v>
          </cell>
        </row>
        <row r="277">
          <cell r="A277">
            <v>338858</v>
          </cell>
          <cell r="B277" t="str">
            <v>BOULETTES KEFTA 25G SURG</v>
          </cell>
          <cell r="C277" t="str">
            <v>ACH104</v>
          </cell>
          <cell r="D277">
            <v>1275</v>
          </cell>
          <cell r="E277" t="str">
            <v>KG</v>
          </cell>
          <cell r="F277">
            <v>7.8</v>
          </cell>
          <cell r="G277" t="str">
            <v>€</v>
          </cell>
          <cell r="H277">
            <v>9945</v>
          </cell>
          <cell r="I277" t="str">
            <v>€</v>
          </cell>
          <cell r="J277">
            <v>7.8</v>
          </cell>
          <cell r="K277" t="str">
            <v>€</v>
          </cell>
          <cell r="L277">
            <v>9945</v>
          </cell>
          <cell r="M277" t="str">
            <v>€</v>
          </cell>
          <cell r="O277" t="str">
            <v>€</v>
          </cell>
          <cell r="Q277" t="str">
            <v>KG</v>
          </cell>
          <cell r="S277" t="str">
            <v>€</v>
          </cell>
          <cell r="U277" t="str">
            <v>€</v>
          </cell>
          <cell r="W277" t="str">
            <v>€</v>
          </cell>
          <cell r="X277">
            <v>18</v>
          </cell>
        </row>
        <row r="278">
          <cell r="A278">
            <v>338859</v>
          </cell>
          <cell r="B278" t="str">
            <v>BOULETTE VBF KOFTE CUITE IQF (AGNEAU BOEUF SOJA) 15g</v>
          </cell>
          <cell r="C278" t="str">
            <v>ACH103</v>
          </cell>
          <cell r="D278">
            <v>4560</v>
          </cell>
          <cell r="E278" t="str">
            <v>KG</v>
          </cell>
          <cell r="F278">
            <v>9.4558684210526316</v>
          </cell>
          <cell r="G278" t="str">
            <v>€</v>
          </cell>
          <cell r="H278">
            <v>43118.76</v>
          </cell>
          <cell r="I278" t="str">
            <v>€</v>
          </cell>
          <cell r="J278">
            <v>9.4</v>
          </cell>
          <cell r="K278" t="str">
            <v>€</v>
          </cell>
          <cell r="L278">
            <v>42864</v>
          </cell>
          <cell r="M278" t="str">
            <v>€</v>
          </cell>
          <cell r="O278" t="str">
            <v>€</v>
          </cell>
          <cell r="Q278" t="str">
            <v>KG</v>
          </cell>
          <cell r="S278" t="str">
            <v>€</v>
          </cell>
          <cell r="U278" t="str">
            <v>€</v>
          </cell>
          <cell r="W278" t="str">
            <v>€</v>
          </cell>
          <cell r="X278">
            <v>700</v>
          </cell>
        </row>
        <row r="279">
          <cell r="A279">
            <v>338860</v>
          </cell>
          <cell r="B279" t="str">
            <v>BOULETTE BOEUF VBF 25G SURG</v>
          </cell>
          <cell r="C279" t="str">
            <v>ACH104</v>
          </cell>
          <cell r="D279">
            <v>7040</v>
          </cell>
          <cell r="E279" t="str">
            <v>KG</v>
          </cell>
          <cell r="F279">
            <v>8.1999999999999993</v>
          </cell>
          <cell r="G279" t="str">
            <v>€</v>
          </cell>
          <cell r="H279">
            <v>57728</v>
          </cell>
          <cell r="I279" t="str">
            <v>€</v>
          </cell>
          <cell r="J279">
            <v>8.1999999999999993</v>
          </cell>
          <cell r="K279" t="str">
            <v>€</v>
          </cell>
          <cell r="L279">
            <v>57727.999999999993</v>
          </cell>
          <cell r="M279" t="str">
            <v>€</v>
          </cell>
          <cell r="O279" t="str">
            <v>€</v>
          </cell>
          <cell r="P279">
            <v>10635.300134999999</v>
          </cell>
          <cell r="Q279" t="str">
            <v>KG</v>
          </cell>
          <cell r="S279" t="str">
            <v>€</v>
          </cell>
          <cell r="T279">
            <v>87209.461106999996</v>
          </cell>
          <cell r="U279" t="str">
            <v>€</v>
          </cell>
          <cell r="W279" t="str">
            <v>€</v>
          </cell>
          <cell r="X279">
            <v>1210</v>
          </cell>
        </row>
        <row r="280">
          <cell r="A280">
            <v>340533</v>
          </cell>
          <cell r="B280" t="str">
            <v>PORC CHORIZO 3G PUR PORC D32 SANS CONSERV ORIGINE FRANCE IQF</v>
          </cell>
          <cell r="C280" t="str">
            <v>ACH105</v>
          </cell>
          <cell r="D280">
            <v>4520</v>
          </cell>
          <cell r="E280" t="str">
            <v>KG</v>
          </cell>
          <cell r="F280">
            <v>6.5476106194690269</v>
          </cell>
          <cell r="G280" t="str">
            <v>€</v>
          </cell>
          <cell r="H280">
            <v>29595.200000000001</v>
          </cell>
          <cell r="I280" t="str">
            <v>€</v>
          </cell>
          <cell r="J280">
            <v>7.25</v>
          </cell>
          <cell r="K280" t="str">
            <v>€</v>
          </cell>
          <cell r="L280">
            <v>32770</v>
          </cell>
          <cell r="M280" t="str">
            <v>€</v>
          </cell>
          <cell r="N280">
            <v>6.38</v>
          </cell>
          <cell r="O280" t="str">
            <v>€</v>
          </cell>
          <cell r="P280">
            <v>4708.9125930802675</v>
          </cell>
          <cell r="Q280" t="str">
            <v>KG</v>
          </cell>
          <cell r="R280">
            <v>30042.862343852106</v>
          </cell>
          <cell r="S280" t="str">
            <v>€</v>
          </cell>
          <cell r="T280">
            <v>34139.616299831941</v>
          </cell>
          <cell r="U280" t="str">
            <v>€</v>
          </cell>
          <cell r="V280">
            <v>-4096.7539559798352</v>
          </cell>
          <cell r="W280" t="str">
            <v>€</v>
          </cell>
          <cell r="X280">
            <v>511.84399999999999</v>
          </cell>
        </row>
        <row r="281">
          <cell r="A281">
            <v>345849</v>
          </cell>
          <cell r="B281" t="str">
            <v>PORC JAMBON TALONS CUIT SUPERIEUR FRAIS 5KG VPF</v>
          </cell>
          <cell r="C281" t="str">
            <v>ACH105</v>
          </cell>
          <cell r="D281">
            <v>5015.848</v>
          </cell>
          <cell r="E281" t="str">
            <v>KG</v>
          </cell>
          <cell r="F281">
            <v>4.2799981179652971</v>
          </cell>
          <cell r="G281" t="str">
            <v>€</v>
          </cell>
          <cell r="H281">
            <v>21467.82</v>
          </cell>
          <cell r="I281" t="str">
            <v>€</v>
          </cell>
          <cell r="J281">
            <v>4.37</v>
          </cell>
          <cell r="K281" t="str">
            <v>€</v>
          </cell>
          <cell r="L281">
            <v>21919.25576</v>
          </cell>
          <cell r="M281" t="str">
            <v>€</v>
          </cell>
          <cell r="N281">
            <v>4.37</v>
          </cell>
          <cell r="O281" t="str">
            <v>€</v>
          </cell>
          <cell r="P281">
            <v>4801.7292719825537</v>
          </cell>
          <cell r="Q281" t="str">
            <v>KG</v>
          </cell>
          <cell r="R281">
            <v>20983.556918563761</v>
          </cell>
          <cell r="S281" t="str">
            <v>€</v>
          </cell>
          <cell r="T281">
            <v>20983.556918563761</v>
          </cell>
          <cell r="U281" t="str">
            <v>€</v>
          </cell>
          <cell r="V281">
            <v>0</v>
          </cell>
          <cell r="W281" t="str">
            <v>€</v>
          </cell>
          <cell r="X281">
            <v>247.5</v>
          </cell>
        </row>
        <row r="282">
          <cell r="A282">
            <v>346161</v>
          </cell>
          <cell r="B282" t="str">
            <v>MERGUEZ BOEUF MOUTON CRUE 34G FR</v>
          </cell>
          <cell r="C282" t="str">
            <v>ACH104</v>
          </cell>
          <cell r="D282">
            <v>34151.836000000003</v>
          </cell>
          <cell r="E282" t="str">
            <v>KG</v>
          </cell>
          <cell r="F282">
            <v>6.8519683685527175</v>
          </cell>
          <cell r="G282" t="str">
            <v>€</v>
          </cell>
          <cell r="H282">
            <v>234007.3</v>
          </cell>
          <cell r="I282" t="str">
            <v>€</v>
          </cell>
          <cell r="J282">
            <v>7</v>
          </cell>
          <cell r="K282" t="str">
            <v>€</v>
          </cell>
          <cell r="L282">
            <v>239062.85200000001</v>
          </cell>
          <cell r="M282" t="str">
            <v>€</v>
          </cell>
          <cell r="N282">
            <v>7</v>
          </cell>
          <cell r="O282" t="str">
            <v>€</v>
          </cell>
          <cell r="P282">
            <v>52459.834102946072</v>
          </cell>
          <cell r="Q282" t="str">
            <v>KG</v>
          </cell>
          <cell r="R282">
            <v>367218.83872062247</v>
          </cell>
          <cell r="S282" t="str">
            <v>€</v>
          </cell>
          <cell r="T282">
            <v>367218.83872062247</v>
          </cell>
          <cell r="U282" t="str">
            <v>€</v>
          </cell>
          <cell r="V282">
            <v>0</v>
          </cell>
          <cell r="W282" t="str">
            <v>€</v>
          </cell>
          <cell r="X282">
            <v>244</v>
          </cell>
        </row>
        <row r="283">
          <cell r="A283">
            <v>346951</v>
          </cell>
          <cell r="B283" t="str">
            <v>PORC LARDON CUIT FUME VPF 8X10XHP IQF</v>
          </cell>
          <cell r="C283" t="str">
            <v>ACH105</v>
          </cell>
          <cell r="D283">
            <v>16303</v>
          </cell>
          <cell r="E283" t="str">
            <v>KG</v>
          </cell>
          <cell r="F283">
            <v>6.8637244678893454</v>
          </cell>
          <cell r="G283" t="str">
            <v>€</v>
          </cell>
          <cell r="H283">
            <v>111899.3</v>
          </cell>
          <cell r="I283" t="str">
            <v>€</v>
          </cell>
          <cell r="J283">
            <v>7.23</v>
          </cell>
          <cell r="K283" t="str">
            <v>€</v>
          </cell>
          <cell r="L283">
            <v>117870.69</v>
          </cell>
          <cell r="M283" t="str">
            <v>€</v>
          </cell>
          <cell r="N283">
            <v>7.23</v>
          </cell>
          <cell r="O283" t="str">
            <v>€</v>
          </cell>
          <cell r="P283">
            <v>17787.905475484749</v>
          </cell>
          <cell r="Q283" t="str">
            <v>KG</v>
          </cell>
          <cell r="R283">
            <v>128606.55658775475</v>
          </cell>
          <cell r="S283" t="str">
            <v>€</v>
          </cell>
          <cell r="T283">
            <v>128606.55658775475</v>
          </cell>
          <cell r="U283" t="str">
            <v>€</v>
          </cell>
          <cell r="V283">
            <v>0</v>
          </cell>
          <cell r="W283" t="str">
            <v>€</v>
          </cell>
          <cell r="X283">
            <v>511.80200000000002</v>
          </cell>
        </row>
        <row r="284">
          <cell r="A284">
            <v>346952</v>
          </cell>
          <cell r="B284" t="str">
            <v>PORC POITRINE CRUE FUMEE CHOIX 1/8 TR 10MM VPF IQF</v>
          </cell>
          <cell r="C284" t="str">
            <v>ACH105</v>
          </cell>
          <cell r="D284">
            <v>4070</v>
          </cell>
          <cell r="E284" t="str">
            <v>KG</v>
          </cell>
          <cell r="F284">
            <v>7.4748157248157252</v>
          </cell>
          <cell r="G284" t="str">
            <v>€</v>
          </cell>
          <cell r="H284">
            <v>30422.5</v>
          </cell>
          <cell r="I284" t="str">
            <v>€</v>
          </cell>
          <cell r="J284">
            <v>7.82</v>
          </cell>
          <cell r="K284" t="str">
            <v>€</v>
          </cell>
          <cell r="L284">
            <v>31827.4</v>
          </cell>
          <cell r="M284" t="str">
            <v>€</v>
          </cell>
          <cell r="N284">
            <v>7.82</v>
          </cell>
          <cell r="O284" t="str">
            <v>€</v>
          </cell>
          <cell r="P284">
            <v>3948.3664592136752</v>
          </cell>
          <cell r="Q284" t="str">
            <v>KG</v>
          </cell>
          <cell r="R284">
            <v>30876.225711050942</v>
          </cell>
          <cell r="S284" t="str">
            <v>€</v>
          </cell>
          <cell r="T284">
            <v>30876.225711050942</v>
          </cell>
          <cell r="U284" t="str">
            <v>€</v>
          </cell>
          <cell r="V284">
            <v>0</v>
          </cell>
          <cell r="W284" t="str">
            <v>€</v>
          </cell>
          <cell r="X284">
            <v>793.78899999999999</v>
          </cell>
        </row>
        <row r="285">
          <cell r="A285">
            <v>346953</v>
          </cell>
          <cell r="B285" t="str">
            <v>PORC LARDON CUIT FUMÉ 8X10XHP JDL SURGELÉ IQF VPF</v>
          </cell>
          <cell r="C285" t="str">
            <v>ACH105</v>
          </cell>
          <cell r="D285">
            <v>2050</v>
          </cell>
          <cell r="E285" t="str">
            <v>KG</v>
          </cell>
          <cell r="F285">
            <v>7.425365853658537</v>
          </cell>
          <cell r="G285" t="str">
            <v>€</v>
          </cell>
          <cell r="H285">
            <v>15222</v>
          </cell>
          <cell r="I285" t="str">
            <v>€</v>
          </cell>
          <cell r="J285">
            <v>7.93</v>
          </cell>
          <cell r="K285" t="str">
            <v>€</v>
          </cell>
          <cell r="L285">
            <v>16256.5</v>
          </cell>
          <cell r="M285" t="str">
            <v>€</v>
          </cell>
          <cell r="N285">
            <v>7.93</v>
          </cell>
          <cell r="O285" t="str">
            <v>€</v>
          </cell>
          <cell r="P285">
            <v>2022.9899116321017</v>
          </cell>
          <cell r="Q285" t="str">
            <v>KG</v>
          </cell>
          <cell r="R285">
            <v>16042.309999242565</v>
          </cell>
          <cell r="S285" t="str">
            <v>€</v>
          </cell>
          <cell r="T285">
            <v>16042.309999242565</v>
          </cell>
          <cell r="U285" t="str">
            <v>€</v>
          </cell>
          <cell r="V285">
            <v>0</v>
          </cell>
          <cell r="W285" t="str">
            <v>€</v>
          </cell>
          <cell r="X285">
            <v>417.08100000000002</v>
          </cell>
        </row>
        <row r="286">
          <cell r="A286">
            <v>360437</v>
          </cell>
          <cell r="B286" t="str">
            <v>SAUCISSE PORC TRONCON CUIT TLS SURG IQF 25/30 VPF PORC JDL</v>
          </cell>
          <cell r="C286" t="str">
            <v>ACH105</v>
          </cell>
          <cell r="D286">
            <v>11100</v>
          </cell>
          <cell r="E286" t="str">
            <v>KG</v>
          </cell>
          <cell r="F286">
            <v>6.8</v>
          </cell>
          <cell r="G286" t="str">
            <v>€</v>
          </cell>
          <cell r="H286">
            <v>75480</v>
          </cell>
          <cell r="I286" t="str">
            <v>€</v>
          </cell>
          <cell r="J286">
            <v>7.14</v>
          </cell>
          <cell r="K286" t="str">
            <v>€</v>
          </cell>
          <cell r="L286">
            <v>79254</v>
          </cell>
          <cell r="M286" t="str">
            <v>€</v>
          </cell>
          <cell r="O286" t="str">
            <v>€</v>
          </cell>
          <cell r="Q286" t="str">
            <v>KG</v>
          </cell>
          <cell r="S286" t="str">
            <v>€</v>
          </cell>
          <cell r="U286" t="str">
            <v>€</v>
          </cell>
          <cell r="W286" t="str">
            <v>€</v>
          </cell>
        </row>
        <row r="287">
          <cell r="A287">
            <v>360468</v>
          </cell>
          <cell r="B287" t="str">
            <v>SAUCISSE PORC VPF FUMEE CUITE CLEAN LABEL 15MM TRANCHE IQF 5KG</v>
          </cell>
          <cell r="C287" t="str">
            <v>ACH105</v>
          </cell>
          <cell r="D287">
            <v>29990</v>
          </cell>
          <cell r="E287" t="str">
            <v>KG</v>
          </cell>
          <cell r="F287">
            <v>6.8153767922640878</v>
          </cell>
          <cell r="G287" t="str">
            <v>€</v>
          </cell>
          <cell r="H287">
            <v>204393.15</v>
          </cell>
          <cell r="I287" t="str">
            <v>€</v>
          </cell>
          <cell r="J287">
            <v>6.8</v>
          </cell>
          <cell r="K287" t="str">
            <v>€</v>
          </cell>
          <cell r="L287">
            <v>203932</v>
          </cell>
          <cell r="M287" t="str">
            <v>€</v>
          </cell>
          <cell r="N287">
            <v>6.78</v>
          </cell>
          <cell r="O287" t="str">
            <v>€</v>
          </cell>
          <cell r="P287">
            <v>85094.846724422125</v>
          </cell>
          <cell r="Q287" t="str">
            <v>KG</v>
          </cell>
          <cell r="R287">
            <v>576943.06079158199</v>
          </cell>
          <cell r="S287" t="str">
            <v>€</v>
          </cell>
          <cell r="T287">
            <v>578644.95772607042</v>
          </cell>
          <cell r="U287" t="str">
            <v>€</v>
          </cell>
          <cell r="V287">
            <v>-1701.896934488439</v>
          </cell>
          <cell r="W287" t="str">
            <v>€</v>
          </cell>
          <cell r="X287">
            <v>3955</v>
          </cell>
        </row>
        <row r="288">
          <cell r="A288">
            <v>360471</v>
          </cell>
          <cell r="B288" t="str">
            <v>SAUCISSES AUX HERBES VPF 80g</v>
          </cell>
          <cell r="C288" t="str">
            <v>ACH105</v>
          </cell>
          <cell r="D288">
            <v>246</v>
          </cell>
          <cell r="E288" t="str">
            <v>KG</v>
          </cell>
          <cell r="F288">
            <v>5.8</v>
          </cell>
          <cell r="G288" t="str">
            <v>€</v>
          </cell>
          <cell r="H288">
            <v>1426.8</v>
          </cell>
          <cell r="I288" t="str">
            <v>€</v>
          </cell>
          <cell r="J288">
            <v>5.8</v>
          </cell>
          <cell r="K288" t="str">
            <v>€</v>
          </cell>
          <cell r="L288">
            <v>1426.8</v>
          </cell>
          <cell r="M288" t="str">
            <v>€</v>
          </cell>
          <cell r="O288" t="str">
            <v>€</v>
          </cell>
          <cell r="P288">
            <v>6400</v>
          </cell>
          <cell r="Q288" t="str">
            <v>KG</v>
          </cell>
          <cell r="S288" t="str">
            <v>€</v>
          </cell>
          <cell r="T288">
            <v>37120</v>
          </cell>
          <cell r="U288" t="str">
            <v>€</v>
          </cell>
          <cell r="W288" t="str">
            <v>€</v>
          </cell>
          <cell r="X288">
            <v>0</v>
          </cell>
        </row>
        <row r="289">
          <cell r="A289">
            <v>380001</v>
          </cell>
          <cell r="B289" t="str">
            <v xml:space="preserve">MERGUEZ BOEUF MOUTON SURGELEES 34 GR </v>
          </cell>
          <cell r="C289" t="str">
            <v>ACH104</v>
          </cell>
          <cell r="D289">
            <v>10560</v>
          </cell>
          <cell r="E289" t="str">
            <v>KG</v>
          </cell>
          <cell r="F289">
            <v>7</v>
          </cell>
          <cell r="G289" t="str">
            <v>€</v>
          </cell>
          <cell r="H289">
            <v>73920</v>
          </cell>
          <cell r="I289" t="str">
            <v>€</v>
          </cell>
          <cell r="J289">
            <v>7</v>
          </cell>
          <cell r="K289" t="str">
            <v>€</v>
          </cell>
          <cell r="L289">
            <v>73920</v>
          </cell>
          <cell r="M289" t="str">
            <v>€</v>
          </cell>
          <cell r="O289" t="str">
            <v>€</v>
          </cell>
          <cell r="Q289" t="str">
            <v>KG</v>
          </cell>
          <cell r="S289" t="str">
            <v>€</v>
          </cell>
          <cell r="U289" t="str">
            <v>€</v>
          </cell>
          <cell r="W289" t="str">
            <v>€</v>
          </cell>
          <cell r="X289">
            <v>4702.6729999999998</v>
          </cell>
        </row>
        <row r="290">
          <cell r="A290">
            <v>380006</v>
          </cell>
          <cell r="B290" t="str">
            <v xml:space="preserve">MERGUEZ SURG 40G </v>
          </cell>
          <cell r="C290" t="str">
            <v>ACH104</v>
          </cell>
          <cell r="D290">
            <v>4669</v>
          </cell>
          <cell r="E290" t="str">
            <v>KG</v>
          </cell>
          <cell r="F290">
            <v>4.8366887984579137</v>
          </cell>
          <cell r="G290" t="str">
            <v>€</v>
          </cell>
          <cell r="H290">
            <v>22582.5</v>
          </cell>
          <cell r="I290" t="str">
            <v>€</v>
          </cell>
          <cell r="J290">
            <v>4.95</v>
          </cell>
          <cell r="K290" t="str">
            <v>€</v>
          </cell>
          <cell r="L290">
            <v>23111.55</v>
          </cell>
          <cell r="M290" t="str">
            <v>€</v>
          </cell>
          <cell r="O290" t="str">
            <v>€</v>
          </cell>
          <cell r="Q290" t="str">
            <v>KG</v>
          </cell>
          <cell r="S290" t="str">
            <v>€</v>
          </cell>
          <cell r="U290" t="str">
            <v>€</v>
          </cell>
          <cell r="W290" t="str">
            <v>€</v>
          </cell>
        </row>
        <row r="291">
          <cell r="A291">
            <v>339444</v>
          </cell>
          <cell r="B291" t="str">
            <v>CHEVREUIL SAUTE 40/60 CGL ORIGINE UE</v>
          </cell>
          <cell r="C291" t="str">
            <v>ACH108</v>
          </cell>
          <cell r="D291">
            <v>27089.224999999999</v>
          </cell>
          <cell r="E291" t="str">
            <v>KG</v>
          </cell>
          <cell r="F291">
            <v>8.5999998154247681</v>
          </cell>
          <cell r="G291" t="str">
            <v>€</v>
          </cell>
          <cell r="H291">
            <v>232967.33</v>
          </cell>
          <cell r="I291" t="str">
            <v>€</v>
          </cell>
          <cell r="J291">
            <v>9.89</v>
          </cell>
          <cell r="K291" t="str">
            <v>€</v>
          </cell>
          <cell r="L291">
            <v>267912.43524999998</v>
          </cell>
          <cell r="M291" t="str">
            <v>€</v>
          </cell>
          <cell r="N291">
            <v>9.89</v>
          </cell>
          <cell r="O291" t="str">
            <v>€</v>
          </cell>
          <cell r="P291">
            <v>33444.470153399998</v>
          </cell>
          <cell r="Q291" t="str">
            <v>KG</v>
          </cell>
          <cell r="R291">
            <v>330765.80981712602</v>
          </cell>
          <cell r="S291" t="str">
            <v>€</v>
          </cell>
          <cell r="T291">
            <v>330765.80981712602</v>
          </cell>
          <cell r="U291" t="str">
            <v>€</v>
          </cell>
          <cell r="V291">
            <v>0</v>
          </cell>
          <cell r="W291" t="str">
            <v>€</v>
          </cell>
          <cell r="X291">
            <v>913.92</v>
          </cell>
        </row>
        <row r="292">
          <cell r="A292">
            <v>360436</v>
          </cell>
          <cell r="B292" t="str">
            <v>SANGLIER SAUT EPAULE/COLLIER/POITRINE 40/60G UE poche 8kg</v>
          </cell>
          <cell r="C292" t="str">
            <v>ACH108</v>
          </cell>
          <cell r="D292">
            <v>10461.145</v>
          </cell>
          <cell r="E292" t="str">
            <v>KG</v>
          </cell>
          <cell r="F292">
            <v>7.5999998088163387</v>
          </cell>
          <cell r="G292" t="str">
            <v>€</v>
          </cell>
          <cell r="H292">
            <v>79504.7</v>
          </cell>
          <cell r="I292" t="str">
            <v>€</v>
          </cell>
          <cell r="J292">
            <v>8.16</v>
          </cell>
          <cell r="K292" t="str">
            <v>€</v>
          </cell>
          <cell r="L292">
            <v>85362.943200000009</v>
          </cell>
          <cell r="M292" t="str">
            <v>€</v>
          </cell>
          <cell r="N292">
            <v>8.16</v>
          </cell>
          <cell r="O292" t="str">
            <v>€</v>
          </cell>
          <cell r="P292">
            <v>20032.254146993466</v>
          </cell>
          <cell r="Q292" t="str">
            <v>KG</v>
          </cell>
          <cell r="R292">
            <v>163463.19383946669</v>
          </cell>
          <cell r="S292" t="str">
            <v>€</v>
          </cell>
          <cell r="T292">
            <v>163463.19383946669</v>
          </cell>
          <cell r="U292" t="str">
            <v>€</v>
          </cell>
          <cell r="V292">
            <v>0</v>
          </cell>
          <cell r="W292" t="str">
            <v>€</v>
          </cell>
          <cell r="X292">
            <v>861.18499999999995</v>
          </cell>
        </row>
        <row r="293">
          <cell r="A293">
            <v>360913</v>
          </cell>
          <cell r="B293" t="str">
            <v>CERF/BICHE SAUTE 40/60G EPAULE/COLL/POITRINE CGL poche 8kg</v>
          </cell>
          <cell r="C293" t="str">
            <v>ACH108</v>
          </cell>
          <cell r="D293">
            <v>2797.7249999999999</v>
          </cell>
          <cell r="E293" t="str">
            <v>KG</v>
          </cell>
          <cell r="F293">
            <v>5.7370220446970306</v>
          </cell>
          <cell r="G293" t="str">
            <v>€</v>
          </cell>
          <cell r="H293">
            <v>16050.61</v>
          </cell>
          <cell r="I293" t="str">
            <v>€</v>
          </cell>
          <cell r="J293">
            <v>6.02</v>
          </cell>
          <cell r="K293" t="str">
            <v>€</v>
          </cell>
          <cell r="L293">
            <v>16842.304499999998</v>
          </cell>
          <cell r="M293" t="str">
            <v>€</v>
          </cell>
          <cell r="N293">
            <v>6.02</v>
          </cell>
          <cell r="O293" t="str">
            <v>€</v>
          </cell>
          <cell r="P293">
            <v>16770.771560159475</v>
          </cell>
          <cell r="Q293" t="str">
            <v>KG</v>
          </cell>
          <cell r="R293">
            <v>100960.04479216003</v>
          </cell>
          <cell r="S293" t="str">
            <v>€</v>
          </cell>
          <cell r="T293">
            <v>100960.04479216003</v>
          </cell>
          <cell r="U293" t="str">
            <v>€</v>
          </cell>
          <cell r="V293">
            <v>0</v>
          </cell>
          <cell r="W293" t="str">
            <v>€</v>
          </cell>
          <cell r="X293">
            <v>1047.49</v>
          </cell>
        </row>
        <row r="294">
          <cell r="A294">
            <v>360914</v>
          </cell>
          <cell r="B294" t="str">
            <v>CERF SAUTE EPAULE COLLIER POITRINE FRANCE 40/60G</v>
          </cell>
          <cell r="C294" t="str">
            <v>ACH108</v>
          </cell>
          <cell r="D294">
            <v>8175.1450000000004</v>
          </cell>
          <cell r="E294" t="str">
            <v>KG</v>
          </cell>
          <cell r="F294">
            <v>5.7443690601206461</v>
          </cell>
          <cell r="G294" t="str">
            <v>€</v>
          </cell>
          <cell r="H294">
            <v>46961.05</v>
          </cell>
          <cell r="I294" t="str">
            <v>€</v>
          </cell>
          <cell r="J294">
            <v>6</v>
          </cell>
          <cell r="K294" t="str">
            <v>€</v>
          </cell>
          <cell r="L294">
            <v>49050.87</v>
          </cell>
          <cell r="M294" t="str">
            <v>€</v>
          </cell>
          <cell r="N294">
            <v>6</v>
          </cell>
          <cell r="O294" t="str">
            <v>€</v>
          </cell>
          <cell r="P294">
            <v>5209.1011176470593</v>
          </cell>
          <cell r="Q294" t="str">
            <v>KG</v>
          </cell>
          <cell r="R294">
            <v>31254.606705882354</v>
          </cell>
          <cell r="S294" t="str">
            <v>€</v>
          </cell>
          <cell r="T294">
            <v>31254.606705882354</v>
          </cell>
          <cell r="U294" t="str">
            <v>€</v>
          </cell>
          <cell r="V294">
            <v>0</v>
          </cell>
          <cell r="W294" t="str">
            <v>€</v>
          </cell>
          <cell r="X294">
            <v>747.44</v>
          </cell>
        </row>
        <row r="295">
          <cell r="A295">
            <v>338523</v>
          </cell>
          <cell r="B295" t="str">
            <v>CHOUX FARCIS CUIT ENVIRON 160G SURG</v>
          </cell>
          <cell r="C295" t="str">
            <v>ACH105</v>
          </cell>
          <cell r="D295">
            <v>35788.800000000003</v>
          </cell>
          <cell r="E295" t="str">
            <v>KG</v>
          </cell>
          <cell r="F295">
            <v>4.2995814332975675</v>
          </cell>
          <cell r="G295" t="str">
            <v>€</v>
          </cell>
          <cell r="H295">
            <v>153876.85999999999</v>
          </cell>
          <cell r="I295" t="str">
            <v>€</v>
          </cell>
          <cell r="J295">
            <v>4.4800000000000004</v>
          </cell>
          <cell r="K295" t="str">
            <v>€</v>
          </cell>
          <cell r="L295">
            <v>160333.82400000002</v>
          </cell>
          <cell r="M295" t="str">
            <v>€</v>
          </cell>
          <cell r="N295">
            <v>4.4800000000000004</v>
          </cell>
          <cell r="O295" t="str">
            <v>€</v>
          </cell>
          <cell r="P295">
            <v>41428.010324555558</v>
          </cell>
          <cell r="Q295" t="str">
            <v>KG</v>
          </cell>
          <cell r="R295">
            <v>185597.48625400892</v>
          </cell>
          <cell r="S295" t="str">
            <v>€</v>
          </cell>
          <cell r="T295">
            <v>185597.48625400892</v>
          </cell>
          <cell r="U295" t="str">
            <v>€</v>
          </cell>
          <cell r="V295">
            <v>0</v>
          </cell>
          <cell r="W295" t="str">
            <v>€</v>
          </cell>
          <cell r="X295">
            <v>2409.92</v>
          </cell>
        </row>
        <row r="296">
          <cell r="A296">
            <v>338625</v>
          </cell>
          <cell r="B296" t="str">
            <v>PORC FILET MIGNON 50/60 IQF VPF</v>
          </cell>
          <cell r="C296" t="str">
            <v>ACH105</v>
          </cell>
          <cell r="D296">
            <v>10280</v>
          </cell>
          <cell r="E296" t="str">
            <v>KG</v>
          </cell>
          <cell r="F296">
            <v>9.3146498054474716</v>
          </cell>
          <cell r="G296" t="str">
            <v>€</v>
          </cell>
          <cell r="H296">
            <v>95754.6</v>
          </cell>
          <cell r="I296" t="str">
            <v>€</v>
          </cell>
          <cell r="J296">
            <v>9.4</v>
          </cell>
          <cell r="K296" t="str">
            <v>€</v>
          </cell>
          <cell r="L296">
            <v>96632</v>
          </cell>
          <cell r="M296" t="str">
            <v>€</v>
          </cell>
          <cell r="N296">
            <v>9.4</v>
          </cell>
          <cell r="O296" t="str">
            <v>€</v>
          </cell>
          <cell r="P296">
            <v>15022.868534068377</v>
          </cell>
          <cell r="Q296" t="str">
            <v>KG</v>
          </cell>
          <cell r="R296">
            <v>141214.96422024275</v>
          </cell>
          <cell r="S296" t="str">
            <v>€</v>
          </cell>
          <cell r="T296">
            <v>141214.96422024275</v>
          </cell>
          <cell r="U296" t="str">
            <v>€</v>
          </cell>
          <cell r="V296">
            <v>0</v>
          </cell>
          <cell r="W296" t="str">
            <v>€</v>
          </cell>
          <cell r="X296">
            <v>800</v>
          </cell>
        </row>
        <row r="297">
          <cell r="A297">
            <v>339468</v>
          </cell>
          <cell r="B297" t="str">
            <v>PORC EPAULE 4D VPF 40/60 CGL</v>
          </cell>
          <cell r="C297" t="str">
            <v>ACH105</v>
          </cell>
          <cell r="D297">
            <v>10475</v>
          </cell>
          <cell r="E297" t="str">
            <v>KG</v>
          </cell>
          <cell r="F297">
            <v>4.9114892601431981</v>
          </cell>
          <cell r="G297" t="str">
            <v>€</v>
          </cell>
          <cell r="H297">
            <v>51447.85</v>
          </cell>
          <cell r="I297" t="str">
            <v>€</v>
          </cell>
          <cell r="J297">
            <v>5</v>
          </cell>
          <cell r="K297" t="str">
            <v>€</v>
          </cell>
          <cell r="L297">
            <v>52375</v>
          </cell>
          <cell r="M297" t="str">
            <v>€</v>
          </cell>
          <cell r="O297" t="str">
            <v>€</v>
          </cell>
          <cell r="P297">
            <v>23187.20836622897</v>
          </cell>
          <cell r="Q297" t="str">
            <v>KG</v>
          </cell>
          <cell r="S297" t="str">
            <v>€</v>
          </cell>
          <cell r="T297">
            <v>115936.04183114484</v>
          </cell>
          <cell r="U297" t="str">
            <v>€</v>
          </cell>
          <cell r="W297" t="str">
            <v>€</v>
          </cell>
          <cell r="X297">
            <v>818.18299999999999</v>
          </cell>
        </row>
        <row r="298">
          <cell r="A298">
            <v>339484</v>
          </cell>
          <cell r="B298" t="str">
            <v>SANG DE PORC</v>
          </cell>
          <cell r="C298" t="str">
            <v>ACH105</v>
          </cell>
          <cell r="D298">
            <v>2350</v>
          </cell>
          <cell r="E298" t="str">
            <v>KG</v>
          </cell>
          <cell r="F298">
            <v>1.3</v>
          </cell>
          <cell r="G298" t="str">
            <v>€</v>
          </cell>
          <cell r="H298">
            <v>3055</v>
          </cell>
          <cell r="I298" t="str">
            <v>€</v>
          </cell>
          <cell r="J298">
            <v>1.33</v>
          </cell>
          <cell r="K298" t="str">
            <v>€</v>
          </cell>
          <cell r="L298">
            <v>3125.5</v>
          </cell>
          <cell r="M298" t="str">
            <v>€</v>
          </cell>
          <cell r="N298">
            <v>1.33</v>
          </cell>
          <cell r="O298" t="str">
            <v>€</v>
          </cell>
          <cell r="P298">
            <v>2862.4392658201582</v>
          </cell>
          <cell r="Q298" t="str">
            <v>KG</v>
          </cell>
          <cell r="R298">
            <v>3807.0442235408104</v>
          </cell>
          <cell r="S298" t="str">
            <v>€</v>
          </cell>
          <cell r="T298">
            <v>3807.0442235408104</v>
          </cell>
          <cell r="U298" t="str">
            <v>€</v>
          </cell>
          <cell r="V298">
            <v>0</v>
          </cell>
          <cell r="W298" t="str">
            <v>€</v>
          </cell>
          <cell r="X298">
            <v>130.97999999999999</v>
          </cell>
        </row>
        <row r="299">
          <cell r="A299">
            <v>340534</v>
          </cell>
          <cell r="B299" t="str">
            <v>PORC ROGNONS VPF BLOC 25 SURG</v>
          </cell>
          <cell r="C299" t="str">
            <v>ACH105</v>
          </cell>
          <cell r="D299">
            <v>42926.771999999997</v>
          </cell>
          <cell r="E299" t="str">
            <v>KG</v>
          </cell>
          <cell r="F299">
            <v>1.0874295416389568</v>
          </cell>
          <cell r="G299" t="str">
            <v>€</v>
          </cell>
          <cell r="H299">
            <v>46679.839999999997</v>
          </cell>
          <cell r="I299" t="str">
            <v>€</v>
          </cell>
          <cell r="J299">
            <v>1.6</v>
          </cell>
          <cell r="K299" t="str">
            <v>€</v>
          </cell>
          <cell r="L299">
            <v>68682.835200000001</v>
          </cell>
          <cell r="M299" t="str">
            <v>€</v>
          </cell>
          <cell r="N299">
            <v>1.3</v>
          </cell>
          <cell r="O299" t="str">
            <v>€</v>
          </cell>
          <cell r="P299">
            <v>47069.440791326924</v>
          </cell>
          <cell r="Q299" t="str">
            <v>KG</v>
          </cell>
          <cell r="R299">
            <v>61190.273028725001</v>
          </cell>
          <cell r="S299" t="str">
            <v>€</v>
          </cell>
          <cell r="T299">
            <v>75311.105266123079</v>
          </cell>
          <cell r="U299" t="str">
            <v>€</v>
          </cell>
          <cell r="V299">
            <v>-14120.832237398077</v>
          </cell>
          <cell r="W299" t="str">
            <v>€</v>
          </cell>
          <cell r="X299">
            <v>839.81700000000001</v>
          </cell>
        </row>
        <row r="300">
          <cell r="A300">
            <v>340535</v>
          </cell>
          <cell r="B300" t="str">
            <v>PORC VPF EPAULE 4D 60/80 SURG</v>
          </cell>
          <cell r="C300" t="str">
            <v>ACH105</v>
          </cell>
          <cell r="D300">
            <v>10770</v>
          </cell>
          <cell r="E300" t="str">
            <v>KG</v>
          </cell>
          <cell r="F300">
            <v>4.5851810584958219</v>
          </cell>
          <cell r="G300" t="str">
            <v>€</v>
          </cell>
          <cell r="H300">
            <v>49382.400000000001</v>
          </cell>
          <cell r="I300" t="str">
            <v>€</v>
          </cell>
          <cell r="J300">
            <v>5</v>
          </cell>
          <cell r="K300" t="str">
            <v>€</v>
          </cell>
          <cell r="L300">
            <v>53850</v>
          </cell>
          <cell r="M300" t="str">
            <v>€</v>
          </cell>
          <cell r="O300" t="str">
            <v>€</v>
          </cell>
          <cell r="Q300" t="str">
            <v>KG</v>
          </cell>
          <cell r="S300" t="str">
            <v>€</v>
          </cell>
          <cell r="U300" t="str">
            <v>€</v>
          </cell>
          <cell r="W300" t="str">
            <v>€</v>
          </cell>
          <cell r="X300">
            <v>0.5</v>
          </cell>
        </row>
        <row r="301">
          <cell r="A301">
            <v>360432</v>
          </cell>
          <cell r="B301" t="str">
            <v>PORC EPAULE 4D LANIERES IQF VPF</v>
          </cell>
          <cell r="C301" t="str">
            <v>ACH105</v>
          </cell>
          <cell r="D301">
            <v>21411.5</v>
          </cell>
          <cell r="E301" t="str">
            <v>KG</v>
          </cell>
          <cell r="F301">
            <v>4.5137879177077735</v>
          </cell>
          <cell r="G301" t="str">
            <v>€</v>
          </cell>
          <cell r="H301">
            <v>96646.97</v>
          </cell>
          <cell r="I301" t="str">
            <v>€</v>
          </cell>
          <cell r="J301">
            <v>5.44</v>
          </cell>
          <cell r="K301" t="str">
            <v>€</v>
          </cell>
          <cell r="L301">
            <v>116478.56000000001</v>
          </cell>
          <cell r="M301" t="str">
            <v>€</v>
          </cell>
          <cell r="N301">
            <v>5.44</v>
          </cell>
          <cell r="O301" t="str">
            <v>€</v>
          </cell>
          <cell r="P301">
            <v>24943.658573659282</v>
          </cell>
          <cell r="Q301" t="str">
            <v>KG</v>
          </cell>
          <cell r="R301">
            <v>135693.50264070652</v>
          </cell>
          <cell r="S301" t="str">
            <v>€</v>
          </cell>
          <cell r="T301">
            <v>135693.50264070652</v>
          </cell>
          <cell r="U301" t="str">
            <v>€</v>
          </cell>
          <cell r="V301">
            <v>0</v>
          </cell>
          <cell r="W301" t="str">
            <v>€</v>
          </cell>
          <cell r="X301">
            <v>469</v>
          </cell>
        </row>
        <row r="302">
          <cell r="A302">
            <v>360465</v>
          </cell>
          <cell r="B302" t="str">
            <v xml:space="preserve">PORC FILET MIGNON DE PORC 100/120 SURG </v>
          </cell>
          <cell r="C302" t="str">
            <v>ACH105</v>
          </cell>
          <cell r="D302">
            <v>9368</v>
          </cell>
          <cell r="E302" t="str">
            <v>KG</v>
          </cell>
          <cell r="F302">
            <v>8.85</v>
          </cell>
          <cell r="G302" t="str">
            <v>€</v>
          </cell>
          <cell r="H302">
            <v>82906.8</v>
          </cell>
          <cell r="I302" t="str">
            <v>€</v>
          </cell>
          <cell r="J302">
            <v>8.74</v>
          </cell>
          <cell r="K302" t="str">
            <v>€</v>
          </cell>
          <cell r="L302">
            <v>81876.320000000007</v>
          </cell>
          <cell r="M302" t="str">
            <v>€</v>
          </cell>
          <cell r="N302">
            <v>8.74</v>
          </cell>
          <cell r="O302" t="str">
            <v>€</v>
          </cell>
          <cell r="P302">
            <v>8762.7099135043482</v>
          </cell>
          <cell r="Q302" t="str">
            <v>KG</v>
          </cell>
          <cell r="R302">
            <v>76586.084644028</v>
          </cell>
          <cell r="S302" t="str">
            <v>€</v>
          </cell>
          <cell r="T302">
            <v>76586.084644028</v>
          </cell>
          <cell r="U302" t="str">
            <v>€</v>
          </cell>
          <cell r="V302">
            <v>0</v>
          </cell>
          <cell r="W302" t="str">
            <v>€</v>
          </cell>
          <cell r="X302">
            <v>714</v>
          </cell>
        </row>
        <row r="303">
          <cell r="A303">
            <v>360466</v>
          </cell>
          <cell r="B303" t="str">
            <v>PORC JOUE DE PORC SURG</v>
          </cell>
          <cell r="C303" t="str">
            <v>ACH105</v>
          </cell>
          <cell r="D303">
            <v>4283</v>
          </cell>
          <cell r="E303" t="str">
            <v>KG</v>
          </cell>
          <cell r="F303">
            <v>8.0277749241186083</v>
          </cell>
          <cell r="G303" t="str">
            <v>€</v>
          </cell>
          <cell r="H303">
            <v>34382.959999999999</v>
          </cell>
          <cell r="I303" t="str">
            <v>€</v>
          </cell>
          <cell r="J303">
            <v>9</v>
          </cell>
          <cell r="K303" t="str">
            <v>€</v>
          </cell>
          <cell r="L303">
            <v>38547</v>
          </cell>
          <cell r="M303" t="str">
            <v>€</v>
          </cell>
          <cell r="N303">
            <v>9</v>
          </cell>
          <cell r="O303" t="str">
            <v>€</v>
          </cell>
          <cell r="P303">
            <v>2923.6049455000002</v>
          </cell>
          <cell r="Q303" t="str">
            <v>KG</v>
          </cell>
          <cell r="R303">
            <v>26312.444509500001</v>
          </cell>
          <cell r="S303" t="str">
            <v>€</v>
          </cell>
          <cell r="T303">
            <v>26312.444509500001</v>
          </cell>
          <cell r="U303" t="str">
            <v>€</v>
          </cell>
          <cell r="V303">
            <v>0</v>
          </cell>
          <cell r="W303" t="str">
            <v>€</v>
          </cell>
          <cell r="X303">
            <v>222</v>
          </cell>
        </row>
        <row r="304">
          <cell r="A304">
            <v>332283</v>
          </cell>
          <cell r="B304" t="str">
            <v>VEAU SAUTE EPAULE 40G VVF IQF</v>
          </cell>
          <cell r="C304" t="str">
            <v>ACH106</v>
          </cell>
          <cell r="D304">
            <v>110235.37699999999</v>
          </cell>
          <cell r="E304" t="str">
            <v>KG</v>
          </cell>
          <cell r="F304">
            <v>9.5268163322923094</v>
          </cell>
          <cell r="G304" t="str">
            <v>€</v>
          </cell>
          <cell r="H304">
            <v>1050192.19</v>
          </cell>
          <cell r="I304" t="str">
            <v>€</v>
          </cell>
          <cell r="J304">
            <v>10.01</v>
          </cell>
          <cell r="K304" t="str">
            <v>€</v>
          </cell>
          <cell r="L304">
            <v>1103456.1237699999</v>
          </cell>
          <cell r="M304" t="str">
            <v>€</v>
          </cell>
          <cell r="N304">
            <v>10.42</v>
          </cell>
          <cell r="O304" t="str">
            <v>€</v>
          </cell>
          <cell r="P304">
            <v>132392.87715227116</v>
          </cell>
          <cell r="Q304" t="str">
            <v>KG</v>
          </cell>
          <cell r="R304">
            <v>1379533.7799266656</v>
          </cell>
          <cell r="S304" t="str">
            <v>€</v>
          </cell>
          <cell r="T304">
            <v>1325252.7002942343</v>
          </cell>
          <cell r="U304" t="str">
            <v>€</v>
          </cell>
          <cell r="V304">
            <v>54281.079632431269</v>
          </cell>
          <cell r="W304" t="str">
            <v>€</v>
          </cell>
          <cell r="X304">
            <v>3569.43</v>
          </cell>
        </row>
        <row r="305">
          <cell r="A305">
            <v>339488</v>
          </cell>
          <cell r="B305" t="str">
            <v>VEAU SAUTE EPAULE/BAS CARRE U E 35/55</v>
          </cell>
          <cell r="C305" t="str">
            <v>ACH106</v>
          </cell>
          <cell r="D305">
            <v>26642</v>
          </cell>
          <cell r="E305" t="str">
            <v>KG</v>
          </cell>
          <cell r="F305">
            <v>8.422813602582389</v>
          </cell>
          <cell r="G305" t="str">
            <v>€</v>
          </cell>
          <cell r="H305">
            <v>224400.6</v>
          </cell>
          <cell r="I305" t="str">
            <v>€</v>
          </cell>
          <cell r="J305">
            <v>8.15</v>
          </cell>
          <cell r="K305" t="str">
            <v>€</v>
          </cell>
          <cell r="L305">
            <v>217132.30000000002</v>
          </cell>
          <cell r="M305" t="str">
            <v>€</v>
          </cell>
          <cell r="N305">
            <v>8.58</v>
          </cell>
          <cell r="O305" t="str">
            <v>€</v>
          </cell>
          <cell r="P305">
            <v>40723.646520027774</v>
          </cell>
          <cell r="Q305" t="str">
            <v>KG</v>
          </cell>
          <cell r="R305">
            <v>349408.88714183832</v>
          </cell>
          <cell r="S305" t="str">
            <v>€</v>
          </cell>
          <cell r="T305">
            <v>331897.71913822636</v>
          </cell>
          <cell r="U305" t="str">
            <v>€</v>
          </cell>
          <cell r="V305">
            <v>17511.168003611965</v>
          </cell>
          <cell r="W305" t="str">
            <v>€</v>
          </cell>
          <cell r="X305">
            <v>3390</v>
          </cell>
        </row>
        <row r="306">
          <cell r="A306">
            <v>339491</v>
          </cell>
          <cell r="B306" t="str">
            <v>VEAU:PAUPIETT FARCE PORC 120G</v>
          </cell>
          <cell r="C306" t="str">
            <v>ACH106</v>
          </cell>
          <cell r="D306">
            <v>45870</v>
          </cell>
          <cell r="E306" t="str">
            <v>KG</v>
          </cell>
          <cell r="F306">
            <v>7.6081491170699804</v>
          </cell>
          <cell r="G306" t="str">
            <v>€</v>
          </cell>
          <cell r="H306">
            <v>348985.8</v>
          </cell>
          <cell r="I306" t="str">
            <v>€</v>
          </cell>
          <cell r="J306">
            <v>7.95</v>
          </cell>
          <cell r="K306" t="str">
            <v>€</v>
          </cell>
          <cell r="L306">
            <v>364666.5</v>
          </cell>
          <cell r="M306" t="str">
            <v>€</v>
          </cell>
          <cell r="N306">
            <v>7.45</v>
          </cell>
          <cell r="O306" t="str">
            <v>€</v>
          </cell>
          <cell r="P306">
            <v>48134.400000000001</v>
          </cell>
          <cell r="Q306" t="str">
            <v>KG</v>
          </cell>
          <cell r="R306">
            <v>358601.28</v>
          </cell>
          <cell r="S306" t="str">
            <v>€</v>
          </cell>
          <cell r="T306">
            <v>382668.48000000004</v>
          </cell>
          <cell r="U306" t="str">
            <v>€</v>
          </cell>
          <cell r="V306">
            <v>-24067.200000000012</v>
          </cell>
          <cell r="W306" t="str">
            <v>€</v>
          </cell>
          <cell r="X306">
            <v>1020</v>
          </cell>
        </row>
        <row r="307">
          <cell r="A307">
            <v>339492</v>
          </cell>
          <cell r="B307" t="str">
            <v>VEAU PAUPIETTE AVEC FICELLE LARDEE 140G IQF</v>
          </cell>
          <cell r="C307" t="str">
            <v>ACH106</v>
          </cell>
          <cell r="D307">
            <v>12630</v>
          </cell>
          <cell r="E307" t="str">
            <v>KG</v>
          </cell>
          <cell r="F307">
            <v>10.407957244655583</v>
          </cell>
          <cell r="G307" t="str">
            <v>€</v>
          </cell>
          <cell r="H307">
            <v>131452.5</v>
          </cell>
          <cell r="I307" t="str">
            <v>€</v>
          </cell>
          <cell r="J307">
            <v>10.65</v>
          </cell>
          <cell r="K307" t="str">
            <v>€</v>
          </cell>
          <cell r="L307">
            <v>134509.5</v>
          </cell>
          <cell r="M307" t="str">
            <v>€</v>
          </cell>
          <cell r="N307">
            <v>10.65</v>
          </cell>
          <cell r="O307" t="str">
            <v>€</v>
          </cell>
          <cell r="P307">
            <v>13074.91690851282</v>
          </cell>
          <cell r="Q307" t="str">
            <v>KG</v>
          </cell>
          <cell r="R307">
            <v>139247.86507566154</v>
          </cell>
          <cell r="S307" t="str">
            <v>€</v>
          </cell>
          <cell r="T307">
            <v>139247.86507566154</v>
          </cell>
          <cell r="U307" t="str">
            <v>€</v>
          </cell>
          <cell r="V307">
            <v>0</v>
          </cell>
          <cell r="W307" t="str">
            <v>€</v>
          </cell>
          <cell r="X307">
            <v>1066.0429999999999</v>
          </cell>
        </row>
        <row r="308">
          <cell r="A308">
            <v>347212</v>
          </cell>
          <cell r="B308" t="str">
            <v>VEAU SAUTE JARRET 160/180 CGL FRANCE</v>
          </cell>
          <cell r="C308" t="str">
            <v>ACH106</v>
          </cell>
          <cell r="D308">
            <v>3434</v>
          </cell>
          <cell r="E308" t="str">
            <v>KG</v>
          </cell>
          <cell r="F308">
            <v>7.0610017472335471</v>
          </cell>
          <cell r="G308" t="str">
            <v>€</v>
          </cell>
          <cell r="H308">
            <v>24247.48</v>
          </cell>
          <cell r="I308" t="str">
            <v>€</v>
          </cell>
          <cell r="J308">
            <v>14.27</v>
          </cell>
          <cell r="K308" t="str">
            <v>€</v>
          </cell>
          <cell r="L308">
            <v>49003.18</v>
          </cell>
          <cell r="M308" t="str">
            <v>€</v>
          </cell>
          <cell r="O308" t="str">
            <v>€</v>
          </cell>
          <cell r="Q308" t="str">
            <v>KG</v>
          </cell>
          <cell r="S308" t="str">
            <v>€</v>
          </cell>
          <cell r="U308" t="str">
            <v>€</v>
          </cell>
          <cell r="W308" t="str">
            <v>€</v>
          </cell>
        </row>
        <row r="309">
          <cell r="A309">
            <v>337529</v>
          </cell>
          <cell r="B309" t="str">
            <v>CAILLES 150/170G PC</v>
          </cell>
          <cell r="C309" t="str">
            <v>ACH107</v>
          </cell>
          <cell r="D309">
            <v>9500</v>
          </cell>
          <cell r="E309" t="str">
            <v>PI</v>
          </cell>
          <cell r="F309">
            <v>1</v>
          </cell>
          <cell r="G309" t="str">
            <v>€</v>
          </cell>
          <cell r="H309">
            <v>9500</v>
          </cell>
          <cell r="I309" t="str">
            <v>€</v>
          </cell>
          <cell r="J309">
            <v>1.02</v>
          </cell>
          <cell r="K309" t="str">
            <v>€</v>
          </cell>
          <cell r="L309">
            <v>9690</v>
          </cell>
          <cell r="M309" t="str">
            <v>€</v>
          </cell>
          <cell r="N309">
            <v>1.02</v>
          </cell>
          <cell r="O309" t="str">
            <v>€</v>
          </cell>
          <cell r="P309">
            <v>5940</v>
          </cell>
          <cell r="Q309" t="str">
            <v>PI</v>
          </cell>
          <cell r="R309">
            <v>6058.8</v>
          </cell>
          <cell r="S309" t="str">
            <v>€</v>
          </cell>
          <cell r="T309">
            <v>6058.8</v>
          </cell>
          <cell r="U309" t="str">
            <v>€</v>
          </cell>
          <cell r="V309">
            <v>0</v>
          </cell>
          <cell r="W309" t="str">
            <v>€</v>
          </cell>
          <cell r="X309">
            <v>4460</v>
          </cell>
        </row>
        <row r="310">
          <cell r="A310">
            <v>338391</v>
          </cell>
          <cell r="B310" t="str">
            <v>POULARDE MORCEAUX DE CUISSE 130/170</v>
          </cell>
          <cell r="C310" t="str">
            <v>ACH107</v>
          </cell>
          <cell r="D310">
            <v>9330</v>
          </cell>
          <cell r="E310" t="str">
            <v>KG</v>
          </cell>
          <cell r="F310">
            <v>9.35</v>
          </cell>
          <cell r="G310" t="str">
            <v>€</v>
          </cell>
          <cell r="H310">
            <v>87235.5</v>
          </cell>
          <cell r="I310" t="str">
            <v>€</v>
          </cell>
          <cell r="J310">
            <v>10.050000000000001</v>
          </cell>
          <cell r="K310" t="str">
            <v>€</v>
          </cell>
          <cell r="L310">
            <v>93766.5</v>
          </cell>
          <cell r="M310" t="str">
            <v>€</v>
          </cell>
          <cell r="N310">
            <v>10.050000000000001</v>
          </cell>
          <cell r="O310" t="str">
            <v>€</v>
          </cell>
          <cell r="P310">
            <v>6548.4878091947994</v>
          </cell>
          <cell r="Q310" t="str">
            <v>KG</v>
          </cell>
          <cell r="R310">
            <v>65812.302482407744</v>
          </cell>
          <cell r="S310" t="str">
            <v>€</v>
          </cell>
          <cell r="T310">
            <v>65812.302482407744</v>
          </cell>
          <cell r="U310" t="str">
            <v>€</v>
          </cell>
          <cell r="V310">
            <v>0</v>
          </cell>
          <cell r="W310" t="str">
            <v>€</v>
          </cell>
          <cell r="X310">
            <v>2227.9380000000001</v>
          </cell>
        </row>
        <row r="311">
          <cell r="A311">
            <v>338434</v>
          </cell>
          <cell r="B311" t="str">
            <v>EFFILOCHE DE CANARD MAIGRE CONFIT PASTEURISE FRAIS</v>
          </cell>
          <cell r="C311" t="str">
            <v>ACH107</v>
          </cell>
          <cell r="D311">
            <v>63</v>
          </cell>
          <cell r="E311" t="str">
            <v>KG</v>
          </cell>
          <cell r="F311">
            <v>13.5</v>
          </cell>
          <cell r="G311" t="str">
            <v>€</v>
          </cell>
          <cell r="H311">
            <v>850.5</v>
          </cell>
          <cell r="I311" t="str">
            <v>€</v>
          </cell>
          <cell r="J311">
            <v>13.5</v>
          </cell>
          <cell r="K311" t="str">
            <v>€</v>
          </cell>
          <cell r="L311">
            <v>850.5</v>
          </cell>
          <cell r="M311" t="str">
            <v>€</v>
          </cell>
          <cell r="O311" t="str">
            <v>€</v>
          </cell>
          <cell r="P311">
            <v>59.412698076923078</v>
          </cell>
          <cell r="Q311" t="str">
            <v>KG</v>
          </cell>
          <cell r="S311" t="str">
            <v>€</v>
          </cell>
          <cell r="T311">
            <v>802.0714240384616</v>
          </cell>
          <cell r="U311" t="str">
            <v>€</v>
          </cell>
          <cell r="W311" t="str">
            <v>€</v>
          </cell>
        </row>
        <row r="312">
          <cell r="A312">
            <v>339434</v>
          </cell>
          <cell r="B312" t="str">
            <v>CANETTE CUISSE VF CALIBRE 150/200</v>
          </cell>
          <cell r="C312" t="str">
            <v>ACH107</v>
          </cell>
          <cell r="D312">
            <v>92010</v>
          </cell>
          <cell r="E312" t="str">
            <v>KG</v>
          </cell>
          <cell r="F312">
            <v>5.1343549614172375</v>
          </cell>
          <cell r="G312" t="str">
            <v>€</v>
          </cell>
          <cell r="H312">
            <v>472412</v>
          </cell>
          <cell r="I312" t="str">
            <v>€</v>
          </cell>
          <cell r="J312">
            <v>5.15</v>
          </cell>
          <cell r="K312" t="str">
            <v>€</v>
          </cell>
          <cell r="L312">
            <v>473851.50000000006</v>
          </cell>
          <cell r="M312" t="str">
            <v>€</v>
          </cell>
          <cell r="N312">
            <v>5.9</v>
          </cell>
          <cell r="O312" t="str">
            <v>€</v>
          </cell>
          <cell r="P312">
            <v>112958.41</v>
          </cell>
          <cell r="Q312" t="str">
            <v>KG</v>
          </cell>
          <cell r="R312">
            <v>666454.61900000006</v>
          </cell>
          <cell r="S312" t="str">
            <v>€</v>
          </cell>
          <cell r="T312">
            <v>581735.81150000007</v>
          </cell>
          <cell r="U312" t="str">
            <v>€</v>
          </cell>
          <cell r="V312">
            <v>84718.807499999995</v>
          </cell>
          <cell r="W312" t="str">
            <v>€</v>
          </cell>
          <cell r="X312">
            <v>3517</v>
          </cell>
        </row>
        <row r="313">
          <cell r="A313">
            <v>339439</v>
          </cell>
          <cell r="B313" t="str">
            <v>CANARD GRAISSE FONDUE CONGE</v>
          </cell>
          <cell r="C313" t="str">
            <v>ACH107</v>
          </cell>
          <cell r="D313">
            <v>13500</v>
          </cell>
          <cell r="E313" t="str">
            <v>KG</v>
          </cell>
          <cell r="F313">
            <v>3.5</v>
          </cell>
          <cell r="G313" t="str">
            <v>€</v>
          </cell>
          <cell r="H313">
            <v>47250</v>
          </cell>
          <cell r="I313" t="str">
            <v>€</v>
          </cell>
          <cell r="J313">
            <v>3.5</v>
          </cell>
          <cell r="K313" t="str">
            <v>€</v>
          </cell>
          <cell r="L313">
            <v>47250</v>
          </cell>
          <cell r="M313" t="str">
            <v>€</v>
          </cell>
          <cell r="N313">
            <v>3.5</v>
          </cell>
          <cell r="O313" t="str">
            <v>€</v>
          </cell>
          <cell r="P313">
            <v>15816.331962745098</v>
          </cell>
          <cell r="Q313" t="str">
            <v>KG</v>
          </cell>
          <cell r="R313">
            <v>55357.161869607844</v>
          </cell>
          <cell r="S313" t="str">
            <v>€</v>
          </cell>
          <cell r="T313">
            <v>55357.161869607844</v>
          </cell>
          <cell r="U313" t="str">
            <v>€</v>
          </cell>
          <cell r="V313">
            <v>0</v>
          </cell>
          <cell r="W313" t="str">
            <v>€</v>
          </cell>
          <cell r="X313">
            <v>1439.26</v>
          </cell>
        </row>
        <row r="314">
          <cell r="A314">
            <v>339440</v>
          </cell>
          <cell r="B314" t="str">
            <v>CHAPON CUISSES MORCEAUX 120-160 G ORIGINE UE</v>
          </cell>
          <cell r="C314" t="str">
            <v>ACH107</v>
          </cell>
          <cell r="D314">
            <v>3920</v>
          </cell>
          <cell r="E314" t="str">
            <v>KG</v>
          </cell>
          <cell r="F314">
            <v>8.9883928571428573</v>
          </cell>
          <cell r="G314" t="str">
            <v>€</v>
          </cell>
          <cell r="H314">
            <v>35234.5</v>
          </cell>
          <cell r="I314" t="str">
            <v>€</v>
          </cell>
          <cell r="J314">
            <v>9.65</v>
          </cell>
          <cell r="K314" t="str">
            <v>€</v>
          </cell>
          <cell r="L314">
            <v>37828</v>
          </cell>
          <cell r="M314" t="str">
            <v>€</v>
          </cell>
          <cell r="O314" t="str">
            <v>€</v>
          </cell>
          <cell r="Q314" t="str">
            <v>KG</v>
          </cell>
          <cell r="S314" t="str">
            <v>€</v>
          </cell>
          <cell r="U314" t="str">
            <v>€</v>
          </cell>
          <cell r="W314" t="str">
            <v>€</v>
          </cell>
          <cell r="X314">
            <v>786</v>
          </cell>
        </row>
        <row r="315">
          <cell r="A315">
            <v>339443</v>
          </cell>
          <cell r="B315" t="str">
            <v>CHAPON:CUISSE MRCX 160/180 GR</v>
          </cell>
          <cell r="C315" t="str">
            <v>ACH107</v>
          </cell>
          <cell r="D315">
            <v>24570</v>
          </cell>
          <cell r="E315" t="str">
            <v>KG</v>
          </cell>
          <cell r="F315">
            <v>9.35</v>
          </cell>
          <cell r="G315" t="str">
            <v>€</v>
          </cell>
          <cell r="H315">
            <v>229729.5</v>
          </cell>
          <cell r="I315" t="str">
            <v>€</v>
          </cell>
          <cell r="J315">
            <v>9.85</v>
          </cell>
          <cell r="K315" t="str">
            <v>€</v>
          </cell>
          <cell r="L315">
            <v>242014.5</v>
          </cell>
          <cell r="M315" t="str">
            <v>€</v>
          </cell>
          <cell r="N315">
            <v>9.85</v>
          </cell>
          <cell r="O315" t="str">
            <v>€</v>
          </cell>
          <cell r="P315">
            <v>15806.60538522451</v>
          </cell>
          <cell r="Q315" t="str">
            <v>KG</v>
          </cell>
          <cell r="R315">
            <v>155695.06304446142</v>
          </cell>
          <cell r="S315" t="str">
            <v>€</v>
          </cell>
          <cell r="T315">
            <v>155695.06304446142</v>
          </cell>
          <cell r="U315" t="str">
            <v>€</v>
          </cell>
          <cell r="V315">
            <v>0</v>
          </cell>
          <cell r="W315" t="str">
            <v>€</v>
          </cell>
          <cell r="X315">
            <v>723</v>
          </cell>
        </row>
        <row r="316">
          <cell r="A316">
            <v>339451</v>
          </cell>
          <cell r="B316" t="str">
            <v>MORCEAUX DE FOIE GRAS DE CANARD CUIT (R035) CHUTE</v>
          </cell>
          <cell r="C316" t="str">
            <v>ACH107</v>
          </cell>
          <cell r="D316">
            <v>3356.8969999999999</v>
          </cell>
          <cell r="E316" t="str">
            <v>KG</v>
          </cell>
          <cell r="F316">
            <v>22.558919740462695</v>
          </cell>
          <cell r="G316" t="str">
            <v>€</v>
          </cell>
          <cell r="H316">
            <v>75727.97</v>
          </cell>
          <cell r="I316" t="str">
            <v>€</v>
          </cell>
          <cell r="J316">
            <v>27.5</v>
          </cell>
          <cell r="K316" t="str">
            <v>€</v>
          </cell>
          <cell r="L316">
            <v>92314.667499999996</v>
          </cell>
          <cell r="M316" t="str">
            <v>€</v>
          </cell>
          <cell r="N316">
            <v>27.5</v>
          </cell>
          <cell r="O316" t="str">
            <v>€</v>
          </cell>
          <cell r="P316">
            <v>3049.3933307736202</v>
          </cell>
          <cell r="Q316" t="str">
            <v>KG</v>
          </cell>
          <cell r="R316">
            <v>83858.316596274555</v>
          </cell>
          <cell r="S316" t="str">
            <v>€</v>
          </cell>
          <cell r="T316">
            <v>83858.316596274555</v>
          </cell>
          <cell r="U316" t="str">
            <v>€</v>
          </cell>
          <cell r="V316">
            <v>0</v>
          </cell>
          <cell r="W316" t="str">
            <v>€</v>
          </cell>
          <cell r="X316">
            <v>416.78399999999999</v>
          </cell>
        </row>
        <row r="317">
          <cell r="A317">
            <v>339455</v>
          </cell>
          <cell r="B317" t="str">
            <v>LAPIN CUISSE 170-200G CONG FRANCE</v>
          </cell>
          <cell r="C317" t="str">
            <v>ACH108</v>
          </cell>
          <cell r="D317">
            <v>8212.0679999999993</v>
          </cell>
          <cell r="E317" t="str">
            <v>KG</v>
          </cell>
          <cell r="F317">
            <v>7.9186010149940307</v>
          </cell>
          <cell r="G317" t="str">
            <v>€</v>
          </cell>
          <cell r="H317">
            <v>65028.09</v>
          </cell>
          <cell r="I317" t="str">
            <v>€</v>
          </cell>
          <cell r="J317">
            <v>8.16</v>
          </cell>
          <cell r="K317" t="str">
            <v>€</v>
          </cell>
          <cell r="L317">
            <v>67010.474879999994</v>
          </cell>
          <cell r="M317" t="str">
            <v>€</v>
          </cell>
          <cell r="N317">
            <v>8.16</v>
          </cell>
          <cell r="O317" t="str">
            <v>€</v>
          </cell>
          <cell r="P317">
            <v>8324.6005787955328</v>
          </cell>
          <cell r="Q317" t="str">
            <v>KG</v>
          </cell>
          <cell r="R317">
            <v>67928.740722971546</v>
          </cell>
          <cell r="S317" t="str">
            <v>€</v>
          </cell>
          <cell r="T317">
            <v>67928.740722971546</v>
          </cell>
          <cell r="U317" t="str">
            <v>€</v>
          </cell>
          <cell r="V317">
            <v>0</v>
          </cell>
          <cell r="W317" t="str">
            <v>€</v>
          </cell>
          <cell r="X317">
            <v>751.97299999999996</v>
          </cell>
        </row>
        <row r="318">
          <cell r="A318">
            <v>339463</v>
          </cell>
          <cell r="B318" t="str">
            <v>OIE : FILET S/PEAU S/OS A/AIG 35/45g CGL</v>
          </cell>
          <cell r="C318" t="str">
            <v>ACH107</v>
          </cell>
          <cell r="D318">
            <v>3990</v>
          </cell>
          <cell r="E318" t="str">
            <v>KG</v>
          </cell>
          <cell r="F318">
            <v>8.9799999999999986</v>
          </cell>
          <cell r="G318" t="str">
            <v>€</v>
          </cell>
          <cell r="H318">
            <v>35830.199999999997</v>
          </cell>
          <cell r="I318" t="str">
            <v>€</v>
          </cell>
          <cell r="J318">
            <v>12</v>
          </cell>
          <cell r="K318" t="str">
            <v>€</v>
          </cell>
          <cell r="L318">
            <v>47880</v>
          </cell>
          <cell r="M318" t="str">
            <v>€</v>
          </cell>
          <cell r="N318">
            <v>12</v>
          </cell>
          <cell r="O318" t="str">
            <v>€</v>
          </cell>
          <cell r="P318">
            <v>9523.1922896741853</v>
          </cell>
          <cell r="Q318" t="str">
            <v>KG</v>
          </cell>
          <cell r="R318">
            <v>114278.30747609022</v>
          </cell>
          <cell r="S318" t="str">
            <v>€</v>
          </cell>
          <cell r="T318">
            <v>114278.30747609022</v>
          </cell>
          <cell r="U318" t="str">
            <v>€</v>
          </cell>
          <cell r="V318">
            <v>0</v>
          </cell>
          <cell r="W318" t="str">
            <v>€</v>
          </cell>
          <cell r="X318">
            <v>2172.9850000000001</v>
          </cell>
        </row>
        <row r="319">
          <cell r="A319">
            <v>339475</v>
          </cell>
          <cell r="B319" t="str">
            <v>POULET AIGUILLETTE FRANCE SURG</v>
          </cell>
          <cell r="C319" t="str">
            <v>ACH107</v>
          </cell>
          <cell r="D319">
            <v>13860.85</v>
          </cell>
          <cell r="E319" t="str">
            <v>KG</v>
          </cell>
          <cell r="F319">
            <v>4.8583290346551626</v>
          </cell>
          <cell r="G319" t="str">
            <v>€</v>
          </cell>
          <cell r="H319">
            <v>67340.570000000007</v>
          </cell>
          <cell r="I319" t="str">
            <v>€</v>
          </cell>
          <cell r="J319">
            <v>4.8</v>
          </cell>
          <cell r="K319" t="str">
            <v>€</v>
          </cell>
          <cell r="L319">
            <v>66532.08</v>
          </cell>
          <cell r="M319" t="str">
            <v>€</v>
          </cell>
          <cell r="N319">
            <v>4.8</v>
          </cell>
          <cell r="O319" t="str">
            <v>€</v>
          </cell>
          <cell r="P319">
            <v>17173.67624084188</v>
          </cell>
          <cell r="Q319" t="str">
            <v>KG</v>
          </cell>
          <cell r="R319">
            <v>82433.645956041015</v>
          </cell>
          <cell r="S319" t="str">
            <v>€</v>
          </cell>
          <cell r="T319">
            <v>82433.645956041015</v>
          </cell>
          <cell r="U319" t="str">
            <v>€</v>
          </cell>
          <cell r="V319">
            <v>0</v>
          </cell>
          <cell r="W319" t="str">
            <v>€</v>
          </cell>
          <cell r="X319">
            <v>656.5</v>
          </cell>
        </row>
        <row r="320">
          <cell r="A320">
            <v>339478</v>
          </cell>
          <cell r="B320" t="str">
            <v>POULET HDC 130/160 UE surg</v>
          </cell>
          <cell r="C320" t="str">
            <v>ACH107</v>
          </cell>
          <cell r="D320">
            <v>38500</v>
          </cell>
          <cell r="E320" t="str">
            <v>KG</v>
          </cell>
          <cell r="F320">
            <v>2.85</v>
          </cell>
          <cell r="G320" t="str">
            <v>€</v>
          </cell>
          <cell r="H320">
            <v>109725</v>
          </cell>
          <cell r="I320" t="str">
            <v>€</v>
          </cell>
          <cell r="J320">
            <v>2.63</v>
          </cell>
          <cell r="K320" t="str">
            <v>€</v>
          </cell>
          <cell r="L320">
            <v>101255</v>
          </cell>
          <cell r="M320" t="str">
            <v>€</v>
          </cell>
          <cell r="N320">
            <v>2.63</v>
          </cell>
          <cell r="O320" t="str">
            <v>€</v>
          </cell>
          <cell r="P320">
            <v>45055.873071110553</v>
          </cell>
          <cell r="Q320" t="str">
            <v>KG</v>
          </cell>
          <cell r="R320">
            <v>118496.94617702074</v>
          </cell>
          <cell r="S320" t="str">
            <v>€</v>
          </cell>
          <cell r="T320">
            <v>118496.94617702074</v>
          </cell>
          <cell r="U320" t="str">
            <v>€</v>
          </cell>
          <cell r="V320">
            <v>0</v>
          </cell>
          <cell r="W320" t="str">
            <v>€</v>
          </cell>
          <cell r="X320">
            <v>3444.489</v>
          </cell>
        </row>
        <row r="321">
          <cell r="A321">
            <v>339481</v>
          </cell>
          <cell r="B321" t="str">
            <v>POULET VIANDE DE ROUGE DE HDC S/OS S/P FRANCE SURG</v>
          </cell>
          <cell r="C321" t="str">
            <v>ACH107</v>
          </cell>
          <cell r="D321">
            <v>27220</v>
          </cell>
          <cell r="E321" t="str">
            <v>KG</v>
          </cell>
          <cell r="F321">
            <v>4</v>
          </cell>
          <cell r="G321" t="str">
            <v>€</v>
          </cell>
          <cell r="H321">
            <v>108880</v>
          </cell>
          <cell r="I321" t="str">
            <v>€</v>
          </cell>
          <cell r="J321">
            <v>4.18</v>
          </cell>
          <cell r="K321" t="str">
            <v>€</v>
          </cell>
          <cell r="L321">
            <v>113779.59999999999</v>
          </cell>
          <cell r="M321" t="str">
            <v>€</v>
          </cell>
          <cell r="N321">
            <v>4.18</v>
          </cell>
          <cell r="O321" t="str">
            <v>€</v>
          </cell>
          <cell r="P321">
            <v>29200.950691751521</v>
          </cell>
          <cell r="Q321" t="str">
            <v>KG</v>
          </cell>
          <cell r="R321">
            <v>122059.97389152135</v>
          </cell>
          <cell r="S321" t="str">
            <v>€</v>
          </cell>
          <cell r="T321">
            <v>122059.97389152135</v>
          </cell>
          <cell r="U321" t="str">
            <v>€</v>
          </cell>
          <cell r="V321">
            <v>0</v>
          </cell>
          <cell r="W321" t="str">
            <v>€</v>
          </cell>
          <cell r="X321">
            <v>1408.693</v>
          </cell>
        </row>
        <row r="322">
          <cell r="A322">
            <v>340112</v>
          </cell>
          <cell r="B322" t="str">
            <v>CANE CANARD FILET 200/280G MAIGRE origine France</v>
          </cell>
          <cell r="C322" t="str">
            <v>ACH107</v>
          </cell>
          <cell r="D322">
            <v>22660.26</v>
          </cell>
          <cell r="E322" t="str">
            <v>KG</v>
          </cell>
          <cell r="F322">
            <v>5.0805229066215487</v>
          </cell>
          <cell r="G322" t="str">
            <v>€</v>
          </cell>
          <cell r="H322">
            <v>115125.97</v>
          </cell>
          <cell r="I322" t="str">
            <v>€</v>
          </cell>
          <cell r="J322">
            <v>7.14</v>
          </cell>
          <cell r="K322" t="str">
            <v>€</v>
          </cell>
          <cell r="L322">
            <v>161794.25639999998</v>
          </cell>
          <cell r="M322" t="str">
            <v>€</v>
          </cell>
          <cell r="N322">
            <v>7.14</v>
          </cell>
          <cell r="O322" t="str">
            <v>€</v>
          </cell>
          <cell r="P322">
            <v>20037.866342074416</v>
          </cell>
          <cell r="Q322" t="str">
            <v>KG</v>
          </cell>
          <cell r="R322">
            <v>143070.36568241133</v>
          </cell>
          <cell r="S322" t="str">
            <v>€</v>
          </cell>
          <cell r="T322">
            <v>143070.36568241133</v>
          </cell>
          <cell r="U322" t="str">
            <v>€</v>
          </cell>
          <cell r="V322">
            <v>0</v>
          </cell>
          <cell r="W322" t="str">
            <v>€</v>
          </cell>
          <cell r="X322">
            <v>1937.335</v>
          </cell>
        </row>
        <row r="323">
          <cell r="A323">
            <v>340537</v>
          </cell>
          <cell r="B323" t="str">
            <v>POULET FILET MORCEAUX 15/25G S/PEAU SURG FRANCE</v>
          </cell>
          <cell r="C323" t="str">
            <v>ACH107</v>
          </cell>
          <cell r="D323">
            <v>6588.8639999999996</v>
          </cell>
          <cell r="E323" t="str">
            <v>KG</v>
          </cell>
          <cell r="F323">
            <v>5.7009812313624932</v>
          </cell>
          <cell r="G323" t="str">
            <v>€</v>
          </cell>
          <cell r="H323">
            <v>37562.99</v>
          </cell>
          <cell r="I323" t="str">
            <v>€</v>
          </cell>
          <cell r="J323">
            <v>5.85</v>
          </cell>
          <cell r="K323" t="str">
            <v>€</v>
          </cell>
          <cell r="L323">
            <v>38544.854399999997</v>
          </cell>
          <cell r="M323" t="str">
            <v>€</v>
          </cell>
          <cell r="N323">
            <v>0</v>
          </cell>
          <cell r="O323" t="str">
            <v>€</v>
          </cell>
          <cell r="P323">
            <v>5808.0956078431373</v>
          </cell>
          <cell r="Q323" t="str">
            <v>KG</v>
          </cell>
          <cell r="R323">
            <v>0</v>
          </cell>
          <cell r="S323" t="str">
            <v>€</v>
          </cell>
          <cell r="T323">
            <v>33977.359305882354</v>
          </cell>
          <cell r="U323" t="str">
            <v>€</v>
          </cell>
          <cell r="V323">
            <v>-33977.359305882354</v>
          </cell>
          <cell r="W323" t="str">
            <v>€</v>
          </cell>
        </row>
        <row r="324">
          <cell r="A324">
            <v>341459</v>
          </cell>
          <cell r="B324" t="str">
            <v>DINDE ESCALOPE MILANAISE 100 +/-5G IQF</v>
          </cell>
          <cell r="C324" t="str">
            <v>ACH107</v>
          </cell>
          <cell r="D324">
            <v>31540</v>
          </cell>
          <cell r="E324" t="str">
            <v>KG</v>
          </cell>
          <cell r="F324">
            <v>5.8943246670894105</v>
          </cell>
          <cell r="G324" t="str">
            <v>€</v>
          </cell>
          <cell r="H324">
            <v>185907</v>
          </cell>
          <cell r="I324" t="str">
            <v>€</v>
          </cell>
          <cell r="J324">
            <v>6.7</v>
          </cell>
          <cell r="K324" t="str">
            <v>€</v>
          </cell>
          <cell r="L324">
            <v>211318</v>
          </cell>
          <cell r="M324" t="str">
            <v>€</v>
          </cell>
          <cell r="N324">
            <v>6.4</v>
          </cell>
          <cell r="O324" t="str">
            <v>€</v>
          </cell>
          <cell r="P324">
            <v>30000</v>
          </cell>
          <cell r="Q324" t="str">
            <v>KG</v>
          </cell>
          <cell r="R324">
            <v>192000</v>
          </cell>
          <cell r="S324" t="str">
            <v>€</v>
          </cell>
          <cell r="T324">
            <v>201000</v>
          </cell>
          <cell r="U324" t="str">
            <v>€</v>
          </cell>
          <cell r="V324">
            <v>-9000</v>
          </cell>
          <cell r="W324" t="str">
            <v>€</v>
          </cell>
          <cell r="X324">
            <v>1202.5</v>
          </cell>
        </row>
        <row r="325">
          <cell r="A325">
            <v>341619</v>
          </cell>
          <cell r="B325" t="str">
            <v>POULET CRU FILET MX CGL FRANCE</v>
          </cell>
          <cell r="C325" t="str">
            <v>ACH107</v>
          </cell>
          <cell r="D325">
            <v>47871.678999999996</v>
          </cell>
          <cell r="E325" t="str">
            <v>KG</v>
          </cell>
          <cell r="F325">
            <v>4.723964246167343</v>
          </cell>
          <cell r="G325" t="str">
            <v>€</v>
          </cell>
          <cell r="H325">
            <v>226144.1</v>
          </cell>
          <cell r="I325" t="str">
            <v>€</v>
          </cell>
          <cell r="J325">
            <v>5</v>
          </cell>
          <cell r="K325" t="str">
            <v>€</v>
          </cell>
          <cell r="L325">
            <v>239358.39499999999</v>
          </cell>
          <cell r="M325" t="str">
            <v>€</v>
          </cell>
          <cell r="N325">
            <v>4.8</v>
          </cell>
          <cell r="O325" t="str">
            <v>€</v>
          </cell>
          <cell r="P325">
            <v>77461.329219928608</v>
          </cell>
          <cell r="Q325" t="str">
            <v>KG</v>
          </cell>
          <cell r="R325">
            <v>371814.38025565731</v>
          </cell>
          <cell r="S325" t="str">
            <v>€</v>
          </cell>
          <cell r="T325">
            <v>387306.64609964303</v>
          </cell>
          <cell r="U325" t="str">
            <v>€</v>
          </cell>
          <cell r="V325">
            <v>-15492.265843985719</v>
          </cell>
          <cell r="W325" t="str">
            <v>€</v>
          </cell>
          <cell r="X325">
            <v>2940</v>
          </cell>
        </row>
        <row r="326">
          <cell r="A326">
            <v>341620</v>
          </cell>
          <cell r="B326" t="str">
            <v>POULET CRU FILET UE FRAIS OU SURG</v>
          </cell>
          <cell r="C326" t="str">
            <v>ACH107</v>
          </cell>
          <cell r="D326">
            <v>41640</v>
          </cell>
          <cell r="E326" t="str">
            <v>KG</v>
          </cell>
          <cell r="F326">
            <v>4.2244440441882807</v>
          </cell>
          <cell r="G326" t="str">
            <v>€</v>
          </cell>
          <cell r="H326">
            <v>175905.85</v>
          </cell>
          <cell r="I326" t="str">
            <v>€</v>
          </cell>
          <cell r="J326">
            <v>4.9000000000000004</v>
          </cell>
          <cell r="K326" t="str">
            <v>€</v>
          </cell>
          <cell r="L326">
            <v>204036.00000000003</v>
          </cell>
          <cell r="M326" t="str">
            <v>€</v>
          </cell>
          <cell r="N326">
            <v>4.22</v>
          </cell>
          <cell r="O326" t="str">
            <v>€</v>
          </cell>
          <cell r="P326">
            <v>44224.82335074529</v>
          </cell>
          <cell r="Q326" t="str">
            <v>KG</v>
          </cell>
          <cell r="R326">
            <v>186628.75454014511</v>
          </cell>
          <cell r="S326" t="str">
            <v>€</v>
          </cell>
          <cell r="T326">
            <v>216701.63441865193</v>
          </cell>
          <cell r="U326" t="str">
            <v>€</v>
          </cell>
          <cell r="V326">
            <v>-30072.879878506821</v>
          </cell>
          <cell r="W326" t="str">
            <v>€</v>
          </cell>
          <cell r="X326">
            <v>1484</v>
          </cell>
        </row>
        <row r="327">
          <cell r="A327">
            <v>346950</v>
          </cell>
          <cell r="B327" t="str">
            <v>SOT L'Y LAISSE DINDE SOUS VIDE 2.5KG origine france surg</v>
          </cell>
          <cell r="C327" t="str">
            <v>ACH107</v>
          </cell>
          <cell r="D327">
            <v>8199.7049999999999</v>
          </cell>
          <cell r="E327" t="str">
            <v>KG</v>
          </cell>
          <cell r="F327">
            <v>7.2773240012902907</v>
          </cell>
          <cell r="G327" t="str">
            <v>€</v>
          </cell>
          <cell r="H327">
            <v>59671.91</v>
          </cell>
          <cell r="I327" t="str">
            <v>€</v>
          </cell>
          <cell r="J327">
            <v>7.5</v>
          </cell>
          <cell r="K327" t="str">
            <v>€</v>
          </cell>
          <cell r="L327">
            <v>61497.787499999999</v>
          </cell>
          <cell r="M327" t="str">
            <v>€</v>
          </cell>
          <cell r="O327" t="str">
            <v>€</v>
          </cell>
          <cell r="P327">
            <v>7642.1904780882351</v>
          </cell>
          <cell r="Q327" t="str">
            <v>KG</v>
          </cell>
          <cell r="S327" t="str">
            <v>€</v>
          </cell>
          <cell r="T327">
            <v>57316.428585661764</v>
          </cell>
          <cell r="U327" t="str">
            <v>€</v>
          </cell>
          <cell r="W327" t="str">
            <v>€</v>
          </cell>
        </row>
        <row r="328">
          <cell r="A328">
            <v>347195</v>
          </cell>
          <cell r="B328" t="str">
            <v>POULET HDC 130/160 FRANCE SGL</v>
          </cell>
          <cell r="C328" t="str">
            <v>ACH107</v>
          </cell>
          <cell r="D328">
            <v>225627.19200000001</v>
          </cell>
          <cell r="E328" t="str">
            <v>KG</v>
          </cell>
          <cell r="F328">
            <v>2.7587384502839534</v>
          </cell>
          <cell r="G328" t="str">
            <v>€</v>
          </cell>
          <cell r="H328">
            <v>622446.41</v>
          </cell>
          <cell r="I328" t="str">
            <v>€</v>
          </cell>
          <cell r="J328">
            <v>2.84</v>
          </cell>
          <cell r="K328" t="str">
            <v>€</v>
          </cell>
          <cell r="L328">
            <v>640781.22528000001</v>
          </cell>
          <cell r="M328" t="str">
            <v>€</v>
          </cell>
          <cell r="N328">
            <v>2.8</v>
          </cell>
          <cell r="O328" t="str">
            <v>€</v>
          </cell>
          <cell r="P328">
            <v>237088.29071747579</v>
          </cell>
          <cell r="Q328" t="str">
            <v>KG</v>
          </cell>
          <cell r="R328">
            <v>663847.21400893212</v>
          </cell>
          <cell r="S328" t="str">
            <v>€</v>
          </cell>
          <cell r="T328">
            <v>673330.74563763116</v>
          </cell>
          <cell r="U328" t="str">
            <v>€</v>
          </cell>
          <cell r="V328">
            <v>-9483.5316286990419</v>
          </cell>
          <cell r="W328" t="str">
            <v>€</v>
          </cell>
          <cell r="X328">
            <v>14151.263999999999</v>
          </cell>
        </row>
        <row r="329">
          <cell r="A329">
            <v>347196</v>
          </cell>
          <cell r="B329" t="str">
            <v>POULET PILON 100/120 FRANCE SGL</v>
          </cell>
          <cell r="C329" t="str">
            <v>ACH107</v>
          </cell>
          <cell r="D329">
            <v>82806.476999999999</v>
          </cell>
          <cell r="E329" t="str">
            <v>KG</v>
          </cell>
          <cell r="F329">
            <v>2.5914901560176267</v>
          </cell>
          <cell r="G329" t="str">
            <v>€</v>
          </cell>
          <cell r="H329">
            <v>214592.17</v>
          </cell>
          <cell r="I329" t="str">
            <v>€</v>
          </cell>
          <cell r="J329">
            <v>2.7</v>
          </cell>
          <cell r="K329" t="str">
            <v>€</v>
          </cell>
          <cell r="L329">
            <v>223577.48790000001</v>
          </cell>
          <cell r="M329" t="str">
            <v>€</v>
          </cell>
          <cell r="N329">
            <v>2.7</v>
          </cell>
          <cell r="O329" t="str">
            <v>€</v>
          </cell>
          <cell r="P329">
            <v>95762.191084806953</v>
          </cell>
          <cell r="Q329" t="str">
            <v>KG</v>
          </cell>
          <cell r="R329">
            <v>258557.91592897879</v>
          </cell>
          <cell r="S329" t="str">
            <v>€</v>
          </cell>
          <cell r="T329">
            <v>258557.91592897879</v>
          </cell>
          <cell r="U329" t="str">
            <v>€</v>
          </cell>
          <cell r="V329">
            <v>0</v>
          </cell>
          <cell r="W329" t="str">
            <v>€</v>
          </cell>
          <cell r="X329">
            <v>892.46500000000003</v>
          </cell>
        </row>
        <row r="330">
          <cell r="A330">
            <v>360911</v>
          </cell>
          <cell r="B330" t="str">
            <v>CUISS CANETTE 160/180G EBOUTTEES CGL</v>
          </cell>
          <cell r="C330" t="str">
            <v>ACH107</v>
          </cell>
          <cell r="D330">
            <v>-10</v>
          </cell>
          <cell r="E330" t="str">
            <v>KG</v>
          </cell>
          <cell r="F330">
            <v>5.6</v>
          </cell>
          <cell r="G330" t="str">
            <v>€</v>
          </cell>
          <cell r="H330">
            <v>-56</v>
          </cell>
          <cell r="I330" t="str">
            <v>€</v>
          </cell>
          <cell r="K330" t="str">
            <v>€</v>
          </cell>
          <cell r="L330">
            <v>0</v>
          </cell>
          <cell r="M330" t="str">
            <v>€</v>
          </cell>
          <cell r="O330" t="str">
            <v>€</v>
          </cell>
          <cell r="Q330" t="str">
            <v>KG</v>
          </cell>
          <cell r="S330" t="str">
            <v>€</v>
          </cell>
          <cell r="U330" t="str">
            <v>€</v>
          </cell>
          <cell r="W330" t="str">
            <v>€</v>
          </cell>
        </row>
      </sheetData>
      <sheetData sheetId="13"/>
      <sheetData sheetId="14">
        <row r="1">
          <cell r="C1" t="str">
            <v>Produit code</v>
          </cell>
          <cell r="D1" t="str">
            <v>Produit lib</v>
          </cell>
          <cell r="E1" t="str">
            <v>202504 Mois</v>
          </cell>
          <cell r="F1" t="str">
            <v>202505 Mois</v>
          </cell>
          <cell r="G1" t="str">
            <v>202506 Mois</v>
          </cell>
          <cell r="H1" t="str">
            <v>202507 Mois</v>
          </cell>
          <cell r="I1" t="str">
            <v>202508 Mois</v>
          </cell>
          <cell r="J1" t="str">
            <v>202509 Mois</v>
          </cell>
          <cell r="K1" t="str">
            <v>202510 Mois</v>
          </cell>
          <cell r="L1" t="str">
            <v>202511 Mois</v>
          </cell>
          <cell r="M1" t="str">
            <v>202512 Mois</v>
          </cell>
          <cell r="N1" t="str">
            <v>202601 Mois</v>
          </cell>
          <cell r="O1" t="str">
            <v>202602 Mois</v>
          </cell>
          <cell r="P1" t="str">
            <v>202603 Mois</v>
          </cell>
          <cell r="Q1" t="str">
            <v xml:space="preserve"> Mois</v>
          </cell>
          <cell r="R1" t="str">
            <v>Total Mois</v>
          </cell>
        </row>
        <row r="2">
          <cell r="C2">
            <v>332283</v>
          </cell>
          <cell r="D2" t="str">
            <v>VEAU SAUTE EPAULE 40G VVF IQF</v>
          </cell>
          <cell r="E2">
            <v>6600.7198547667567</v>
          </cell>
          <cell r="F2">
            <v>11744.810862515626</v>
          </cell>
          <cell r="G2">
            <v>11358.849548236802</v>
          </cell>
          <cell r="H2">
            <v>15031.573854134782</v>
          </cell>
          <cell r="I2">
            <v>15656.335606546003</v>
          </cell>
          <cell r="J2">
            <v>17785.737129260935</v>
          </cell>
          <cell r="K2">
            <v>21812.939039601348</v>
          </cell>
          <cell r="L2">
            <v>3551.2946182019232</v>
          </cell>
          <cell r="M2">
            <v>3916.227932238718</v>
          </cell>
          <cell r="N2">
            <v>6935.3036877368422</v>
          </cell>
          <cell r="O2">
            <v>8741.0837785093008</v>
          </cell>
          <cell r="P2">
            <v>9258.0012405221114</v>
          </cell>
          <cell r="R2">
            <v>132392.87715227116</v>
          </cell>
        </row>
        <row r="3">
          <cell r="C3">
            <v>336864</v>
          </cell>
          <cell r="D3" t="str">
            <v>JUS DE CITRON VERT AV PULPE 9 BRIX BIDON SGL (GJUS160001)</v>
          </cell>
          <cell r="E3">
            <v>47.8215425</v>
          </cell>
          <cell r="F3">
            <v>43.849254768041234</v>
          </cell>
          <cell r="G3">
            <v>53.638901530828228</v>
          </cell>
          <cell r="H3">
            <v>39.841608490263461</v>
          </cell>
          <cell r="I3">
            <v>61.705116833806464</v>
          </cell>
          <cell r="J3">
            <v>55.386653843007622</v>
          </cell>
          <cell r="K3">
            <v>105.33428532760595</v>
          </cell>
          <cell r="L3">
            <v>6.1975658470342525</v>
          </cell>
          <cell r="M3">
            <v>64.768041681777973</v>
          </cell>
          <cell r="N3">
            <v>110.97314778829968</v>
          </cell>
          <cell r="O3">
            <v>10.578382160873204</v>
          </cell>
          <cell r="P3">
            <v>45.419635897554656</v>
          </cell>
          <cell r="R3">
            <v>645.51413666909252</v>
          </cell>
        </row>
        <row r="4">
          <cell r="C4">
            <v>337529</v>
          </cell>
          <cell r="D4" t="str">
            <v>CAILLES 150/170G PC</v>
          </cell>
          <cell r="M4">
            <v>5940</v>
          </cell>
          <cell r="R4">
            <v>5940</v>
          </cell>
        </row>
        <row r="5">
          <cell r="C5">
            <v>338180</v>
          </cell>
          <cell r="D5" t="str">
            <v>ENCORNET CUBE GEANT 2X2 CM CRUE CONG IQF GIGAS</v>
          </cell>
          <cell r="E5">
            <v>1236.2157092783505</v>
          </cell>
          <cell r="F5">
            <v>950.05466546391756</v>
          </cell>
          <cell r="G5">
            <v>755.46515567010306</v>
          </cell>
          <cell r="H5">
            <v>812.69736443298973</v>
          </cell>
          <cell r="I5">
            <v>915.7153402061856</v>
          </cell>
          <cell r="J5">
            <v>709.67938865979386</v>
          </cell>
          <cell r="K5">
            <v>778.35803917525777</v>
          </cell>
          <cell r="L5">
            <v>618.10785463917523</v>
          </cell>
          <cell r="M5">
            <v>709.67938865979386</v>
          </cell>
          <cell r="N5">
            <v>686.78650515463914</v>
          </cell>
          <cell r="O5">
            <v>709.67938865979386</v>
          </cell>
          <cell r="P5">
            <v>641.00073814432994</v>
          </cell>
          <cell r="R5">
            <v>9523.4395381443301</v>
          </cell>
        </row>
        <row r="6">
          <cell r="C6">
            <v>338243</v>
          </cell>
          <cell r="D6" t="str">
            <v>AIL PULPE BLANCHI PUREE GALET SURGELE (HAL10005)</v>
          </cell>
          <cell r="E6">
            <v>2391.7800849678429</v>
          </cell>
          <cell r="F6">
            <v>1981.9176750794716</v>
          </cell>
          <cell r="G6">
            <v>2137.2972668615503</v>
          </cell>
          <cell r="H6">
            <v>2028.7863720899043</v>
          </cell>
          <cell r="I6">
            <v>2531.9358809276823</v>
          </cell>
          <cell r="J6">
            <v>4140.0537135327513</v>
          </cell>
          <cell r="K6">
            <v>3179.2094527614636</v>
          </cell>
          <cell r="L6">
            <v>1703.0301995526142</v>
          </cell>
          <cell r="M6">
            <v>2868.1020984351617</v>
          </cell>
          <cell r="N6">
            <v>3854.266818084619</v>
          </cell>
          <cell r="O6">
            <v>2286.384759477005</v>
          </cell>
          <cell r="P6">
            <v>2485.2683073030439</v>
          </cell>
          <cell r="R6">
            <v>31588.03262907311</v>
          </cell>
        </row>
        <row r="7">
          <cell r="C7">
            <v>338244</v>
          </cell>
          <cell r="D7" t="str">
            <v>AIL BLANCHI GOUSSE ENTIERE (HAL10001)</v>
          </cell>
          <cell r="E7">
            <v>10.999890000000001</v>
          </cell>
          <cell r="F7">
            <v>10.999890000000001</v>
          </cell>
          <cell r="G7">
            <v>7.6999230000000001</v>
          </cell>
          <cell r="H7">
            <v>6.5999340000000002</v>
          </cell>
          <cell r="I7">
            <v>6.5999340000000002</v>
          </cell>
          <cell r="J7">
            <v>31.899680823529412</v>
          </cell>
          <cell r="K7">
            <v>828.2917112647059</v>
          </cell>
          <cell r="L7">
            <v>24.199757999999999</v>
          </cell>
          <cell r="M7">
            <v>49.499504999999999</v>
          </cell>
          <cell r="N7">
            <v>41.799582000000001</v>
          </cell>
          <cell r="O7">
            <v>96.799031999999997</v>
          </cell>
          <cell r="P7">
            <v>15.619843676470587</v>
          </cell>
          <cell r="R7">
            <v>1131.0086837647057</v>
          </cell>
        </row>
        <row r="8">
          <cell r="C8">
            <v>338254</v>
          </cell>
          <cell r="D8" t="str">
            <v>CAROTTES 4*4*4 BLANCHI CUBE SGL</v>
          </cell>
          <cell r="E8">
            <v>930.55237095299151</v>
          </cell>
          <cell r="F8">
            <v>1072.6125412044232</v>
          </cell>
          <cell r="G8">
            <v>1053.8418571749935</v>
          </cell>
          <cell r="H8">
            <v>1119.3882747012071</v>
          </cell>
          <cell r="I8">
            <v>729.97460241607189</v>
          </cell>
          <cell r="J8">
            <v>1090.6933541703013</v>
          </cell>
          <cell r="K8">
            <v>1271.2581066937616</v>
          </cell>
          <cell r="L8">
            <v>658.35469874185299</v>
          </cell>
          <cell r="M8">
            <v>1791.1073434063885</v>
          </cell>
          <cell r="N8">
            <v>922.01599163714866</v>
          </cell>
          <cell r="O8">
            <v>665.13677223125387</v>
          </cell>
          <cell r="P8">
            <v>765.31599493122746</v>
          </cell>
          <cell r="R8">
            <v>12070.251908261622</v>
          </cell>
        </row>
        <row r="9">
          <cell r="C9">
            <v>338256</v>
          </cell>
          <cell r="D9" t="str">
            <v>CAROTTE ORANGE BLANCHI RONDELLE LISSE 4-7 SGL (LCA51013)</v>
          </cell>
          <cell r="E9">
            <v>4471.0439786991055</v>
          </cell>
          <cell r="F9">
            <v>3540.7775506643447</v>
          </cell>
          <cell r="G9">
            <v>3587.6621284978442</v>
          </cell>
          <cell r="H9">
            <v>2776.5977044089946</v>
          </cell>
          <cell r="I9">
            <v>3383.1031325118588</v>
          </cell>
          <cell r="J9">
            <v>9219.7241836098565</v>
          </cell>
          <cell r="K9">
            <v>7584.131651683696</v>
          </cell>
          <cell r="L9">
            <v>6744.972071690041</v>
          </cell>
          <cell r="M9">
            <v>4312.312162333772</v>
          </cell>
          <cell r="N9">
            <v>8663.317916977956</v>
          </cell>
          <cell r="O9">
            <v>4922.592384198495</v>
          </cell>
          <cell r="P9">
            <v>7872.1882544159898</v>
          </cell>
          <cell r="R9">
            <v>67078.423119691957</v>
          </cell>
        </row>
        <row r="10">
          <cell r="C10">
            <v>338259</v>
          </cell>
          <cell r="D10" t="str">
            <v>CAROTTE  JAUNE BLANCHI JULIENNE 4X4 SGL (LCA10019)</v>
          </cell>
          <cell r="E10">
            <v>582.52186872826087</v>
          </cell>
          <cell r="F10">
            <v>51.939198347826085</v>
          </cell>
          <cell r="G10">
            <v>629.95118704347828</v>
          </cell>
          <cell r="H10">
            <v>47.217453043478258</v>
          </cell>
          <cell r="I10">
            <v>627.59031439130433</v>
          </cell>
          <cell r="J10">
            <v>2318.4088556376082</v>
          </cell>
          <cell r="K10">
            <v>50.194504434782608</v>
          </cell>
          <cell r="L10">
            <v>116.66404013478261</v>
          </cell>
          <cell r="M10">
            <v>579.47692663884993</v>
          </cell>
          <cell r="N10">
            <v>5055.7372202486522</v>
          </cell>
          <cell r="O10">
            <v>69.915328568478259</v>
          </cell>
          <cell r="P10">
            <v>923.86533147826083</v>
          </cell>
          <cell r="R10">
            <v>11053.482228695762</v>
          </cell>
        </row>
        <row r="11">
          <cell r="C11">
            <v>338268</v>
          </cell>
          <cell r="D11" t="str">
            <v>CHAMPIGNON DE PARIS MINIATURE IQF 15/28 SANS SULFITE ORIGINE FRA</v>
          </cell>
          <cell r="E11">
            <v>538.29971764705886</v>
          </cell>
          <cell r="F11">
            <v>2960.6484470588234</v>
          </cell>
          <cell r="G11">
            <v>2691.4985882352939</v>
          </cell>
          <cell r="H11">
            <v>4037.2478823529414</v>
          </cell>
          <cell r="I11">
            <v>4037.2478823529414</v>
          </cell>
          <cell r="J11">
            <v>4037.2478823529414</v>
          </cell>
          <cell r="K11">
            <v>4261.5394313725492</v>
          </cell>
          <cell r="M11">
            <v>123.78922903225806</v>
          </cell>
          <cell r="N11">
            <v>1256.0326745098039</v>
          </cell>
          <cell r="O11">
            <v>1256.0326745098039</v>
          </cell>
          <cell r="P11">
            <v>1076.5994352941177</v>
          </cell>
          <cell r="R11">
            <v>26276.183844718529</v>
          </cell>
        </row>
        <row r="12">
          <cell r="C12">
            <v>338271</v>
          </cell>
          <cell r="D12" t="str">
            <v>CHAMPIGNONS DE PARIS EMINCES 6MM INF SANS S02 (CCP10044-10810105</v>
          </cell>
          <cell r="E12">
            <v>7075.873192903342</v>
          </cell>
          <cell r="F12">
            <v>7381.1292942226</v>
          </cell>
          <cell r="G12">
            <v>4960.6698124559798</v>
          </cell>
          <cell r="H12">
            <v>4475.3534946441714</v>
          </cell>
          <cell r="I12">
            <v>5940.4169811783859</v>
          </cell>
          <cell r="J12">
            <v>12950.874199416623</v>
          </cell>
          <cell r="K12">
            <v>11066.141703142661</v>
          </cell>
          <cell r="L12">
            <v>8316.2117807370687</v>
          </cell>
          <cell r="M12">
            <v>6753.1755164241167</v>
          </cell>
          <cell r="N12">
            <v>7709.6775983130628</v>
          </cell>
          <cell r="O12">
            <v>7311.8384946319529</v>
          </cell>
          <cell r="P12">
            <v>6751.3362006535717</v>
          </cell>
          <cell r="R12">
            <v>90692.698268723543</v>
          </cell>
        </row>
        <row r="13">
          <cell r="C13">
            <v>338272</v>
          </cell>
          <cell r="D13" t="str">
            <v>CHAMPIGNONS NOIRS BLANCHIS LANIERE 4-6 MM (CCON001)</v>
          </cell>
          <cell r="E13">
            <v>514.97452608913045</v>
          </cell>
          <cell r="F13">
            <v>319.59052282608695</v>
          </cell>
          <cell r="G13">
            <v>687.21853161676381</v>
          </cell>
          <cell r="H13">
            <v>105.30739752508362</v>
          </cell>
          <cell r="I13">
            <v>683.8926254528842</v>
          </cell>
          <cell r="J13">
            <v>2507.5022425802349</v>
          </cell>
          <cell r="K13">
            <v>94.421612655518388</v>
          </cell>
          <cell r="L13">
            <v>86.786096099163885</v>
          </cell>
          <cell r="M13">
            <v>57.82675014381271</v>
          </cell>
          <cell r="N13">
            <v>4832.9961673667394</v>
          </cell>
          <cell r="O13">
            <v>147.81781554176379</v>
          </cell>
          <cell r="P13">
            <v>897.91753040409617</v>
          </cell>
          <cell r="R13">
            <v>10936.25181830128</v>
          </cell>
        </row>
        <row r="14">
          <cell r="C14">
            <v>338275</v>
          </cell>
          <cell r="D14" t="str">
            <v>JUS DE CITRON CONCENTRE 45 BRIX</v>
          </cell>
          <cell r="E14">
            <v>75.486156756118646</v>
          </cell>
          <cell r="F14">
            <v>41.240454337337091</v>
          </cell>
          <cell r="G14">
            <v>35.432308906988439</v>
          </cell>
          <cell r="H14">
            <v>32.04714539789844</v>
          </cell>
          <cell r="I14">
            <v>38.167251571644044</v>
          </cell>
          <cell r="J14">
            <v>99.067385983975512</v>
          </cell>
          <cell r="K14">
            <v>115.59436833002513</v>
          </cell>
          <cell r="L14">
            <v>108.32118309437323</v>
          </cell>
          <cell r="M14">
            <v>132.06454244007537</v>
          </cell>
          <cell r="N14">
            <v>78.121896785205564</v>
          </cell>
          <cell r="O14">
            <v>63.576644973102063</v>
          </cell>
          <cell r="P14">
            <v>89.176846338019104</v>
          </cell>
          <cell r="R14">
            <v>908.29618491476253</v>
          </cell>
        </row>
        <row r="15">
          <cell r="C15">
            <v>338281</v>
          </cell>
          <cell r="D15" t="str">
            <v>COURGETTE NON BLANCHI CUBE 20X20 MM IQF (LCR10002)</v>
          </cell>
          <cell r="E15">
            <v>272.11095652173913</v>
          </cell>
          <cell r="F15">
            <v>374.15256521739133</v>
          </cell>
          <cell r="G15">
            <v>1524.6476581032609</v>
          </cell>
          <cell r="H15">
            <v>863.73808473478266</v>
          </cell>
          <cell r="I15">
            <v>374.15256521739133</v>
          </cell>
          <cell r="J15">
            <v>1059.0383599510869</v>
          </cell>
          <cell r="K15">
            <v>306.12482608695655</v>
          </cell>
          <cell r="L15">
            <v>238.09708695652174</v>
          </cell>
          <cell r="M15">
            <v>136.05547826086956</v>
          </cell>
          <cell r="N15">
            <v>299.32205217391305</v>
          </cell>
          <cell r="O15">
            <v>251.7026347826087</v>
          </cell>
          <cell r="P15">
            <v>238.09708695652174</v>
          </cell>
          <cell r="R15">
            <v>5937.2393549630442</v>
          </cell>
        </row>
        <row r="16">
          <cell r="C16">
            <v>338283</v>
          </cell>
          <cell r="D16" t="str">
            <v>ECHALOTES 4*4 NON BLANCHI CUBE 4X4MM (HEL10004)</v>
          </cell>
          <cell r="E16">
            <v>3603.5559094369783</v>
          </cell>
          <cell r="F16">
            <v>3297.0603637592239</v>
          </cell>
          <cell r="G16">
            <v>3229.0029675131241</v>
          </cell>
          <cell r="H16">
            <v>3651.3403599771041</v>
          </cell>
          <cell r="I16">
            <v>3766.7914236570928</v>
          </cell>
          <cell r="J16">
            <v>4785.0026479216322</v>
          </cell>
          <cell r="K16">
            <v>5223.914917186923</v>
          </cell>
          <cell r="L16">
            <v>3478.1565255488208</v>
          </cell>
          <cell r="M16">
            <v>7063.1024853217232</v>
          </cell>
          <cell r="N16">
            <v>3088.5630130026229</v>
          </cell>
          <cell r="O16">
            <v>2672.0633820860235</v>
          </cell>
          <cell r="P16">
            <v>4349.7251817380757</v>
          </cell>
          <cell r="R16">
            <v>48208.279177149343</v>
          </cell>
        </row>
        <row r="17">
          <cell r="C17">
            <v>338285</v>
          </cell>
          <cell r="D17" t="str">
            <v>EPINARD BRANCHE</v>
          </cell>
          <cell r="E17">
            <v>496.30409169230768</v>
          </cell>
          <cell r="F17">
            <v>422.57775923076923</v>
          </cell>
          <cell r="G17">
            <v>494.50588846153846</v>
          </cell>
          <cell r="H17">
            <v>395.60471076923079</v>
          </cell>
          <cell r="I17">
            <v>377.62267846153844</v>
          </cell>
          <cell r="J17">
            <v>501.66524198123182</v>
          </cell>
          <cell r="K17">
            <v>454.04631576923077</v>
          </cell>
          <cell r="L17">
            <v>451.34901092307695</v>
          </cell>
          <cell r="M17">
            <v>490.90948200000003</v>
          </cell>
          <cell r="N17">
            <v>708.32850504467353</v>
          </cell>
          <cell r="O17">
            <v>417.18314953846152</v>
          </cell>
          <cell r="P17">
            <v>426.17416569230767</v>
          </cell>
          <cell r="R17">
            <v>5636.2709995643663</v>
          </cell>
        </row>
        <row r="18">
          <cell r="C18">
            <v>338304</v>
          </cell>
          <cell r="D18" t="str">
            <v>MARRON CHATAIGNE 180/200 PELÉ NON BLANCHI ENTIER (FCHNC003)</v>
          </cell>
          <cell r="M18">
            <v>979.49015056296298</v>
          </cell>
          <cell r="R18">
            <v>979.49015056296298</v>
          </cell>
        </row>
        <row r="19">
          <cell r="C19">
            <v>338311</v>
          </cell>
          <cell r="D19" t="str">
            <v>OIGNONS GRELOTS 16-18MM BLANCHI SGL (LOI49002)</v>
          </cell>
          <cell r="E19">
            <v>1261.6862255996782</v>
          </cell>
          <cell r="F19">
            <v>696.69531498856713</v>
          </cell>
          <cell r="G19">
            <v>848.1866611375691</v>
          </cell>
          <cell r="H19">
            <v>560.84000032290601</v>
          </cell>
          <cell r="I19">
            <v>1117.4378709100051</v>
          </cell>
          <cell r="J19">
            <v>3218.519617436903</v>
          </cell>
          <cell r="K19">
            <v>4628.193065179149</v>
          </cell>
          <cell r="L19">
            <v>2039.1851399824031</v>
          </cell>
          <cell r="M19">
            <v>1324.2727959193162</v>
          </cell>
          <cell r="N19">
            <v>1440.4373687897235</v>
          </cell>
          <cell r="O19">
            <v>1689.6063708866768</v>
          </cell>
          <cell r="P19">
            <v>2580.3386682939968</v>
          </cell>
          <cell r="R19">
            <v>21405.399099446891</v>
          </cell>
        </row>
        <row r="20">
          <cell r="C20">
            <v>338313</v>
          </cell>
          <cell r="D20" t="str">
            <v>OIGNON EMINCE Absence Listéria NON BLANCHI 2-4 MM SGL (LOI5101)</v>
          </cell>
          <cell r="E20">
            <v>6913.3176540833338</v>
          </cell>
          <cell r="F20">
            <v>7406.952167912189</v>
          </cell>
          <cell r="G20">
            <v>5252.8971314930041</v>
          </cell>
          <cell r="H20">
            <v>3200.0294712159052</v>
          </cell>
          <cell r="I20">
            <v>6206.7180547960088</v>
          </cell>
          <cell r="J20">
            <v>10674.537809543956</v>
          </cell>
          <cell r="K20">
            <v>6576.105005294562</v>
          </cell>
          <cell r="L20">
            <v>2647.8252508320143</v>
          </cell>
          <cell r="M20">
            <v>2254.0709910177507</v>
          </cell>
          <cell r="N20">
            <v>12034.976645135159</v>
          </cell>
          <cell r="O20">
            <v>5843.3778825494974</v>
          </cell>
          <cell r="P20">
            <v>4753.4981260921568</v>
          </cell>
          <cell r="R20">
            <v>73764.306189965559</v>
          </cell>
        </row>
        <row r="21">
          <cell r="C21">
            <v>338323</v>
          </cell>
          <cell r="D21" t="str">
            <v>PANAIS BLANCHI CUBES 10X10 IQF SGL (LPG49002)</v>
          </cell>
          <cell r="L21">
            <v>19.543700395776654</v>
          </cell>
          <cell r="M21">
            <v>2891.6970811617439</v>
          </cell>
          <cell r="R21">
            <v>2911.2407815575207</v>
          </cell>
        </row>
        <row r="22">
          <cell r="C22">
            <v>338329</v>
          </cell>
          <cell r="D22" t="str">
            <v>PETITS POIS FIN BLANCHI SGL (LPP49003)</v>
          </cell>
          <cell r="E22">
            <v>2347.1690715936365</v>
          </cell>
          <cell r="F22">
            <v>1972.3271844744165</v>
          </cell>
          <cell r="G22">
            <v>2748.7511776209644</v>
          </cell>
          <cell r="H22">
            <v>1788.7162389791094</v>
          </cell>
          <cell r="I22">
            <v>2169.2695446481953</v>
          </cell>
          <cell r="J22">
            <v>5569.2160406916755</v>
          </cell>
          <cell r="K22">
            <v>1680.6481821665632</v>
          </cell>
          <cell r="L22">
            <v>1551.7147393467344</v>
          </cell>
          <cell r="M22">
            <v>1475.6910012911767</v>
          </cell>
          <cell r="N22">
            <v>6999.671846686324</v>
          </cell>
          <cell r="O22">
            <v>1607.5369161644071</v>
          </cell>
          <cell r="P22">
            <v>4730.5624653891855</v>
          </cell>
          <cell r="R22">
            <v>34641.274409052385</v>
          </cell>
        </row>
        <row r="23">
          <cell r="C23">
            <v>338330</v>
          </cell>
          <cell r="D23" t="str">
            <v>POIVRON ROUGE 10x10 IQF</v>
          </cell>
          <cell r="E23">
            <v>457.18008116239315</v>
          </cell>
          <cell r="F23">
            <v>899.56128143094111</v>
          </cell>
          <cell r="G23">
            <v>1016.2985582832581</v>
          </cell>
          <cell r="H23">
            <v>959.37540781187772</v>
          </cell>
          <cell r="I23">
            <v>985.28148570488111</v>
          </cell>
          <cell r="J23">
            <v>1494.4851767025452</v>
          </cell>
          <cell r="K23">
            <v>1190.8227499703939</v>
          </cell>
          <cell r="L23">
            <v>622.83350708974353</v>
          </cell>
          <cell r="M23">
            <v>381.93606420940171</v>
          </cell>
          <cell r="N23">
            <v>1653.2918945965839</v>
          </cell>
          <cell r="O23">
            <v>454.13350466437572</v>
          </cell>
          <cell r="P23">
            <v>966.57003436033824</v>
          </cell>
          <cell r="R23">
            <v>11081.769745986734</v>
          </cell>
        </row>
        <row r="24">
          <cell r="C24">
            <v>338331</v>
          </cell>
          <cell r="D24" t="str">
            <v>POIVRON ROUGE 20X20</v>
          </cell>
          <cell r="E24">
            <v>308.7696220769231</v>
          </cell>
          <cell r="F24">
            <v>303.32990101003344</v>
          </cell>
          <cell r="G24">
            <v>109.31297770568563</v>
          </cell>
          <cell r="H24">
            <v>393.85865218337813</v>
          </cell>
          <cell r="I24">
            <v>109.31297770568563</v>
          </cell>
          <cell r="J24">
            <v>456.27653972402857</v>
          </cell>
          <cell r="K24">
            <v>108.04516796655518</v>
          </cell>
          <cell r="L24">
            <v>100.00334848829432</v>
          </cell>
          <cell r="M24">
            <v>88.246009531772572</v>
          </cell>
          <cell r="N24">
            <v>249.92351766175912</v>
          </cell>
          <cell r="O24">
            <v>135.83989718394648</v>
          </cell>
          <cell r="P24">
            <v>163.1625919665552</v>
          </cell>
          <cell r="R24">
            <v>2526.0812032046179</v>
          </cell>
        </row>
        <row r="25">
          <cell r="C25">
            <v>338334</v>
          </cell>
          <cell r="D25" t="str">
            <v>POIVRON JAUNE 20*20</v>
          </cell>
          <cell r="H25">
            <v>280.52476473856211</v>
          </cell>
          <cell r="R25">
            <v>280.52476473856211</v>
          </cell>
        </row>
        <row r="26">
          <cell r="C26">
            <v>338336</v>
          </cell>
          <cell r="D26" t="str">
            <v>POIS CHICHE PRÉCUIT IQF (LPF49001)</v>
          </cell>
          <cell r="E26">
            <v>319.46467999999999</v>
          </cell>
          <cell r="F26">
            <v>327.55239304347828</v>
          </cell>
          <cell r="G26">
            <v>484.34374782608694</v>
          </cell>
          <cell r="H26">
            <v>368.17477260869566</v>
          </cell>
          <cell r="I26">
            <v>298.69396173913043</v>
          </cell>
          <cell r="J26">
            <v>398.41179304347827</v>
          </cell>
          <cell r="K26">
            <v>433.33600913043477</v>
          </cell>
          <cell r="L26">
            <v>439.40179391304349</v>
          </cell>
          <cell r="M26">
            <v>214.43469313043479</v>
          </cell>
          <cell r="N26">
            <v>367.89905478260869</v>
          </cell>
          <cell r="O26">
            <v>491.88002521739128</v>
          </cell>
          <cell r="P26">
            <v>509.98547608695651</v>
          </cell>
          <cell r="R26">
            <v>4653.5784005217392</v>
          </cell>
        </row>
        <row r="27">
          <cell r="C27">
            <v>338337</v>
          </cell>
          <cell r="D27" t="str">
            <v>POIVRON VERT LANIERE - PF NP IQF (LPV10003)</v>
          </cell>
          <cell r="E27">
            <v>2118.4496078431371</v>
          </cell>
          <cell r="F27">
            <v>1238.95776</v>
          </cell>
          <cell r="I27">
            <v>860.38733333333334</v>
          </cell>
          <cell r="J27">
            <v>1066.8802933333334</v>
          </cell>
          <cell r="K27">
            <v>688.30986666666672</v>
          </cell>
          <cell r="N27">
            <v>131.19639969230769</v>
          </cell>
          <cell r="O27">
            <v>1504.3073751774762</v>
          </cell>
          <cell r="P27">
            <v>412.98592000000002</v>
          </cell>
          <cell r="R27">
            <v>8021.4745560462543</v>
          </cell>
        </row>
        <row r="28">
          <cell r="C28">
            <v>338338</v>
          </cell>
          <cell r="D28" t="str">
            <v>POIVRON ROUGE LANIERE - PF NP</v>
          </cell>
          <cell r="E28">
            <v>6545.7608954804373</v>
          </cell>
          <cell r="F28">
            <v>5374.9335045537273</v>
          </cell>
          <cell r="G28">
            <v>5294.6409294810792</v>
          </cell>
          <cell r="H28">
            <v>4446.4476629959954</v>
          </cell>
          <cell r="I28">
            <v>4564.3650154784564</v>
          </cell>
          <cell r="J28">
            <v>7116.0601306341332</v>
          </cell>
          <cell r="K28">
            <v>3460.2488201060005</v>
          </cell>
          <cell r="L28">
            <v>2510.4954303149684</v>
          </cell>
          <cell r="M28">
            <v>2326.703301707375</v>
          </cell>
          <cell r="N28">
            <v>5777.2679549775648</v>
          </cell>
          <cell r="O28">
            <v>6508.0967557781623</v>
          </cell>
          <cell r="P28">
            <v>3914.1605783795471</v>
          </cell>
          <cell r="R28">
            <v>57839.180979887453</v>
          </cell>
        </row>
        <row r="29">
          <cell r="C29">
            <v>338339</v>
          </cell>
          <cell r="D29" t="str">
            <v>POIVRON JAUNE LANIERE - PF NP</v>
          </cell>
          <cell r="E29">
            <v>3144.5842325641024</v>
          </cell>
          <cell r="F29">
            <v>3090.449144019231</v>
          </cell>
          <cell r="G29">
            <v>2184.9941007884618</v>
          </cell>
          <cell r="H29">
            <v>2099.6243115653847</v>
          </cell>
          <cell r="I29">
            <v>2086.1848389487182</v>
          </cell>
          <cell r="J29">
            <v>2484.7555175641028</v>
          </cell>
          <cell r="K29">
            <v>1243.280338897436</v>
          </cell>
          <cell r="L29">
            <v>484.43089815384616</v>
          </cell>
          <cell r="M29">
            <v>314.87224476923075</v>
          </cell>
          <cell r="N29">
            <v>593.03904715384613</v>
          </cell>
          <cell r="O29">
            <v>2827.9483199615383</v>
          </cell>
          <cell r="P29">
            <v>1149.442106</v>
          </cell>
          <cell r="R29">
            <v>21703.605100385896</v>
          </cell>
        </row>
        <row r="30">
          <cell r="C30">
            <v>338350</v>
          </cell>
          <cell r="D30" t="str">
            <v>TOMATES CUBES 8X8 AROMATISES IQF</v>
          </cell>
          <cell r="E30">
            <v>156.65938717948717</v>
          </cell>
          <cell r="F30">
            <v>278.81451768162395</v>
          </cell>
          <cell r="G30">
            <v>330.38907502350429</v>
          </cell>
          <cell r="H30">
            <v>317.18705642435896</v>
          </cell>
          <cell r="I30">
            <v>182.0540323076923</v>
          </cell>
          <cell r="J30">
            <v>193.95441008547007</v>
          </cell>
          <cell r="K30">
            <v>78.313925914529918</v>
          </cell>
          <cell r="L30">
            <v>67.405327213675207</v>
          </cell>
          <cell r="M30">
            <v>41.183914153846153</v>
          </cell>
          <cell r="N30">
            <v>84.201044102564097</v>
          </cell>
          <cell r="O30">
            <v>270.15317651709404</v>
          </cell>
          <cell r="P30">
            <v>106.37979914529915</v>
          </cell>
          <cell r="R30">
            <v>2106.6956657491455</v>
          </cell>
        </row>
        <row r="31">
          <cell r="C31">
            <v>338366</v>
          </cell>
          <cell r="D31" t="str">
            <v>CAROTTES DEMI TRONCONS SURG IQF (LCA51015)</v>
          </cell>
          <cell r="E31">
            <v>1298.3270762198067</v>
          </cell>
          <cell r="F31">
            <v>1112.2838838357488</v>
          </cell>
          <cell r="G31">
            <v>2539.6579668248792</v>
          </cell>
          <cell r="H31">
            <v>1682.659006468599</v>
          </cell>
          <cell r="I31">
            <v>1403.3990838985508</v>
          </cell>
          <cell r="J31">
            <v>2745.7736532524154</v>
          </cell>
          <cell r="K31">
            <v>1558.5086305772948</v>
          </cell>
          <cell r="L31">
            <v>1775.0703575410628</v>
          </cell>
          <cell r="M31">
            <v>1468.7397100024154</v>
          </cell>
          <cell r="N31">
            <v>1108.2486716570049</v>
          </cell>
          <cell r="O31">
            <v>1334.0720829033817</v>
          </cell>
          <cell r="P31">
            <v>2072.3976452415459</v>
          </cell>
          <cell r="R31">
            <v>20099.137768422705</v>
          </cell>
        </row>
        <row r="32">
          <cell r="C32">
            <v>338391</v>
          </cell>
          <cell r="D32" t="str">
            <v>POULARDE MORCEAUX DE CUISSE 130/170</v>
          </cell>
          <cell r="L32">
            <v>2610.1843390281329</v>
          </cell>
          <cell r="M32">
            <v>2475.1748083333332</v>
          </cell>
          <cell r="P32">
            <v>1463.1286618333334</v>
          </cell>
          <cell r="R32">
            <v>6548.4878091947994</v>
          </cell>
        </row>
        <row r="33">
          <cell r="C33">
            <v>338403</v>
          </cell>
          <cell r="D33" t="str">
            <v>CREVETTE DECORTIQUE 41/50 VANAMEI</v>
          </cell>
          <cell r="E33">
            <v>890.96416348717946</v>
          </cell>
          <cell r="F33">
            <v>517.85108000000002</v>
          </cell>
          <cell r="G33">
            <v>97.097077499999997</v>
          </cell>
          <cell r="H33">
            <v>440.75135999999998</v>
          </cell>
          <cell r="I33">
            <v>116.516493</v>
          </cell>
          <cell r="J33">
            <v>334.90179839102564</v>
          </cell>
          <cell r="K33">
            <v>2157.0966191666666</v>
          </cell>
          <cell r="L33">
            <v>150.16979349824561</v>
          </cell>
          <cell r="M33">
            <v>3382.7425697617432</v>
          </cell>
          <cell r="N33">
            <v>663.97629484615379</v>
          </cell>
          <cell r="O33">
            <v>103.570216</v>
          </cell>
          <cell r="P33">
            <v>103.570216</v>
          </cell>
          <cell r="R33">
            <v>8959.2076816510144</v>
          </cell>
        </row>
        <row r="34">
          <cell r="C34">
            <v>338407</v>
          </cell>
          <cell r="D34" t="str">
            <v>LANGOUSTINE BISQUE 1</v>
          </cell>
          <cell r="L34">
            <v>30.929451944444445</v>
          </cell>
          <cell r="M34">
            <v>2781.8708630489559</v>
          </cell>
          <cell r="R34">
            <v>2812.8003149934002</v>
          </cell>
        </row>
        <row r="35">
          <cell r="C35">
            <v>338413</v>
          </cell>
          <cell r="D35" t="str">
            <v>LOTTE MORCEAUX USA 35/55 SS QUEUE SS PEAU ISSUE 400/800 SURG IQF</v>
          </cell>
          <cell r="L35">
            <v>66.666666666666671</v>
          </cell>
          <cell r="M35">
            <v>7309.3640127694234</v>
          </cell>
          <cell r="R35">
            <v>7376.0306794360904</v>
          </cell>
        </row>
        <row r="36">
          <cell r="C36">
            <v>338626</v>
          </cell>
          <cell r="D36" t="str">
            <v>SAUMON PORTIONS DE FILET IQF NORVEGE SANS PEAU 80/90 G</v>
          </cell>
          <cell r="E36">
            <v>2142</v>
          </cell>
          <cell r="F36">
            <v>1289.28</v>
          </cell>
          <cell r="G36">
            <v>1117.92</v>
          </cell>
          <cell r="H36">
            <v>1772.42</v>
          </cell>
          <cell r="I36">
            <v>1004.36</v>
          </cell>
          <cell r="J36">
            <v>1028.8399999999999</v>
          </cell>
          <cell r="K36">
            <v>1282.48</v>
          </cell>
          <cell r="L36">
            <v>2496.96</v>
          </cell>
          <cell r="M36">
            <v>11718.1</v>
          </cell>
          <cell r="N36">
            <v>1088</v>
          </cell>
          <cell r="O36">
            <v>1115.2</v>
          </cell>
          <cell r="P36">
            <v>1115.2</v>
          </cell>
          <cell r="R36">
            <v>27170.760000000002</v>
          </cell>
        </row>
        <row r="37">
          <cell r="C37">
            <v>339418</v>
          </cell>
          <cell r="D37" t="str">
            <v>BOEUF GRAINS DE VIANDE BOVINE VBF SURG CUIT SALE</v>
          </cell>
          <cell r="E37">
            <v>2948.7875602488689</v>
          </cell>
          <cell r="F37">
            <v>1871.4049274038462</v>
          </cell>
          <cell r="G37">
            <v>1822.3574951923076</v>
          </cell>
          <cell r="H37">
            <v>1902.5739346153846</v>
          </cell>
          <cell r="I37">
            <v>1907.3161211538461</v>
          </cell>
          <cell r="J37">
            <v>2021.4075408653846</v>
          </cell>
          <cell r="K37">
            <v>1928.8464115384616</v>
          </cell>
          <cell r="L37">
            <v>1652.9854038461538</v>
          </cell>
          <cell r="M37">
            <v>1745.4842336538461</v>
          </cell>
          <cell r="N37">
            <v>1869.7333384615386</v>
          </cell>
          <cell r="O37">
            <v>4035.4086026018099</v>
          </cell>
          <cell r="P37">
            <v>1934.0155221153846</v>
          </cell>
          <cell r="R37">
            <v>25640.321091696831</v>
          </cell>
        </row>
        <row r="38">
          <cell r="C38">
            <v>339421</v>
          </cell>
          <cell r="D38" t="str">
            <v>AGNEAU SOURIS 350 - 450 G</v>
          </cell>
          <cell r="E38">
            <v>400.06048111111113</v>
          </cell>
          <cell r="F38">
            <v>400.06048111111113</v>
          </cell>
          <cell r="G38">
            <v>280.04233677777779</v>
          </cell>
          <cell r="H38">
            <v>240.03628866666668</v>
          </cell>
          <cell r="I38">
            <v>240.03628866666668</v>
          </cell>
          <cell r="J38">
            <v>1160.1753952810457</v>
          </cell>
          <cell r="K38">
            <v>30124.554229578433</v>
          </cell>
          <cell r="L38">
            <v>880.13305844444449</v>
          </cell>
          <cell r="M38">
            <v>1800.2721650000001</v>
          </cell>
          <cell r="N38">
            <v>1520.2298282222223</v>
          </cell>
          <cell r="O38">
            <v>3520.5322337777779</v>
          </cell>
          <cell r="P38">
            <v>568.08588321895422</v>
          </cell>
          <cell r="R38">
            <v>41134.218669856215</v>
          </cell>
        </row>
        <row r="39">
          <cell r="C39">
            <v>339426</v>
          </cell>
          <cell r="D39" t="str">
            <v>BŒUF SAUTE JARRET VBF 45G  CGL</v>
          </cell>
          <cell r="E39">
            <v>1438.4108862606838</v>
          </cell>
          <cell r="F39">
            <v>1168.6409907649572</v>
          </cell>
          <cell r="G39">
            <v>1052.9953027649572</v>
          </cell>
          <cell r="H39">
            <v>1052.9953027649572</v>
          </cell>
          <cell r="I39">
            <v>2260.1266626837605</v>
          </cell>
          <cell r="J39">
            <v>7266.5107992307694</v>
          </cell>
          <cell r="K39">
            <v>3442.8310801709404</v>
          </cell>
          <cell r="L39">
            <v>4474.408715641026</v>
          </cell>
          <cell r="M39">
            <v>4797.5422740064105</v>
          </cell>
          <cell r="N39">
            <v>4136.6351649999997</v>
          </cell>
          <cell r="O39">
            <v>3596.9903092521367</v>
          </cell>
          <cell r="P39">
            <v>3751.1495383333331</v>
          </cell>
          <cell r="R39">
            <v>38439.237026873925</v>
          </cell>
        </row>
        <row r="40">
          <cell r="C40">
            <v>339443</v>
          </cell>
          <cell r="D40" t="str">
            <v>CHAPON:CUISSE MRCX 160/180 GR</v>
          </cell>
          <cell r="K40">
            <v>398.0504874892157</v>
          </cell>
          <cell r="L40">
            <v>15408.554897735294</v>
          </cell>
          <cell r="R40">
            <v>15806.60538522451</v>
          </cell>
        </row>
        <row r="41">
          <cell r="C41">
            <v>339444</v>
          </cell>
          <cell r="D41" t="str">
            <v>CHEVREUIL SAUTE 40/60 CGL ORIGINE UE</v>
          </cell>
          <cell r="H41">
            <v>2554.4252066666668</v>
          </cell>
          <cell r="I41">
            <v>2554.4252066666668</v>
          </cell>
          <cell r="J41">
            <v>16238.292255066666</v>
          </cell>
          <cell r="K41">
            <v>12097.327485</v>
          </cell>
          <cell r="R41">
            <v>33444.470153399998</v>
          </cell>
        </row>
        <row r="42">
          <cell r="C42">
            <v>339455</v>
          </cell>
          <cell r="D42" t="str">
            <v>LAPIN CUISSE 170-200G CONG FRANCE</v>
          </cell>
          <cell r="E42">
            <v>325.26348327777777</v>
          </cell>
          <cell r="F42">
            <v>250.20267944444444</v>
          </cell>
          <cell r="G42">
            <v>250.20267944444444</v>
          </cell>
          <cell r="H42">
            <v>250.20267944444444</v>
          </cell>
          <cell r="I42">
            <v>250.20267944444444</v>
          </cell>
          <cell r="J42">
            <v>250.20267944444444</v>
          </cell>
          <cell r="K42">
            <v>175.14187561111112</v>
          </cell>
          <cell r="L42">
            <v>275.22294738888888</v>
          </cell>
          <cell r="M42">
            <v>1050.8512536666667</v>
          </cell>
          <cell r="N42">
            <v>200.16214355555556</v>
          </cell>
          <cell r="O42">
            <v>200.16214355555556</v>
          </cell>
          <cell r="P42">
            <v>4846.7833345177551</v>
          </cell>
          <cell r="R42">
            <v>8324.6005787955328</v>
          </cell>
        </row>
        <row r="43">
          <cell r="C43">
            <v>339463</v>
          </cell>
          <cell r="D43" t="str">
            <v>OIE : FILET S/PEAU S/OS A/AIG 35/45g CGL</v>
          </cell>
          <cell r="J43">
            <v>1221.59205</v>
          </cell>
          <cell r="K43">
            <v>7487.2055396741853</v>
          </cell>
          <cell r="L43">
            <v>814.39469999999994</v>
          </cell>
          <cell r="R43">
            <v>9523.1922896741853</v>
          </cell>
        </row>
        <row r="44">
          <cell r="C44">
            <v>339478</v>
          </cell>
          <cell r="D44" t="str">
            <v>POULET HDC 130/160 UE surg</v>
          </cell>
          <cell r="E44">
            <v>2271.5444658449128</v>
          </cell>
          <cell r="F44">
            <v>2671.9114900986106</v>
          </cell>
          <cell r="G44">
            <v>10602.378397050707</v>
          </cell>
          <cell r="H44">
            <v>5201.6525290353657</v>
          </cell>
          <cell r="I44">
            <v>3003.4199290676825</v>
          </cell>
          <cell r="J44">
            <v>8729.7998618321944</v>
          </cell>
          <cell r="K44">
            <v>2387.5523280188258</v>
          </cell>
          <cell r="L44">
            <v>2085.7453533617213</v>
          </cell>
          <cell r="M44">
            <v>1493.4523907575078</v>
          </cell>
          <cell r="N44">
            <v>2346.9029430067235</v>
          </cell>
          <cell r="O44">
            <v>2123.4245919426266</v>
          </cell>
          <cell r="P44">
            <v>2138.0887910936799</v>
          </cell>
          <cell r="R44">
            <v>45055.87307111056</v>
          </cell>
        </row>
        <row r="45">
          <cell r="C45">
            <v>339481</v>
          </cell>
          <cell r="D45" t="str">
            <v>POULET VIANDE DE ROUGE DE HDC S/OS S/P FRANCE SURG</v>
          </cell>
          <cell r="E45">
            <v>7525.1038958333329</v>
          </cell>
          <cell r="F45">
            <v>4925.5225499999997</v>
          </cell>
          <cell r="I45">
            <v>3420.5017708333335</v>
          </cell>
          <cell r="J45">
            <v>4241.4221958333337</v>
          </cell>
          <cell r="K45">
            <v>2736.4014166666666</v>
          </cell>
          <cell r="N45">
            <v>568.26929327716095</v>
          </cell>
          <cell r="O45">
            <v>4141.8887193076926</v>
          </cell>
          <cell r="P45">
            <v>1641.84085</v>
          </cell>
          <cell r="R45">
            <v>29200.950691751517</v>
          </cell>
        </row>
        <row r="46">
          <cell r="C46">
            <v>339484</v>
          </cell>
          <cell r="D46" t="str">
            <v>SANG DE PORC</v>
          </cell>
          <cell r="H46">
            <v>103.88805777777777</v>
          </cell>
          <cell r="I46">
            <v>189.78384944444446</v>
          </cell>
          <cell r="J46">
            <v>1126.2356459758171</v>
          </cell>
          <cell r="K46">
            <v>1331.7964851711386</v>
          </cell>
          <cell r="L46">
            <v>110.73522745098039</v>
          </cell>
          <cell r="R46">
            <v>2862.4392658201582</v>
          </cell>
        </row>
        <row r="47">
          <cell r="C47">
            <v>339488</v>
          </cell>
          <cell r="D47" t="str">
            <v>VEAU SAUTE EPAULE/BAS CARRE U E 35/55</v>
          </cell>
          <cell r="E47">
            <v>3372.3625587222223</v>
          </cell>
          <cell r="F47">
            <v>1413.7415093333334</v>
          </cell>
          <cell r="G47">
            <v>1222.2973466111112</v>
          </cell>
          <cell r="H47">
            <v>1207.5708725555555</v>
          </cell>
          <cell r="I47">
            <v>1354.8356131111111</v>
          </cell>
          <cell r="J47">
            <v>4484.2113499166662</v>
          </cell>
          <cell r="K47">
            <v>4736.2502861666662</v>
          </cell>
          <cell r="L47">
            <v>9072.522014666667</v>
          </cell>
          <cell r="M47">
            <v>3504.900825222222</v>
          </cell>
          <cell r="N47">
            <v>3836.2464914722223</v>
          </cell>
          <cell r="O47">
            <v>2437.2314561944445</v>
          </cell>
          <cell r="P47">
            <v>4081.4761960555556</v>
          </cell>
          <cell r="R47">
            <v>40723.646520027774</v>
          </cell>
        </row>
        <row r="48">
          <cell r="C48">
            <v>339688</v>
          </cell>
          <cell r="D48" t="str">
            <v>CHATAIGNE D'EAU EMINCEES SURG DIAMETRE 20-40 MM</v>
          </cell>
          <cell r="G48">
            <v>105.11969499999999</v>
          </cell>
          <cell r="I48">
            <v>105.11969499999999</v>
          </cell>
          <cell r="J48">
            <v>469.47920153846155</v>
          </cell>
          <cell r="L48">
            <v>42.047877999999997</v>
          </cell>
          <cell r="N48">
            <v>1200.2398988461539</v>
          </cell>
          <cell r="O48">
            <v>3.1535908500000001</v>
          </cell>
          <cell r="P48">
            <v>268.31719349999997</v>
          </cell>
          <cell r="R48">
            <v>2193.4771527346152</v>
          </cell>
        </row>
        <row r="49">
          <cell r="C49">
            <v>339690</v>
          </cell>
          <cell r="D49" t="str">
            <v>POUSSES DE HARICOTS MUNGOS</v>
          </cell>
          <cell r="E49">
            <v>115.497895</v>
          </cell>
          <cell r="J49">
            <v>103.31073003137607</v>
          </cell>
          <cell r="N49">
            <v>13.097699432989691</v>
          </cell>
          <cell r="R49">
            <v>231.90632446436575</v>
          </cell>
        </row>
        <row r="50">
          <cell r="C50">
            <v>339800</v>
          </cell>
          <cell r="D50" t="str">
            <v xml:space="preserve">CABILLAUD PORTIONS CALIBRE  60  80 GR </v>
          </cell>
          <cell r="E50">
            <v>88.041240000000002</v>
          </cell>
          <cell r="F50">
            <v>71.271479999999997</v>
          </cell>
          <cell r="G50">
            <v>67.079040000000006</v>
          </cell>
          <cell r="H50">
            <v>64.982820000000004</v>
          </cell>
          <cell r="I50">
            <v>56.597940000000001</v>
          </cell>
          <cell r="J50">
            <v>71.271479999999997</v>
          </cell>
          <cell r="K50">
            <v>64.982820000000004</v>
          </cell>
          <cell r="L50">
            <v>67.079040000000006</v>
          </cell>
          <cell r="M50">
            <v>69.175259999999994</v>
          </cell>
          <cell r="N50">
            <v>75.463920000000002</v>
          </cell>
          <cell r="O50">
            <v>71.271479999999997</v>
          </cell>
          <cell r="P50">
            <v>71.271479999999997</v>
          </cell>
          <cell r="R50">
            <v>838.48800000000006</v>
          </cell>
        </row>
        <row r="51">
          <cell r="C51">
            <v>340009</v>
          </cell>
          <cell r="D51" t="str">
            <v>LEGUMES COUSCOUS (LME51003)</v>
          </cell>
          <cell r="E51">
            <v>11554.467182045995</v>
          </cell>
          <cell r="F51">
            <v>9659.4107581245044</v>
          </cell>
          <cell r="G51">
            <v>10952.528499591594</v>
          </cell>
          <cell r="H51">
            <v>9557.6074041098327</v>
          </cell>
          <cell r="I51">
            <v>9446.1462281816021</v>
          </cell>
          <cell r="J51">
            <v>12010.982237851309</v>
          </cell>
          <cell r="K51">
            <v>9561.7209084496426</v>
          </cell>
          <cell r="L51">
            <v>8956.1493282097545</v>
          </cell>
          <cell r="M51">
            <v>8855.1562427704212</v>
          </cell>
          <cell r="N51">
            <v>9364.8872218096749</v>
          </cell>
          <cell r="O51">
            <v>9326.523042327517</v>
          </cell>
          <cell r="P51">
            <v>9319.8357759528153</v>
          </cell>
          <cell r="R51">
            <v>118565.41482942467</v>
          </cell>
        </row>
        <row r="52">
          <cell r="C52">
            <v>340012</v>
          </cell>
          <cell r="D52" t="str">
            <v>POIREAUX CUBE 10x10 NON BLANCHI SGL (LPE53009)</v>
          </cell>
          <cell r="E52">
            <v>955.94482576644373</v>
          </cell>
          <cell r="F52">
            <v>478.31905610702341</v>
          </cell>
          <cell r="G52">
            <v>225.79128024414715</v>
          </cell>
          <cell r="H52">
            <v>230.64478332107024</v>
          </cell>
          <cell r="I52">
            <v>226.40586601337793</v>
          </cell>
          <cell r="J52">
            <v>233.6635043729097</v>
          </cell>
          <cell r="K52">
            <v>285.54802592642142</v>
          </cell>
          <cell r="L52">
            <v>264.37668399832774</v>
          </cell>
          <cell r="M52">
            <v>1988.0760394685881</v>
          </cell>
          <cell r="N52">
            <v>337.46055419732443</v>
          </cell>
          <cell r="O52">
            <v>228.8804351555184</v>
          </cell>
          <cell r="P52">
            <v>245.64440598996654</v>
          </cell>
          <cell r="R52">
            <v>5700.7554605611185</v>
          </cell>
        </row>
        <row r="53">
          <cell r="C53">
            <v>340013</v>
          </cell>
          <cell r="D53" t="str">
            <v>POIREAUX EMINCES SURGELES 6MM 90% BLANC</v>
          </cell>
          <cell r="M53">
            <v>2541.5591769478906</v>
          </cell>
          <cell r="R53">
            <v>2541.5591769478906</v>
          </cell>
        </row>
        <row r="54">
          <cell r="C54">
            <v>340112</v>
          </cell>
          <cell r="D54" t="str">
            <v>CANE CANARD FILET 200/280G MAIGRE origine France</v>
          </cell>
          <cell r="E54">
            <v>2389.3723795869564</v>
          </cell>
          <cell r="J54">
            <v>5785.9224307936456</v>
          </cell>
          <cell r="L54">
            <v>22.359673399999998</v>
          </cell>
          <cell r="N54">
            <v>11606.119390628428</v>
          </cell>
          <cell r="O54">
            <v>16.769755050000001</v>
          </cell>
          <cell r="P54">
            <v>217.3227126153846</v>
          </cell>
          <cell r="R54">
            <v>20037.866342074416</v>
          </cell>
        </row>
        <row r="55">
          <cell r="C55">
            <v>340202</v>
          </cell>
          <cell r="D55" t="str">
            <v>NOIX ST JACQ 20/30 PLACOPEC CONG</v>
          </cell>
          <cell r="L55">
            <v>7.4892619354838708</v>
          </cell>
          <cell r="M55">
            <v>961.12193138440864</v>
          </cell>
          <cell r="R55">
            <v>968.61119331989255</v>
          </cell>
        </row>
        <row r="56">
          <cell r="C56">
            <v>340390</v>
          </cell>
          <cell r="D56" t="str">
            <v>CELERI BRANCHE BLANCHI 26MM SGL (LCL51004)</v>
          </cell>
          <cell r="E56">
            <v>313.1115408695652</v>
          </cell>
          <cell r="F56">
            <v>321.35131826086956</v>
          </cell>
          <cell r="G56">
            <v>473.78719999999998</v>
          </cell>
          <cell r="H56">
            <v>360.49026086956519</v>
          </cell>
          <cell r="I56">
            <v>292.51209739130434</v>
          </cell>
          <cell r="J56">
            <v>389.32948173913042</v>
          </cell>
          <cell r="K56">
            <v>424.34853565217389</v>
          </cell>
          <cell r="L56">
            <v>430.52836869565215</v>
          </cell>
          <cell r="M56">
            <v>209.70233460869565</v>
          </cell>
          <cell r="N56">
            <v>360.49026086956519</v>
          </cell>
          <cell r="O56">
            <v>482.02697739130434</v>
          </cell>
          <cell r="P56">
            <v>498.50653217391306</v>
          </cell>
          <cell r="R56">
            <v>4556.1849085217391</v>
          </cell>
        </row>
        <row r="57">
          <cell r="C57">
            <v>340529</v>
          </cell>
          <cell r="D57" t="str">
            <v>BOEUF LAMELLES PRÉCUITES IQF</v>
          </cell>
          <cell r="G57">
            <v>1342.3199744565218</v>
          </cell>
          <cell r="I57">
            <v>1342.3199744565218</v>
          </cell>
          <cell r="J57">
            <v>4643.0732503478257</v>
          </cell>
          <cell r="L57">
            <v>168.47998699999999</v>
          </cell>
          <cell r="N57">
            <v>10081.15168326087</v>
          </cell>
          <cell r="O57">
            <v>58.691999372826089</v>
          </cell>
          <cell r="P57">
            <v>2263.1585039456522</v>
          </cell>
          <cell r="R57">
            <v>19899.195372840215</v>
          </cell>
        </row>
        <row r="58">
          <cell r="C58">
            <v>340581</v>
          </cell>
          <cell r="D58" t="str">
            <v>COLIN LIEU 110G S/A SURG MORCEAUX INF OU EGAL 13CM</v>
          </cell>
          <cell r="E58">
            <v>387.24279169230772</v>
          </cell>
          <cell r="F58">
            <v>387.24279169230772</v>
          </cell>
          <cell r="G58">
            <v>343.23792900000001</v>
          </cell>
          <cell r="H58">
            <v>387.24279169230772</v>
          </cell>
          <cell r="I58">
            <v>387.24279169230772</v>
          </cell>
          <cell r="J58">
            <v>374.04133288461537</v>
          </cell>
          <cell r="K58">
            <v>440.04862692307694</v>
          </cell>
          <cell r="L58">
            <v>418.04619557692308</v>
          </cell>
          <cell r="M58">
            <v>396.04376423076923</v>
          </cell>
          <cell r="N58">
            <v>440.04862692307694</v>
          </cell>
          <cell r="O58">
            <v>409.24522303846152</v>
          </cell>
          <cell r="P58">
            <v>422.44668184615387</v>
          </cell>
          <cell r="R58">
            <v>4792.1295471923086</v>
          </cell>
        </row>
        <row r="59">
          <cell r="C59">
            <v>340664</v>
          </cell>
          <cell r="D59" t="str">
            <v>GIROLLES ENTIERES 20-40 MM BLANCHIES IQF (CGI05002)</v>
          </cell>
          <cell r="E59">
            <v>289.58874327777778</v>
          </cell>
          <cell r="J59">
            <v>65.248370392156858</v>
          </cell>
          <cell r="K59">
            <v>2326.8894891339869</v>
          </cell>
          <cell r="L59">
            <v>525.07338278055556</v>
          </cell>
          <cell r="M59">
            <v>1439.040101466614</v>
          </cell>
          <cell r="O59">
            <v>247.19332444444444</v>
          </cell>
          <cell r="P59">
            <v>171.60684773006537</v>
          </cell>
          <cell r="R59">
            <v>5064.6402592256009</v>
          </cell>
        </row>
        <row r="60">
          <cell r="C60">
            <v>340867</v>
          </cell>
          <cell r="D60" t="str">
            <v>CUBES SAUMON 15X15X15 MM ATLANTIQUE IQF SANS PEAU</v>
          </cell>
          <cell r="E60">
            <v>469.86247430769231</v>
          </cell>
          <cell r="F60">
            <v>400.06406326923076</v>
          </cell>
          <cell r="G60">
            <v>468.16007403846152</v>
          </cell>
          <cell r="H60">
            <v>374.52805923076926</v>
          </cell>
          <cell r="I60">
            <v>357.50405653846155</v>
          </cell>
          <cell r="J60">
            <v>404.32006394230768</v>
          </cell>
          <cell r="K60">
            <v>429.85606798076924</v>
          </cell>
          <cell r="L60">
            <v>427.30246757692305</v>
          </cell>
          <cell r="M60">
            <v>464.75527349999999</v>
          </cell>
          <cell r="N60">
            <v>420.49286649999999</v>
          </cell>
          <cell r="O60">
            <v>394.95686246153844</v>
          </cell>
          <cell r="P60">
            <v>403.46886380769229</v>
          </cell>
          <cell r="R60">
            <v>5015.2711931538461</v>
          </cell>
        </row>
        <row r="61">
          <cell r="C61">
            <v>340892</v>
          </cell>
          <cell r="D61" t="str">
            <v>ESCARGOTS CHAIR LUCORUM 2/4 SURG IQF</v>
          </cell>
          <cell r="L61">
            <v>15.322217269076305</v>
          </cell>
          <cell r="M61">
            <v>2420.9103285140563</v>
          </cell>
          <cell r="R61">
            <v>2436.2325457831325</v>
          </cell>
        </row>
        <row r="62">
          <cell r="C62">
            <v>341459</v>
          </cell>
          <cell r="D62" t="str">
            <v>DINDE ESCALOPE MILANAISE 100 +/-5G IQF</v>
          </cell>
          <cell r="E62">
            <v>2360</v>
          </cell>
          <cell r="F62">
            <v>2360</v>
          </cell>
          <cell r="G62">
            <v>2320</v>
          </cell>
          <cell r="H62">
            <v>2520</v>
          </cell>
          <cell r="I62">
            <v>2960</v>
          </cell>
          <cell r="J62">
            <v>2640</v>
          </cell>
          <cell r="K62">
            <v>3040</v>
          </cell>
          <cell r="L62">
            <v>2280</v>
          </cell>
          <cell r="M62">
            <v>2160</v>
          </cell>
          <cell r="N62">
            <v>2680</v>
          </cell>
          <cell r="O62">
            <v>2320</v>
          </cell>
          <cell r="P62">
            <v>2360</v>
          </cell>
          <cell r="R62">
            <v>30000</v>
          </cell>
        </row>
        <row r="63">
          <cell r="C63">
            <v>341591</v>
          </cell>
          <cell r="D63" t="str">
            <v xml:space="preserve">BROCOLIS BLANCHI FLEURETTE 20-40 mm IQF </v>
          </cell>
          <cell r="E63">
            <v>375.74168211538461</v>
          </cell>
          <cell r="F63">
            <v>255.75077115384616</v>
          </cell>
          <cell r="G63">
            <v>311.1715851923077</v>
          </cell>
          <cell r="H63">
            <v>283.96042215107059</v>
          </cell>
          <cell r="I63">
            <v>311.1715851923077</v>
          </cell>
          <cell r="J63">
            <v>1003.4647402791435</v>
          </cell>
          <cell r="K63">
            <v>206.0518901923077</v>
          </cell>
          <cell r="L63">
            <v>248.09976819230769</v>
          </cell>
          <cell r="M63">
            <v>181.81049134615384</v>
          </cell>
          <cell r="N63">
            <v>1944.5008100789057</v>
          </cell>
          <cell r="O63">
            <v>223.69293658076924</v>
          </cell>
          <cell r="P63">
            <v>508.37358119230771</v>
          </cell>
          <cell r="R63">
            <v>5853.7902636668123</v>
          </cell>
        </row>
        <row r="64">
          <cell r="C64">
            <v>341619</v>
          </cell>
          <cell r="D64" t="str">
            <v>POULET CRU FILET MX CGL FRANCE</v>
          </cell>
          <cell r="E64">
            <v>10341.964572919054</v>
          </cell>
          <cell r="F64">
            <v>5794.6536176059581</v>
          </cell>
          <cell r="G64">
            <v>5587.8149511251886</v>
          </cell>
          <cell r="H64">
            <v>5633.5994238151079</v>
          </cell>
          <cell r="I64">
            <v>6030.0734041925589</v>
          </cell>
          <cell r="J64">
            <v>8736.7964282360481</v>
          </cell>
          <cell r="K64">
            <v>8170.1840541591255</v>
          </cell>
          <cell r="L64">
            <v>4174.5397707499997</v>
          </cell>
          <cell r="M64">
            <v>3869.7946714038462</v>
          </cell>
          <cell r="N64">
            <v>6809.207079240573</v>
          </cell>
          <cell r="O64">
            <v>6095.6514627982651</v>
          </cell>
          <cell r="P64">
            <v>6217.0497836828808</v>
          </cell>
          <cell r="R64">
            <v>77461.329219928608</v>
          </cell>
        </row>
        <row r="65">
          <cell r="C65">
            <v>341620</v>
          </cell>
          <cell r="D65" t="str">
            <v>POULET CRU FILET UE FRAIS OU SURG</v>
          </cell>
          <cell r="E65">
            <v>1019.513063031746</v>
          </cell>
          <cell r="F65">
            <v>5754.8116170846124</v>
          </cell>
          <cell r="G65">
            <v>4666.2171238620658</v>
          </cell>
          <cell r="H65">
            <v>3645.3367826780973</v>
          </cell>
          <cell r="I65">
            <v>5110.7585886065845</v>
          </cell>
          <cell r="J65">
            <v>6624.0606600017936</v>
          </cell>
          <cell r="K65">
            <v>1257.8189952087557</v>
          </cell>
          <cell r="L65">
            <v>662.85229535852307</v>
          </cell>
          <cell r="M65">
            <v>552.60876434489307</v>
          </cell>
          <cell r="N65">
            <v>10376.569810193068</v>
          </cell>
          <cell r="O65">
            <v>921.66678008369979</v>
          </cell>
          <cell r="P65">
            <v>3386.7836856485933</v>
          </cell>
          <cell r="R65">
            <v>43978.998166102436</v>
          </cell>
        </row>
        <row r="66">
          <cell r="C66">
            <v>343163</v>
          </cell>
          <cell r="D66" t="str">
            <v>CHAMPIGNON DE PARIS QUARTIER SURGELE S02 INF ORIG POLOGNE (14210</v>
          </cell>
          <cell r="E66">
            <v>5727.420730905048</v>
          </cell>
          <cell r="F66">
            <v>3509.3008390759878</v>
          </cell>
          <cell r="G66">
            <v>3416.5173491387632</v>
          </cell>
          <cell r="H66">
            <v>2539.5107068155557</v>
          </cell>
          <cell r="I66">
            <v>3434.4928558464553</v>
          </cell>
          <cell r="J66">
            <v>10511.182706957567</v>
          </cell>
          <cell r="K66">
            <v>10681.288077530564</v>
          </cell>
          <cell r="L66">
            <v>8310.4058934732911</v>
          </cell>
          <cell r="M66">
            <v>6020.9571658093164</v>
          </cell>
          <cell r="N66">
            <v>6022.4206560443135</v>
          </cell>
          <cell r="O66">
            <v>6253.3332733690295</v>
          </cell>
          <cell r="P66">
            <v>7424.8703881904676</v>
          </cell>
          <cell r="R66">
            <v>73851.700643156364</v>
          </cell>
        </row>
        <row r="67">
          <cell r="C67">
            <v>343915</v>
          </cell>
          <cell r="D67" t="str">
            <v>FEVES DE SOJA BLANCHI IQF (LSO10003)</v>
          </cell>
          <cell r="E67">
            <v>344.00204825434781</v>
          </cell>
          <cell r="F67">
            <v>15.276234695652175</v>
          </cell>
          <cell r="G67">
            <v>199.73171321515017</v>
          </cell>
          <cell r="H67">
            <v>13.887486086956521</v>
          </cell>
          <cell r="I67">
            <v>199.03733891080233</v>
          </cell>
          <cell r="J67">
            <v>869.41404483686688</v>
          </cell>
          <cell r="K67">
            <v>11.109988869565218</v>
          </cell>
          <cell r="L67">
            <v>12.665316569565217</v>
          </cell>
          <cell r="M67">
            <v>4.1662458260869561</v>
          </cell>
          <cell r="N67">
            <v>1713.7753215886478</v>
          </cell>
          <cell r="O67">
            <v>16.94695070703979</v>
          </cell>
          <cell r="P67">
            <v>288.69090047377858</v>
          </cell>
          <cell r="R67">
            <v>3688.7035900344595</v>
          </cell>
        </row>
        <row r="68">
          <cell r="C68">
            <v>345072</v>
          </cell>
          <cell r="D68" t="str">
            <v>MORILLES MORCEAUX NON BLANCHIS INF 2.5 CM (CM010001)</v>
          </cell>
          <cell r="J68">
            <v>190.51189322222223</v>
          </cell>
          <cell r="K68">
            <v>891.59880793137256</v>
          </cell>
          <cell r="L68">
            <v>416.30716912715121</v>
          </cell>
          <cell r="M68">
            <v>1120.5457714385966</v>
          </cell>
          <cell r="P68">
            <v>176.95518373333334</v>
          </cell>
          <cell r="R68">
            <v>2795.9188254526757</v>
          </cell>
        </row>
        <row r="69">
          <cell r="C69">
            <v>346950</v>
          </cell>
          <cell r="D69" t="str">
            <v>SOT L'Y LAISSE DINDE SOUS VIDE 2.5KG origine france surg</v>
          </cell>
          <cell r="L69">
            <v>288.0089114117647</v>
          </cell>
          <cell r="M69">
            <v>7354.1815666764705</v>
          </cell>
          <cell r="R69">
            <v>7642.1904780882351</v>
          </cell>
        </row>
        <row r="70">
          <cell r="C70">
            <v>347068</v>
          </cell>
          <cell r="D70" t="str">
            <v>OLIVE ENTIERE DENOYAUTE (sans gluco)</v>
          </cell>
          <cell r="E70">
            <v>173.05762447584542</v>
          </cell>
          <cell r="F70">
            <v>326.31884975845412</v>
          </cell>
          <cell r="G70">
            <v>555.4601134019324</v>
          </cell>
          <cell r="H70">
            <v>466.19207482540497</v>
          </cell>
          <cell r="I70">
            <v>179.97801742512078</v>
          </cell>
          <cell r="J70">
            <v>609.04511222101451</v>
          </cell>
          <cell r="K70">
            <v>169.21316773671498</v>
          </cell>
          <cell r="L70">
            <v>243.81620032608694</v>
          </cell>
          <cell r="M70">
            <v>163.00787743236714</v>
          </cell>
          <cell r="N70">
            <v>164.99816691787439</v>
          </cell>
          <cell r="O70">
            <v>297.24395020543477</v>
          </cell>
          <cell r="P70">
            <v>154.86632828164252</v>
          </cell>
          <cell r="R70">
            <v>3503.1974830078921</v>
          </cell>
        </row>
        <row r="71">
          <cell r="C71">
            <v>347195</v>
          </cell>
          <cell r="D71" t="str">
            <v>POULET HDC 130/160 FRANCE SGL</v>
          </cell>
          <cell r="E71">
            <v>24193.995293175478</v>
          </cell>
          <cell r="F71">
            <v>20707.992141418643</v>
          </cell>
          <cell r="G71">
            <v>24723.367771247544</v>
          </cell>
          <cell r="H71">
            <v>20036.509139936708</v>
          </cell>
          <cell r="I71">
            <v>18584.387639914148</v>
          </cell>
          <cell r="J71">
            <v>19987.618759618123</v>
          </cell>
          <cell r="K71">
            <v>19171.758753572238</v>
          </cell>
          <cell r="L71">
            <v>15103.893336769494</v>
          </cell>
          <cell r="M71">
            <v>14281.389533546426</v>
          </cell>
          <cell r="N71">
            <v>15870.372182303394</v>
          </cell>
          <cell r="O71">
            <v>19673.854035625809</v>
          </cell>
          <cell r="P71">
            <v>24753.152130347778</v>
          </cell>
          <cell r="R71">
            <v>237088.29071747581</v>
          </cell>
        </row>
        <row r="72">
          <cell r="C72">
            <v>347196</v>
          </cell>
          <cell r="D72" t="str">
            <v>POULET PILON 100/120 FRANCE SGL</v>
          </cell>
          <cell r="E72">
            <v>7172.7667203205128</v>
          </cell>
          <cell r="F72">
            <v>7569.2834844017098</v>
          </cell>
          <cell r="G72">
            <v>10826.203772725752</v>
          </cell>
          <cell r="H72">
            <v>7987.600763525641</v>
          </cell>
          <cell r="I72">
            <v>7287.4073493461538</v>
          </cell>
          <cell r="J72">
            <v>11415.030326050539</v>
          </cell>
          <cell r="K72">
            <v>7656.3750433974355</v>
          </cell>
          <cell r="L72">
            <v>6595.9093385042734</v>
          </cell>
          <cell r="M72">
            <v>6190.9531774615389</v>
          </cell>
          <cell r="N72">
            <v>6868.810821974359</v>
          </cell>
          <cell r="O72">
            <v>7481.2046539957264</v>
          </cell>
          <cell r="P72">
            <v>8710.6456331033078</v>
          </cell>
          <cell r="R72">
            <v>95762.191084806938</v>
          </cell>
        </row>
        <row r="73">
          <cell r="C73">
            <v>347198</v>
          </cell>
          <cell r="D73" t="str">
            <v>BŒUF PALERON 160/180 PAVE VBF SG</v>
          </cell>
          <cell r="J73">
            <v>94.414667666666674</v>
          </cell>
          <cell r="K73">
            <v>4911.6857168692814</v>
          </cell>
          <cell r="R73">
            <v>5006.1003845359483</v>
          </cell>
        </row>
        <row r="74">
          <cell r="C74">
            <v>347548</v>
          </cell>
          <cell r="D74" t="str">
            <v>GUACAMOLE COUPELLE 0.100KG</v>
          </cell>
          <cell r="E74">
            <v>33000</v>
          </cell>
          <cell r="F74">
            <v>21600</v>
          </cell>
          <cell r="I74">
            <v>15000</v>
          </cell>
          <cell r="J74">
            <v>18600</v>
          </cell>
          <cell r="K74">
            <v>12000</v>
          </cell>
          <cell r="O74">
            <v>18000</v>
          </cell>
          <cell r="P74">
            <v>7200</v>
          </cell>
          <cell r="R74">
            <v>125400</v>
          </cell>
        </row>
        <row r="75">
          <cell r="C75">
            <v>360018</v>
          </cell>
          <cell r="D75" t="str">
            <v>CEPES MORCEAUX NON BLANCHI 2/3CM IQF CAT A 1X10KG (CCE10005)</v>
          </cell>
          <cell r="E75">
            <v>1619.2708142854449</v>
          </cell>
          <cell r="F75">
            <v>1466.8090196766591</v>
          </cell>
          <cell r="G75">
            <v>1253.3789713461538</v>
          </cell>
          <cell r="H75">
            <v>1279.4560276536577</v>
          </cell>
          <cell r="I75">
            <v>1916.6529751690548</v>
          </cell>
          <cell r="J75">
            <v>2543.6220476049521</v>
          </cell>
          <cell r="K75">
            <v>3914.6103771444918</v>
          </cell>
          <cell r="L75">
            <v>1581.9562260420228</v>
          </cell>
          <cell r="M75">
            <v>6083.0842792973954</v>
          </cell>
          <cell r="N75">
            <v>1334.5874268391781</v>
          </cell>
          <cell r="O75">
            <v>1493.2984214394796</v>
          </cell>
          <cell r="P75">
            <v>4200.3757753160235</v>
          </cell>
          <cell r="R75">
            <v>28687.102361814515</v>
          </cell>
        </row>
        <row r="76">
          <cell r="C76">
            <v>360019</v>
          </cell>
          <cell r="D76" t="str">
            <v>SHIITAKE LAMELLE SURG CHAMPIGNON</v>
          </cell>
          <cell r="E76">
            <v>202.11113</v>
          </cell>
          <cell r="J76">
            <v>236.72624125803077</v>
          </cell>
          <cell r="N76">
            <v>221.04052591065292</v>
          </cell>
          <cell r="R76">
            <v>659.87789716868372</v>
          </cell>
        </row>
        <row r="77">
          <cell r="C77">
            <v>360403</v>
          </cell>
          <cell r="D77" t="str">
            <v>NAVET BLANCHI CUBE 10*10 SGL</v>
          </cell>
          <cell r="E77">
            <v>524.18216586231881</v>
          </cell>
          <cell r="F77">
            <v>293.77227608695654</v>
          </cell>
          <cell r="G77">
            <v>105.25702792753623</v>
          </cell>
          <cell r="H77">
            <v>102.00312514975846</v>
          </cell>
          <cell r="I77">
            <v>102.00312514975846</v>
          </cell>
          <cell r="J77">
            <v>231.25735374396135</v>
          </cell>
          <cell r="K77">
            <v>146.30225423188406</v>
          </cell>
          <cell r="L77">
            <v>136.95021936785986</v>
          </cell>
          <cell r="M77">
            <v>3254.6936255896021</v>
          </cell>
          <cell r="N77">
            <v>194.43916990338164</v>
          </cell>
          <cell r="O77">
            <v>119.72277678260869</v>
          </cell>
          <cell r="P77">
            <v>1819.2974992487923</v>
          </cell>
          <cell r="R77">
            <v>7029.8806190444193</v>
          </cell>
        </row>
        <row r="78">
          <cell r="C78">
            <v>360410</v>
          </cell>
          <cell r="D78" t="str">
            <v>PDT RONDELLE 5/7 SAUTEE TOURNESOL SGL 55A</v>
          </cell>
          <cell r="E78">
            <v>3290.0561960784312</v>
          </cell>
          <cell r="F78">
            <v>8761.1696784313717</v>
          </cell>
          <cell r="G78">
            <v>6543.171858823529</v>
          </cell>
          <cell r="H78">
            <v>12590.35953751634</v>
          </cell>
          <cell r="I78">
            <v>12648.874812287582</v>
          </cell>
          <cell r="J78">
            <v>11903.385450196078</v>
          </cell>
          <cell r="K78">
            <v>13831.833079738562</v>
          </cell>
          <cell r="N78">
            <v>7350.2809704575166</v>
          </cell>
          <cell r="O78">
            <v>5785.3428886274514</v>
          </cell>
          <cell r="P78">
            <v>5785.3428886274514</v>
          </cell>
          <cell r="R78">
            <v>88489.817360784305</v>
          </cell>
        </row>
        <row r="79">
          <cell r="C79">
            <v>360419</v>
          </cell>
          <cell r="D79" t="str">
            <v>NOIX ST JACQUES 60/80 CHLAMYS OP/PATAGO</v>
          </cell>
          <cell r="E79">
            <v>2568.7744339565215</v>
          </cell>
          <cell r="F79">
            <v>1205.0674608695651</v>
          </cell>
          <cell r="G79">
            <v>289.21619060869563</v>
          </cell>
          <cell r="H79">
            <v>289.21619060869563</v>
          </cell>
          <cell r="I79">
            <v>289.21619060869563</v>
          </cell>
          <cell r="J79">
            <v>301.26686521739128</v>
          </cell>
          <cell r="K79">
            <v>1573.4697608743961</v>
          </cell>
          <cell r="L79">
            <v>263.27349747391304</v>
          </cell>
          <cell r="M79">
            <v>6281.9925435001705</v>
          </cell>
          <cell r="N79">
            <v>662.78710347826086</v>
          </cell>
          <cell r="O79">
            <v>313.31753982608694</v>
          </cell>
          <cell r="P79">
            <v>337.41888904347826</v>
          </cell>
          <cell r="R79">
            <v>14375.016666065871</v>
          </cell>
        </row>
        <row r="80">
          <cell r="C80">
            <v>360421</v>
          </cell>
          <cell r="D80" t="str">
            <v>CABILLAUD DOS 100/120 NET IQF</v>
          </cell>
          <cell r="E80">
            <v>792</v>
          </cell>
          <cell r="F80">
            <v>792</v>
          </cell>
          <cell r="G80">
            <v>748</v>
          </cell>
          <cell r="H80">
            <v>770</v>
          </cell>
          <cell r="I80">
            <v>748</v>
          </cell>
          <cell r="J80">
            <v>770</v>
          </cell>
          <cell r="K80">
            <v>968</v>
          </cell>
          <cell r="L80">
            <v>968</v>
          </cell>
          <cell r="M80">
            <v>748</v>
          </cell>
          <cell r="N80">
            <v>805.2</v>
          </cell>
          <cell r="O80">
            <v>726</v>
          </cell>
          <cell r="P80">
            <v>778.8</v>
          </cell>
          <cell r="R80">
            <v>9614</v>
          </cell>
        </row>
        <row r="81">
          <cell r="C81">
            <v>360436</v>
          </cell>
          <cell r="D81" t="str">
            <v>SANGLIER SAUT EPAULE/COLLIER/POITRINE 40/60G UE poche 8kg</v>
          </cell>
          <cell r="I81">
            <v>2644.7101022222223</v>
          </cell>
          <cell r="J81">
            <v>4861.8585320261436</v>
          </cell>
          <cell r="K81">
            <v>12525.685512745098</v>
          </cell>
          <cell r="R81">
            <v>20032.254146993466</v>
          </cell>
        </row>
        <row r="82">
          <cell r="C82">
            <v>360469</v>
          </cell>
          <cell r="D82" t="str">
            <v>PDT RUSTIQUE WEDGE POMME DE TERRE FRANCE stag</v>
          </cell>
          <cell r="K82">
            <v>7642.1316862745098</v>
          </cell>
          <cell r="R82">
            <v>7642.1316862745098</v>
          </cell>
        </row>
        <row r="83">
          <cell r="C83">
            <v>360852</v>
          </cell>
          <cell r="D83" t="str">
            <v>POTIMARRON CUBE 10*10MM IQF</v>
          </cell>
          <cell r="L83">
            <v>59.095874999999999</v>
          </cell>
          <cell r="M83">
            <v>2097.9035625000001</v>
          </cell>
          <cell r="P83">
            <v>177.28762499999999</v>
          </cell>
          <cell r="R83">
            <v>2334.2870625</v>
          </cell>
        </row>
        <row r="84">
          <cell r="C84">
            <v>360913</v>
          </cell>
          <cell r="D84" t="str">
            <v>CERF/BICHE SAUTE 40/60G EPAULE/COLL/POITRINE CGL poche 8kg</v>
          </cell>
          <cell r="J84">
            <v>6200.263122240196</v>
          </cell>
          <cell r="K84">
            <v>8098.6253478839872</v>
          </cell>
          <cell r="L84">
            <v>2246.209288235294</v>
          </cell>
          <cell r="M84">
            <v>225.67380180000001</v>
          </cell>
          <cell r="R84">
            <v>16770.771560159479</v>
          </cell>
        </row>
        <row r="85">
          <cell r="C85">
            <v>360934</v>
          </cell>
          <cell r="D85" t="str">
            <v>VEAU RIS DE VEAU SGL</v>
          </cell>
          <cell r="M85">
            <v>1279.6728064516128</v>
          </cell>
          <cell r="R85">
            <v>1279.6728064516128</v>
          </cell>
        </row>
        <row r="86">
          <cell r="C86">
            <v>360943</v>
          </cell>
          <cell r="D86" t="str">
            <v>AUBERGINE PREFRITE CUBE 20*20 SGL (LAB10005)</v>
          </cell>
          <cell r="E86">
            <v>1800.2817868144359</v>
          </cell>
          <cell r="F86">
            <v>652.55596518329071</v>
          </cell>
          <cell r="G86">
            <v>789.06982344416031</v>
          </cell>
          <cell r="H86">
            <v>718.00431822392727</v>
          </cell>
          <cell r="I86">
            <v>748.31901125888032</v>
          </cell>
          <cell r="J86">
            <v>1260.588740349531</v>
          </cell>
          <cell r="K86">
            <v>1291.9500355669225</v>
          </cell>
          <cell r="L86">
            <v>385.55942130434784</v>
          </cell>
          <cell r="M86">
            <v>187.79879817391304</v>
          </cell>
          <cell r="N86">
            <v>687.60682040068207</v>
          </cell>
          <cell r="O86">
            <v>796.44895387894292</v>
          </cell>
          <cell r="P86">
            <v>811.20720518329074</v>
          </cell>
          <cell r="R86">
            <v>10129.390879782324</v>
          </cell>
        </row>
        <row r="87">
          <cell r="C87">
            <v>361001</v>
          </cell>
          <cell r="D87" t="str">
            <v>BOEUF JOUE 40/60 OF IQF FRANCE</v>
          </cell>
          <cell r="E87">
            <v>1981.3690973549151</v>
          </cell>
          <cell r="F87">
            <v>495.34227382550336</v>
          </cell>
          <cell r="G87">
            <v>2191.8895639360444</v>
          </cell>
          <cell r="H87">
            <v>445.80804705882355</v>
          </cell>
          <cell r="I87">
            <v>371.50670588235295</v>
          </cell>
          <cell r="J87">
            <v>1486.0268235294118</v>
          </cell>
          <cell r="K87">
            <v>743.01341176470589</v>
          </cell>
          <cell r="N87">
            <v>334.35603529411765</v>
          </cell>
          <cell r="O87">
            <v>334.35603529411765</v>
          </cell>
          <cell r="P87">
            <v>334.35603529411765</v>
          </cell>
          <cell r="R87">
            <v>8718.0240292341114</v>
          </cell>
        </row>
        <row r="88">
          <cell r="C88">
            <v>361013</v>
          </cell>
          <cell r="D88" t="str">
            <v>CAROTTE JAUNE CUBE  4*4 SGL</v>
          </cell>
          <cell r="E88">
            <v>133.59053411111111</v>
          </cell>
          <cell r="L88">
            <v>10.20065837037037</v>
          </cell>
          <cell r="M88">
            <v>1012.2320549858388</v>
          </cell>
          <cell r="P88">
            <v>21.517991666666667</v>
          </cell>
          <cell r="R88">
            <v>1177.5412391339869</v>
          </cell>
        </row>
        <row r="89">
          <cell r="C89">
            <v>370005</v>
          </cell>
          <cell r="D89" t="str">
            <v>SAUMON PAVE  80/90 SS PEAU SS ARETES CHILI SALMO SAL</v>
          </cell>
          <cell r="E89">
            <v>4879</v>
          </cell>
          <cell r="F89">
            <v>4930</v>
          </cell>
          <cell r="G89">
            <v>3825</v>
          </cell>
          <cell r="H89">
            <v>4624</v>
          </cell>
          <cell r="I89">
            <v>3706</v>
          </cell>
          <cell r="J89">
            <v>3893</v>
          </cell>
          <cell r="K89">
            <v>4046</v>
          </cell>
          <cell r="L89">
            <v>3672</v>
          </cell>
          <cell r="M89">
            <v>3935.5</v>
          </cell>
          <cell r="N89">
            <v>4233</v>
          </cell>
          <cell r="O89">
            <v>3859</v>
          </cell>
          <cell r="P89">
            <v>3920.2</v>
          </cell>
          <cell r="R89">
            <v>49522.7</v>
          </cell>
        </row>
        <row r="90">
          <cell r="C90">
            <v>380002</v>
          </cell>
          <cell r="D90" t="str">
            <v>FR LANGUE BOEUF ORIGINE FRANCE CUITE fraiche ou surg</v>
          </cell>
          <cell r="E90">
            <v>7060.7519747692304</v>
          </cell>
          <cell r="F90">
            <v>5250.3935594615386</v>
          </cell>
          <cell r="G90">
            <v>5020.1983006153851</v>
          </cell>
          <cell r="H90">
            <v>4905.8464546923078</v>
          </cell>
          <cell r="I90">
            <v>4900.3741275384618</v>
          </cell>
          <cell r="J90">
            <v>5689.7828876153844</v>
          </cell>
          <cell r="K90">
            <v>7485.3618191538462</v>
          </cell>
          <cell r="L90">
            <v>6791.2479274615389</v>
          </cell>
          <cell r="M90">
            <v>6767.8987213461542</v>
          </cell>
          <cell r="N90">
            <v>6239.3924986153843</v>
          </cell>
          <cell r="O90">
            <v>7604.8746419230765</v>
          </cell>
          <cell r="P90">
            <v>5456.8186366923073</v>
          </cell>
          <cell r="R90">
            <v>73172.941549884621</v>
          </cell>
        </row>
        <row r="91">
          <cell r="C91">
            <v>380004</v>
          </cell>
          <cell r="D91" t="str">
            <v xml:space="preserve">BOEUF UE LANGUE ORIGINE UE CUITE </v>
          </cell>
          <cell r="E91">
            <v>7558.0596756111108</v>
          </cell>
          <cell r="F91">
            <v>7356.724706388889</v>
          </cell>
          <cell r="G91">
            <v>7274.7337894444445</v>
          </cell>
          <cell r="H91">
            <v>7606.9196627777774</v>
          </cell>
          <cell r="I91">
            <v>15293.296919166667</v>
          </cell>
          <cell r="J91">
            <v>12822.475412527778</v>
          </cell>
          <cell r="K91">
            <v>10648.16619385</v>
          </cell>
          <cell r="L91">
            <v>8963.7452495666676</v>
          </cell>
          <cell r="M91">
            <v>10588.355205138889</v>
          </cell>
          <cell r="N91">
            <v>8906.611008038888</v>
          </cell>
          <cell r="O91">
            <v>10410.232999444444</v>
          </cell>
          <cell r="P91">
            <v>11653.240355283333</v>
          </cell>
          <cell r="R91">
            <v>119082.56117723888</v>
          </cell>
        </row>
        <row r="92">
          <cell r="C92">
            <v>436995</v>
          </cell>
          <cell r="D92" t="str">
            <v>CARTON 470x190x70 FOND AUTO 10 COUPELLES H70</v>
          </cell>
          <cell r="L92">
            <v>677.09730732212472</v>
          </cell>
          <cell r="M92">
            <v>37689.55672622563</v>
          </cell>
          <cell r="P92">
            <v>3329.9877581871347</v>
          </cell>
          <cell r="R92">
            <v>41696.641791734888</v>
          </cell>
        </row>
        <row r="93">
          <cell r="C93">
            <v>436996</v>
          </cell>
          <cell r="D93" t="str">
            <v>CARTON CASSOLETTES X6 360x260x70</v>
          </cell>
          <cell r="L93">
            <v>130.99989919678714</v>
          </cell>
          <cell r="M93">
            <v>38121.980618253663</v>
          </cell>
          <cell r="R93">
            <v>38252.980517450451</v>
          </cell>
        </row>
        <row r="94">
          <cell r="C94">
            <v>438092</v>
          </cell>
          <cell r="D94" t="str">
            <v>CARTON H135 PLATEAU TRAITEUR RENFORCE</v>
          </cell>
          <cell r="H94">
            <v>900</v>
          </cell>
          <cell r="R94">
            <v>900</v>
          </cell>
        </row>
        <row r="95">
          <cell r="C95">
            <v>438093</v>
          </cell>
          <cell r="D95" t="str">
            <v>CARTON H110 PLATEAU TRAITEUR RENFORCE</v>
          </cell>
          <cell r="E95">
            <v>3.9</v>
          </cell>
          <cell r="F95">
            <v>2.9</v>
          </cell>
          <cell r="G95">
            <v>3.2</v>
          </cell>
          <cell r="H95">
            <v>1.3</v>
          </cell>
          <cell r="I95">
            <v>3.4</v>
          </cell>
          <cell r="J95">
            <v>5.9</v>
          </cell>
          <cell r="K95">
            <v>5</v>
          </cell>
          <cell r="N95">
            <v>1.5</v>
          </cell>
          <cell r="O95">
            <v>1.45</v>
          </cell>
          <cell r="P95">
            <v>1.4</v>
          </cell>
          <cell r="R95">
            <v>29.95</v>
          </cell>
        </row>
        <row r="96">
          <cell r="C96">
            <v>440344</v>
          </cell>
          <cell r="D96" t="str">
            <v>BARQ P 2187-1AE NATU</v>
          </cell>
          <cell r="E96">
            <v>27947.776414015003</v>
          </cell>
          <cell r="F96">
            <v>21827.825374799315</v>
          </cell>
          <cell r="G96">
            <v>24173.80660669825</v>
          </cell>
          <cell r="H96">
            <v>7955.9363509803925</v>
          </cell>
          <cell r="I96">
            <v>20807.833533333334</v>
          </cell>
          <cell r="J96">
            <v>36107.711131372547</v>
          </cell>
          <cell r="K96">
            <v>30599.755196078433</v>
          </cell>
          <cell r="N96">
            <v>9179.9265588235303</v>
          </cell>
          <cell r="O96">
            <v>8873.9290068627452</v>
          </cell>
          <cell r="P96">
            <v>8567.93145490196</v>
          </cell>
          <cell r="R96">
            <v>196042.43162786553</v>
          </cell>
        </row>
        <row r="97">
          <cell r="C97">
            <v>440370</v>
          </cell>
          <cell r="D97" t="str">
            <v>BARQUETTE CARTON CELLULOSE IAA-10 187x137x45</v>
          </cell>
          <cell r="E97">
            <v>148580.80392623058</v>
          </cell>
          <cell r="F97">
            <v>153100.15670270118</v>
          </cell>
          <cell r="G97">
            <v>121918.91404705882</v>
          </cell>
          <cell r="H97">
            <v>197109.3361000868</v>
          </cell>
          <cell r="I97">
            <v>214268.23256928104</v>
          </cell>
          <cell r="J97">
            <v>218348.17493137254</v>
          </cell>
          <cell r="K97">
            <v>295179.10415237438</v>
          </cell>
          <cell r="M97">
            <v>1762.5458995199999</v>
          </cell>
          <cell r="N97">
            <v>105670.15056479268</v>
          </cell>
          <cell r="O97">
            <v>146039.05060784315</v>
          </cell>
          <cell r="P97">
            <v>92380.378087014906</v>
          </cell>
          <cell r="R97">
            <v>1694356.8475882758</v>
          </cell>
        </row>
        <row r="98">
          <cell r="C98">
            <v>446326</v>
          </cell>
          <cell r="D98" t="str">
            <v>BARQUETTE TRANSP 160*160*40 P41601A HO PP</v>
          </cell>
          <cell r="E98">
            <v>257271.16708130768</v>
          </cell>
          <cell r="F98">
            <v>235714.97172834617</v>
          </cell>
          <cell r="G98">
            <v>215253.0218855</v>
          </cell>
          <cell r="H98">
            <v>226625.05947034617</v>
          </cell>
          <cell r="I98">
            <v>242498.68219580769</v>
          </cell>
          <cell r="J98">
            <v>286696.37276238459</v>
          </cell>
          <cell r="K98">
            <v>284016.32211778848</v>
          </cell>
          <cell r="L98">
            <v>239580.90358111539</v>
          </cell>
          <cell r="M98">
            <v>219412.85525938461</v>
          </cell>
          <cell r="N98">
            <v>316434.74037011538</v>
          </cell>
          <cell r="O98">
            <v>235330.08066665384</v>
          </cell>
          <cell r="P98">
            <v>257068.22837349999</v>
          </cell>
          <cell r="R98">
            <v>3015902.4054922499</v>
          </cell>
        </row>
        <row r="99">
          <cell r="C99">
            <v>446327</v>
          </cell>
          <cell r="D99" t="str">
            <v>BARQUETTE TRANSP160*160*50 P41601BHOPP</v>
          </cell>
          <cell r="E99">
            <v>153899.97999292306</v>
          </cell>
          <cell r="F99">
            <v>137250.7974555</v>
          </cell>
          <cell r="G99">
            <v>139436.8210981923</v>
          </cell>
          <cell r="H99">
            <v>136288.22592938461</v>
          </cell>
          <cell r="I99">
            <v>133192.03084961537</v>
          </cell>
          <cell r="J99">
            <v>168640.50659528846</v>
          </cell>
          <cell r="K99">
            <v>151406.36429394232</v>
          </cell>
          <cell r="L99">
            <v>144746.71067196154</v>
          </cell>
          <cell r="M99">
            <v>134056.9819058846</v>
          </cell>
          <cell r="N99">
            <v>192861.23219380769</v>
          </cell>
          <cell r="O99">
            <v>137428.84640257692</v>
          </cell>
          <cell r="P99">
            <v>151378.05325776924</v>
          </cell>
          <cell r="R99">
            <v>1780586.5506468462</v>
          </cell>
        </row>
        <row r="100">
          <cell r="C100">
            <v>446333</v>
          </cell>
          <cell r="D100" t="str">
            <v>BARQUETTE KG H50 TRANSPARENTE HOPP</v>
          </cell>
          <cell r="E100">
            <v>23202.185556600001</v>
          </cell>
          <cell r="F100">
            <v>7574.9924250000004</v>
          </cell>
          <cell r="G100">
            <v>34812.716827035052</v>
          </cell>
          <cell r="H100">
            <v>10113.39258605567</v>
          </cell>
          <cell r="I100">
            <v>12058.934382443298</v>
          </cell>
          <cell r="J100">
            <v>85053.495270980406</v>
          </cell>
          <cell r="K100">
            <v>30597.2730027</v>
          </cell>
          <cell r="L100">
            <v>12270.2878497</v>
          </cell>
          <cell r="M100">
            <v>61828.754671199997</v>
          </cell>
          <cell r="N100">
            <v>75851.517549975251</v>
          </cell>
          <cell r="O100">
            <v>12090.886302343299</v>
          </cell>
          <cell r="P100">
            <v>45952.451130286601</v>
          </cell>
          <cell r="R100">
            <v>411406.88755431958</v>
          </cell>
        </row>
        <row r="101">
          <cell r="C101">
            <v>446339</v>
          </cell>
          <cell r="D101" t="str">
            <v xml:space="preserve">BQT PP POELON DIAM26 SS /CLOISON </v>
          </cell>
          <cell r="E101">
            <v>24200</v>
          </cell>
          <cell r="F101">
            <v>19200</v>
          </cell>
          <cell r="G101">
            <v>15680</v>
          </cell>
          <cell r="H101">
            <v>17400</v>
          </cell>
          <cell r="I101">
            <v>19400</v>
          </cell>
          <cell r="J101">
            <v>15200</v>
          </cell>
          <cell r="K101">
            <v>16200</v>
          </cell>
          <cell r="L101">
            <v>13240</v>
          </cell>
          <cell r="M101">
            <v>14480</v>
          </cell>
          <cell r="N101">
            <v>14560</v>
          </cell>
          <cell r="O101">
            <v>14880</v>
          </cell>
          <cell r="P101">
            <v>13760</v>
          </cell>
          <cell r="R101">
            <v>198200</v>
          </cell>
        </row>
        <row r="102">
          <cell r="C102">
            <v>446389</v>
          </cell>
          <cell r="D102" t="str">
            <v>CARTON PLATEAU MECA MM 389X293X125</v>
          </cell>
          <cell r="E102">
            <v>6683.990213959627</v>
          </cell>
          <cell r="F102">
            <v>4971.791845085404</v>
          </cell>
          <cell r="G102">
            <v>14262.179610659938</v>
          </cell>
          <cell r="H102">
            <v>5256.5865449534158</v>
          </cell>
          <cell r="I102">
            <v>6247.7893981288817</v>
          </cell>
          <cell r="J102">
            <v>29360.880835656055</v>
          </cell>
          <cell r="K102">
            <v>19959.784504215837</v>
          </cell>
          <cell r="L102">
            <v>6311.2857272476704</v>
          </cell>
          <cell r="M102">
            <v>6974.5906214285715</v>
          </cell>
          <cell r="N102">
            <v>32126.088174918477</v>
          </cell>
          <cell r="O102">
            <v>6394.7845042158388</v>
          </cell>
          <cell r="P102">
            <v>14679.876347783385</v>
          </cell>
          <cell r="R102">
            <v>153229.62832825311</v>
          </cell>
        </row>
        <row r="103">
          <cell r="C103">
            <v>446393</v>
          </cell>
          <cell r="D103" t="str">
            <v>CARTON PLATEAU MECA PM 393X190X125</v>
          </cell>
          <cell r="E103">
            <v>23968.624092444443</v>
          </cell>
          <cell r="F103">
            <v>23763.210723022221</v>
          </cell>
          <cell r="G103">
            <v>21135.6638532</v>
          </cell>
          <cell r="H103">
            <v>21574.7793666</v>
          </cell>
          <cell r="I103">
            <v>27027.266984066668</v>
          </cell>
          <cell r="J103">
            <v>40904.799726922225</v>
          </cell>
          <cell r="K103">
            <v>53534.264776909804</v>
          </cell>
          <cell r="L103">
            <v>44902.682420933335</v>
          </cell>
          <cell r="M103">
            <v>45054.251029788888</v>
          </cell>
          <cell r="N103">
            <v>24689.44035036111</v>
          </cell>
          <cell r="O103">
            <v>27958.435714333333</v>
          </cell>
          <cell r="P103">
            <v>27841.939319166668</v>
          </cell>
          <cell r="R103">
            <v>382355.35835774866</v>
          </cell>
        </row>
        <row r="104">
          <cell r="C104">
            <v>446424</v>
          </cell>
          <cell r="D104" t="str">
            <v>CARTON PLATEAU UF 324X163X100</v>
          </cell>
          <cell r="E104">
            <v>105251.88984311538</v>
          </cell>
          <cell r="F104">
            <v>94157.704581507685</v>
          </cell>
          <cell r="G104">
            <v>90994.493627930773</v>
          </cell>
          <cell r="H104">
            <v>93062.479335546159</v>
          </cell>
          <cell r="I104">
            <v>96234.781682700006</v>
          </cell>
          <cell r="J104">
            <v>116275.60659376923</v>
          </cell>
          <cell r="K104">
            <v>111355.70583354615</v>
          </cell>
          <cell r="L104">
            <v>98679.494712007698</v>
          </cell>
          <cell r="M104">
            <v>90678.832501507699</v>
          </cell>
          <cell r="N104">
            <v>129846.92299091154</v>
          </cell>
          <cell r="O104">
            <v>95827.578604353839</v>
          </cell>
          <cell r="P104">
            <v>104787.97578969999</v>
          </cell>
          <cell r="R104">
            <v>1227153.4660965961</v>
          </cell>
        </row>
        <row r="105">
          <cell r="C105">
            <v>446584</v>
          </cell>
          <cell r="D105" t="str">
            <v>CARTON PLATEAU MECA GM 584X256X125</v>
          </cell>
          <cell r="E105">
            <v>15050.400043066667</v>
          </cell>
          <cell r="F105">
            <v>12045.75002075</v>
          </cell>
          <cell r="G105">
            <v>14064.8000448</v>
          </cell>
          <cell r="H105">
            <v>12436.55002305</v>
          </cell>
          <cell r="I105">
            <v>12744.000024000001</v>
          </cell>
          <cell r="J105">
            <v>20038.250093250001</v>
          </cell>
          <cell r="K105">
            <v>15072.3000373</v>
          </cell>
          <cell r="L105">
            <v>9633.2500283166664</v>
          </cell>
          <cell r="M105">
            <v>18477.650107716665</v>
          </cell>
          <cell r="N105">
            <v>17201.95009695</v>
          </cell>
          <cell r="O105">
            <v>10513.6000286</v>
          </cell>
          <cell r="P105">
            <v>18222.85009285</v>
          </cell>
          <cell r="R105">
            <v>175501.35064064997</v>
          </cell>
        </row>
        <row r="106">
          <cell r="C106">
            <v>332145</v>
          </cell>
          <cell r="D106" t="str">
            <v>ALCOOL COGNAC COLORE MODIFIE 40%</v>
          </cell>
          <cell r="E106">
            <v>45.837704961636831</v>
          </cell>
          <cell r="F106">
            <v>37.873856470588237</v>
          </cell>
          <cell r="G106">
            <v>66.890387176470583</v>
          </cell>
          <cell r="H106">
            <v>45.060421568627454</v>
          </cell>
          <cell r="I106">
            <v>40.207760784313727</v>
          </cell>
          <cell r="J106">
            <v>108.88825911508951</v>
          </cell>
          <cell r="K106">
            <v>98.38050859313725</v>
          </cell>
          <cell r="L106">
            <v>3.1319234722222222</v>
          </cell>
          <cell r="M106">
            <v>344.77211619190183</v>
          </cell>
          <cell r="N106">
            <v>31.366416078431371</v>
          </cell>
          <cell r="O106">
            <v>25.820518039215685</v>
          </cell>
          <cell r="P106">
            <v>40.922027989215685</v>
          </cell>
          <cell r="R106">
            <v>889.15190044085045</v>
          </cell>
        </row>
        <row r="107">
          <cell r="C107">
            <v>338482</v>
          </cell>
          <cell r="D107" t="str">
            <v>BIERE BLE NOIR BIO SANS GLUTEN 5.1% NON GAZEIFIEE AMBREE</v>
          </cell>
          <cell r="J107">
            <v>30.67395486111111</v>
          </cell>
          <cell r="K107">
            <v>582.80514236111117</v>
          </cell>
          <cell r="M107">
            <v>130.50467040000001</v>
          </cell>
          <cell r="R107">
            <v>743.98376762222233</v>
          </cell>
        </row>
        <row r="108">
          <cell r="C108">
            <v>339895</v>
          </cell>
          <cell r="D108" t="str">
            <v>VIN DE MONBAZILLAC DENATURE</v>
          </cell>
          <cell r="L108">
            <v>245.55090318840578</v>
          </cell>
          <cell r="M108">
            <v>235.89298333333332</v>
          </cell>
          <cell r="P108">
            <v>104.43456186666667</v>
          </cell>
          <cell r="R108">
            <v>585.87844838840579</v>
          </cell>
        </row>
        <row r="109">
          <cell r="C109">
            <v>439725</v>
          </cell>
          <cell r="D109" t="str">
            <v>CARTON  379 x 255 x 228 FOND FD AUTO</v>
          </cell>
          <cell r="E109">
            <v>20500</v>
          </cell>
          <cell r="F109">
            <v>19000</v>
          </cell>
          <cell r="G109">
            <v>12450</v>
          </cell>
          <cell r="H109">
            <v>19300</v>
          </cell>
          <cell r="I109">
            <v>23600</v>
          </cell>
          <cell r="J109">
            <v>24600</v>
          </cell>
          <cell r="K109">
            <v>31000</v>
          </cell>
          <cell r="M109">
            <v>5600</v>
          </cell>
          <cell r="N109">
            <v>10300</v>
          </cell>
          <cell r="O109">
            <v>17400</v>
          </cell>
          <cell r="P109">
            <v>10200</v>
          </cell>
          <cell r="R109">
            <v>193950</v>
          </cell>
        </row>
        <row r="110">
          <cell r="C110">
            <v>441581</v>
          </cell>
          <cell r="D110" t="str">
            <v>CARTON PAV LIDL NOIR 382x290x130 2023</v>
          </cell>
          <cell r="K110">
            <v>4000</v>
          </cell>
          <cell r="R110">
            <v>4000</v>
          </cell>
        </row>
        <row r="111">
          <cell r="C111">
            <v>446325</v>
          </cell>
          <cell r="D111" t="str">
            <v xml:space="preserve">Intercalaire carton 515*255 pour plateau </v>
          </cell>
          <cell r="E111">
            <v>10970</v>
          </cell>
          <cell r="F111">
            <v>9950</v>
          </cell>
          <cell r="G111">
            <v>9540</v>
          </cell>
          <cell r="H111">
            <v>10260</v>
          </cell>
          <cell r="I111">
            <v>10320</v>
          </cell>
          <cell r="J111">
            <v>9500</v>
          </cell>
          <cell r="K111">
            <v>9180</v>
          </cell>
          <cell r="L111">
            <v>6780</v>
          </cell>
          <cell r="M111">
            <v>7040</v>
          </cell>
          <cell r="N111">
            <v>7410</v>
          </cell>
          <cell r="O111">
            <v>7625</v>
          </cell>
          <cell r="P111">
            <v>7010</v>
          </cell>
          <cell r="R111">
            <v>105585</v>
          </cell>
        </row>
        <row r="112">
          <cell r="C112">
            <v>446394</v>
          </cell>
          <cell r="D112" t="str">
            <v>CARTON COLIS 189X139X135XBLANQUETTE VEAU COSTCO</v>
          </cell>
          <cell r="E112">
            <v>288</v>
          </cell>
          <cell r="F112">
            <v>288</v>
          </cell>
          <cell r="H112">
            <v>288</v>
          </cell>
          <cell r="K112">
            <v>288</v>
          </cell>
          <cell r="M112">
            <v>576</v>
          </cell>
          <cell r="N112">
            <v>288</v>
          </cell>
          <cell r="P112">
            <v>288</v>
          </cell>
          <cell r="R112">
            <v>2304</v>
          </cell>
        </row>
        <row r="113">
          <cell r="C113">
            <v>338278</v>
          </cell>
          <cell r="D113" t="str">
            <v>CITRON JUS 8° BRIX</v>
          </cell>
          <cell r="E113">
            <v>280.22233710163511</v>
          </cell>
          <cell r="F113">
            <v>178.69743141806021</v>
          </cell>
          <cell r="G113">
            <v>130.20206457357858</v>
          </cell>
          <cell r="H113">
            <v>78.562947828428094</v>
          </cell>
          <cell r="I113">
            <v>136.44260455908585</v>
          </cell>
          <cell r="J113">
            <v>212.89390788350056</v>
          </cell>
          <cell r="K113">
            <v>112.78680868004459</v>
          </cell>
          <cell r="L113">
            <v>30.241327939464885</v>
          </cell>
          <cell r="M113">
            <v>149.92935862620718</v>
          </cell>
          <cell r="N113">
            <v>32.677662834448164</v>
          </cell>
          <cell r="O113">
            <v>145.17401446655518</v>
          </cell>
          <cell r="P113">
            <v>75.060874262541802</v>
          </cell>
          <cell r="R113">
            <v>1562.8913401735501</v>
          </cell>
        </row>
        <row r="114">
          <cell r="C114">
            <v>338357</v>
          </cell>
          <cell r="D114" t="str">
            <v>ARMAGNAC MODIFIE SEL POIVRE</v>
          </cell>
          <cell r="E114">
            <v>31.640267478632477</v>
          </cell>
          <cell r="F114">
            <v>29.487418666666667</v>
          </cell>
          <cell r="G114">
            <v>20.87602341880342</v>
          </cell>
          <cell r="H114">
            <v>20.402456188034186</v>
          </cell>
          <cell r="I114">
            <v>37.594864418803418</v>
          </cell>
          <cell r="J114">
            <v>108.27634807692307</v>
          </cell>
          <cell r="K114">
            <v>90.849624786324782</v>
          </cell>
          <cell r="L114">
            <v>65.784163739316242</v>
          </cell>
          <cell r="M114">
            <v>51.197799455128205</v>
          </cell>
          <cell r="N114">
            <v>45.775104658119659</v>
          </cell>
          <cell r="O114">
            <v>45.436842350427348</v>
          </cell>
          <cell r="P114">
            <v>47.454386239316243</v>
          </cell>
          <cell r="R114">
            <v>594.77529947649566</v>
          </cell>
        </row>
        <row r="115">
          <cell r="C115">
            <v>338368</v>
          </cell>
          <cell r="D115" t="str">
            <v>PORTO MODIFIÉ SEL &amp; POIVRE</v>
          </cell>
          <cell r="E115">
            <v>83.062431372549014</v>
          </cell>
          <cell r="F115">
            <v>249.18729411764707</v>
          </cell>
          <cell r="G115">
            <v>249.18729411764707</v>
          </cell>
          <cell r="H115">
            <v>449.92150326797383</v>
          </cell>
          <cell r="I115">
            <v>401.46841830065358</v>
          </cell>
          <cell r="J115">
            <v>510.21553719607846</v>
          </cell>
          <cell r="K115">
            <v>794.6465510065359</v>
          </cell>
          <cell r="L115">
            <v>206.44635166666666</v>
          </cell>
          <cell r="M115">
            <v>263.67887981451611</v>
          </cell>
          <cell r="N115">
            <v>263.03103267973859</v>
          </cell>
          <cell r="O115">
            <v>207.65607843137255</v>
          </cell>
          <cell r="P115">
            <v>312.03140298137254</v>
          </cell>
          <cell r="R115">
            <v>3990.532774952751</v>
          </cell>
        </row>
        <row r="116">
          <cell r="C116">
            <v>340417</v>
          </cell>
          <cell r="D116" t="str">
            <v>MADÈRE MODIFIÉ SEL &amp; POIVRE</v>
          </cell>
          <cell r="E116">
            <v>309.78194043772896</v>
          </cell>
          <cell r="F116">
            <v>280.47490354517703</v>
          </cell>
          <cell r="G116">
            <v>278.31919898199021</v>
          </cell>
          <cell r="H116">
            <v>285.42317660989011</v>
          </cell>
          <cell r="I116">
            <v>1077.2151518308913</v>
          </cell>
          <cell r="J116">
            <v>1017.4897683119658</v>
          </cell>
          <cell r="K116">
            <v>575.09540884371188</v>
          </cell>
          <cell r="L116">
            <v>385.02073536172162</v>
          </cell>
          <cell r="M116">
            <v>313.106605002442</v>
          </cell>
          <cell r="N116">
            <v>484.92903733424907</v>
          </cell>
          <cell r="O116">
            <v>391.28339682234434</v>
          </cell>
          <cell r="P116">
            <v>381.98127390964589</v>
          </cell>
          <cell r="R116">
            <v>5780.1205969917582</v>
          </cell>
        </row>
        <row r="117">
          <cell r="C117">
            <v>460022</v>
          </cell>
          <cell r="D117" t="str">
            <v>ETUI THIRIET BLANQUETTE A PLAT</v>
          </cell>
          <cell r="G117">
            <v>6000</v>
          </cell>
          <cell r="I117">
            <v>6000</v>
          </cell>
          <cell r="K117">
            <v>18000</v>
          </cell>
          <cell r="N117">
            <v>1800</v>
          </cell>
          <cell r="O117">
            <v>2100</v>
          </cell>
          <cell r="P117">
            <v>1800</v>
          </cell>
          <cell r="R117">
            <v>35700</v>
          </cell>
        </row>
        <row r="118">
          <cell r="C118">
            <v>460023</v>
          </cell>
          <cell r="D118" t="str">
            <v>ETUI THIRIET BOEUF BOURGUIGNON A PLAT</v>
          </cell>
          <cell r="E118">
            <v>5400</v>
          </cell>
          <cell r="F118">
            <v>5400</v>
          </cell>
          <cell r="J118">
            <v>18000</v>
          </cell>
          <cell r="N118">
            <v>2100</v>
          </cell>
          <cell r="O118">
            <v>2100</v>
          </cell>
          <cell r="P118">
            <v>2100</v>
          </cell>
          <cell r="R118">
            <v>35100</v>
          </cell>
        </row>
        <row r="119">
          <cell r="C119">
            <v>460024</v>
          </cell>
          <cell r="D119" t="str">
            <v>ETUI CANARD CEPES THIRIET A PLAT nouvelle version 2020</v>
          </cell>
          <cell r="E119">
            <v>6000</v>
          </cell>
          <cell r="F119">
            <v>12000</v>
          </cell>
          <cell r="H119">
            <v>4200</v>
          </cell>
          <cell r="I119">
            <v>11400</v>
          </cell>
          <cell r="J119">
            <v>5400</v>
          </cell>
          <cell r="K119">
            <v>6000</v>
          </cell>
          <cell r="N119">
            <v>2400</v>
          </cell>
          <cell r="O119">
            <v>1800</v>
          </cell>
          <cell r="P119">
            <v>1800</v>
          </cell>
          <cell r="R119">
            <v>51000</v>
          </cell>
        </row>
        <row r="120">
          <cell r="C120">
            <v>460026</v>
          </cell>
          <cell r="D120" t="str">
            <v>ETUIS THIRIET BOEUF SPAETZLE A PLAT</v>
          </cell>
          <cell r="E120">
            <v>16160.000157915516</v>
          </cell>
          <cell r="F120">
            <v>4040.0000402684564</v>
          </cell>
          <cell r="G120">
            <v>17877.000174713779</v>
          </cell>
          <cell r="H120">
            <v>3636.0000352941174</v>
          </cell>
          <cell r="I120">
            <v>3030.0000294117649</v>
          </cell>
          <cell r="J120">
            <v>12120.00011764706</v>
          </cell>
          <cell r="K120">
            <v>6060.0000588235298</v>
          </cell>
          <cell r="N120">
            <v>2727.0000264705882</v>
          </cell>
          <cell r="O120">
            <v>2727.0000264705882</v>
          </cell>
          <cell r="P120">
            <v>2727.0000264705882</v>
          </cell>
          <cell r="R120">
            <v>71104.000693485985</v>
          </cell>
        </row>
        <row r="121">
          <cell r="C121">
            <v>460653</v>
          </cell>
          <cell r="D121" t="str">
            <v>ETUI BLANQUETTE VEAU PICARD A PLAT</v>
          </cell>
          <cell r="E121">
            <v>12000</v>
          </cell>
          <cell r="F121">
            <v>66000</v>
          </cell>
          <cell r="G121">
            <v>60000</v>
          </cell>
          <cell r="H121">
            <v>90000</v>
          </cell>
          <cell r="I121">
            <v>90000</v>
          </cell>
          <cell r="J121">
            <v>90000</v>
          </cell>
          <cell r="K121">
            <v>95000</v>
          </cell>
          <cell r="N121">
            <v>28000</v>
          </cell>
          <cell r="O121">
            <v>28000</v>
          </cell>
          <cell r="P121">
            <v>24000</v>
          </cell>
          <cell r="R121">
            <v>583000</v>
          </cell>
        </row>
        <row r="122">
          <cell r="C122">
            <v>460654</v>
          </cell>
          <cell r="D122" t="str">
            <v>ETUI KLIC CANARD PDT SCE POIVRE NOUVEAU A PLAT version 2020</v>
          </cell>
          <cell r="E122">
            <v>12119.987882352942</v>
          </cell>
          <cell r="F122">
            <v>36359.963647058823</v>
          </cell>
          <cell r="G122">
            <v>36359.963647058823</v>
          </cell>
          <cell r="H122">
            <v>65649.934362745102</v>
          </cell>
          <cell r="I122">
            <v>58579.94143137255</v>
          </cell>
          <cell r="J122">
            <v>60599.939411764703</v>
          </cell>
          <cell r="K122">
            <v>70699.929313725486</v>
          </cell>
          <cell r="N122">
            <v>38379.961627450983</v>
          </cell>
          <cell r="O122">
            <v>30299.969705882351</v>
          </cell>
          <cell r="P122">
            <v>30299.969705882351</v>
          </cell>
          <cell r="R122">
            <v>439349.56073529419</v>
          </cell>
        </row>
        <row r="123">
          <cell r="C123">
            <v>460655</v>
          </cell>
          <cell r="D123" t="str">
            <v>ETUI ENCHILADAS PICARD A PLAT</v>
          </cell>
          <cell r="E123">
            <v>24479.804156862745</v>
          </cell>
          <cell r="O123">
            <v>50999.591993464055</v>
          </cell>
          <cell r="R123">
            <v>75479.396150326793</v>
          </cell>
        </row>
        <row r="124">
          <cell r="C124">
            <v>460656</v>
          </cell>
          <cell r="D124" t="str">
            <v>ETUI ROUGAIL RIZ PICARD 140X45X191 MM</v>
          </cell>
          <cell r="E124">
            <v>48960.007843137253</v>
          </cell>
          <cell r="F124">
            <v>36720.00588235294</v>
          </cell>
          <cell r="G124">
            <v>12240.001960784313</v>
          </cell>
          <cell r="H124">
            <v>25500.004084967321</v>
          </cell>
          <cell r="I124">
            <v>47940.007679738563</v>
          </cell>
          <cell r="J124">
            <v>35700.005718954249</v>
          </cell>
          <cell r="K124">
            <v>35700.005718954249</v>
          </cell>
          <cell r="N124">
            <v>25500.004084967321</v>
          </cell>
          <cell r="O124">
            <v>24480.003921568627</v>
          </cell>
          <cell r="P124">
            <v>24480.003921568627</v>
          </cell>
          <cell r="R124">
            <v>317220.05081699346</v>
          </cell>
        </row>
        <row r="125">
          <cell r="C125">
            <v>460657</v>
          </cell>
          <cell r="D125" t="str">
            <v>ETUI POULET VINDA POTATOES PICARD A PLAT</v>
          </cell>
          <cell r="K125">
            <v>61200.009803921566</v>
          </cell>
          <cell r="R125">
            <v>61200.009803921566</v>
          </cell>
        </row>
        <row r="126">
          <cell r="C126">
            <v>460659</v>
          </cell>
          <cell r="D126" t="str">
            <v>ETUI COLOMBO POULET PICARD A PLAT KLIC KLOC</v>
          </cell>
          <cell r="E126">
            <v>51000.008169934641</v>
          </cell>
          <cell r="F126">
            <v>12240.001960784313</v>
          </cell>
          <cell r="G126">
            <v>12240.001960784313</v>
          </cell>
          <cell r="H126">
            <v>13260.002124183007</v>
          </cell>
          <cell r="I126">
            <v>16320.002614379086</v>
          </cell>
          <cell r="J126">
            <v>30600.004901960783</v>
          </cell>
          <cell r="K126">
            <v>30600.004901960783</v>
          </cell>
          <cell r="N126">
            <v>12240.001960784313</v>
          </cell>
          <cell r="O126">
            <v>12240.001960784313</v>
          </cell>
          <cell r="P126">
            <v>12240.001960784313</v>
          </cell>
          <cell r="R126">
            <v>202980.03251633988</v>
          </cell>
        </row>
        <row r="127">
          <cell r="C127">
            <v>490955</v>
          </cell>
          <cell r="D127" t="str">
            <v>FOURR FESTIF 100G MOUSSPDTDOUC 92.7X96X40</v>
          </cell>
          <cell r="L127">
            <v>505.00000509259257</v>
          </cell>
          <cell r="M127">
            <v>45450.000458333336</v>
          </cell>
          <cell r="P127">
            <v>6060.0000611111109</v>
          </cell>
          <cell r="R127">
            <v>52015.000524537041</v>
          </cell>
        </row>
        <row r="128">
          <cell r="C128">
            <v>490957</v>
          </cell>
          <cell r="D128" t="str">
            <v>FOURR FESTIF 100G RISOTTO CEP 92.7X96X40</v>
          </cell>
          <cell r="L128">
            <v>1010.0000101851851</v>
          </cell>
          <cell r="M128">
            <v>41410.000417592593</v>
          </cell>
          <cell r="P128">
            <v>6060.0000611111109</v>
          </cell>
          <cell r="R128">
            <v>48480.000488888887</v>
          </cell>
        </row>
        <row r="129">
          <cell r="C129">
            <v>490958</v>
          </cell>
          <cell r="D129" t="str">
            <v>FOURR CRF ENGAGE RISOTCEP FESTIF</v>
          </cell>
          <cell r="L129">
            <v>1010.0000101851851</v>
          </cell>
          <cell r="M129">
            <v>36360.000366666667</v>
          </cell>
          <cell r="R129">
            <v>37370.000376851851</v>
          </cell>
        </row>
        <row r="130">
          <cell r="C130">
            <v>491017</v>
          </cell>
          <cell r="D130" t="str">
            <v xml:space="preserve">FOURR 2018 LECHEF DUORIZ FESTIF 2019 </v>
          </cell>
          <cell r="M130">
            <v>9791.9216666666671</v>
          </cell>
          <cell r="P130">
            <v>3059.9755208333331</v>
          </cell>
          <cell r="R130">
            <v>12851.897187500001</v>
          </cell>
        </row>
        <row r="131">
          <cell r="C131">
            <v>491044</v>
          </cell>
          <cell r="D131" t="str">
            <v>ETUI FESTIF 200G POULARD MONBAZ 120X43X150XA PLAT</v>
          </cell>
          <cell r="L131">
            <v>11627.906974509804</v>
          </cell>
          <cell r="R131">
            <v>11627.906974509804</v>
          </cell>
        </row>
        <row r="132">
          <cell r="C132">
            <v>491054</v>
          </cell>
          <cell r="D132" t="str">
            <v xml:space="preserve">ETUI SOURISGIR 2019  220 X 140 X 60 A PLAT </v>
          </cell>
          <cell r="J132">
            <v>605.99939411764706</v>
          </cell>
          <cell r="K132">
            <v>19694.980308823528</v>
          </cell>
          <cell r="P132">
            <v>424.19957588235292</v>
          </cell>
          <cell r="R132">
            <v>20725.179278823529</v>
          </cell>
        </row>
        <row r="133">
          <cell r="C133">
            <v>491099</v>
          </cell>
          <cell r="D133" t="str">
            <v>FOURREAU RIZ BASMATI AUX AMANDES</v>
          </cell>
          <cell r="L133">
            <v>505.00000509259257</v>
          </cell>
          <cell r="M133">
            <v>4040.0000407407406</v>
          </cell>
          <cell r="R133">
            <v>4545.0000458333334</v>
          </cell>
        </row>
        <row r="134">
          <cell r="C134">
            <v>491110</v>
          </cell>
          <cell r="D134" t="str">
            <v>ETUI LECHEF 2022 700G FILET OIE 140X60X220</v>
          </cell>
          <cell r="J134">
            <v>3636.0000352941174</v>
          </cell>
          <cell r="L134">
            <v>2424.0000235294119</v>
          </cell>
          <cell r="R134">
            <v>6060.0000588235289</v>
          </cell>
        </row>
        <row r="135">
          <cell r="C135">
            <v>491120</v>
          </cell>
          <cell r="D135" t="str">
            <v>FOURR 2021 LECHEF ECRAS PDT COMTE</v>
          </cell>
          <cell r="L135">
            <v>303.00000305555557</v>
          </cell>
          <cell r="M135">
            <v>37875.000381944446</v>
          </cell>
          <cell r="P135">
            <v>6060.0000611111109</v>
          </cell>
          <cell r="R135">
            <v>44238.000446111109</v>
          </cell>
        </row>
        <row r="136">
          <cell r="C136">
            <v>491128</v>
          </cell>
          <cell r="D136" t="str">
            <v>ETUI LECHEF 2022 100G ECRAS PDT BLEU 92.7X96X40 A PLAT</v>
          </cell>
          <cell r="L136">
            <v>303.00000305555557</v>
          </cell>
          <cell r="M136">
            <v>5252.0000529629633</v>
          </cell>
          <cell r="R136">
            <v>5555.000056018519</v>
          </cell>
        </row>
        <row r="137">
          <cell r="C137">
            <v>491154</v>
          </cell>
          <cell r="D137" t="str">
            <v>Etui_Crevet_Prov_700g_Lechef23_aplat_140x60x220mm</v>
          </cell>
          <cell r="H137">
            <v>2969.9997022058824</v>
          </cell>
          <cell r="R137">
            <v>2969.9997022058824</v>
          </cell>
        </row>
        <row r="138">
          <cell r="C138">
            <v>491162</v>
          </cell>
          <cell r="D138" t="str">
            <v>Etui_Saum_Oseill_700g_Lechef23_aplat_140x60x220mm</v>
          </cell>
          <cell r="H138">
            <v>2969.9997022058824</v>
          </cell>
          <cell r="R138">
            <v>2969.9997022058824</v>
          </cell>
        </row>
        <row r="139">
          <cell r="C139">
            <v>491166</v>
          </cell>
          <cell r="D139" t="str">
            <v>ETUI CER ECRAS PDT LIDL 600G FESTIF 23 A PLAT 140X60X220 FSC</v>
          </cell>
          <cell r="K139">
            <v>26399.997352941176</v>
          </cell>
          <cell r="R139">
            <v>26399.997352941176</v>
          </cell>
        </row>
        <row r="140">
          <cell r="C140">
            <v>491203</v>
          </cell>
          <cell r="D140" t="str">
            <v>ETUI SANGSTHUB 2022 150X120X43 SANS LI A PLAT 200G</v>
          </cell>
          <cell r="J140">
            <v>1212.000011764706</v>
          </cell>
          <cell r="K140">
            <v>19998.000194117649</v>
          </cell>
          <cell r="R140">
            <v>21210.000205882356</v>
          </cell>
        </row>
        <row r="141">
          <cell r="C141">
            <v>491218</v>
          </cell>
          <cell r="D141" t="str">
            <v>FOURR FESTIF 2023 100G MOUSS POTIMA 92.7X96X40</v>
          </cell>
          <cell r="L141">
            <v>1010.0000101851851</v>
          </cell>
          <cell r="M141">
            <v>19190.000193518517</v>
          </cell>
          <cell r="P141">
            <v>3030.0000305555554</v>
          </cell>
          <cell r="R141">
            <v>23230.000234259256</v>
          </cell>
        </row>
        <row r="142">
          <cell r="C142">
            <v>491219</v>
          </cell>
          <cell r="D142" t="str">
            <v>FOURR FESTIF 2023 100G POLENTA CEP 92.7X96X40</v>
          </cell>
          <cell r="L142">
            <v>303.00000305555557</v>
          </cell>
          <cell r="M142">
            <v>9090.0000916666668</v>
          </cell>
          <cell r="P142">
            <v>3030.0000305555554</v>
          </cell>
          <cell r="R142">
            <v>12423.000125277777</v>
          </cell>
        </row>
        <row r="143">
          <cell r="C143">
            <v>491225</v>
          </cell>
          <cell r="D143" t="str">
            <v>ETUI SAUMONBBL TG 2023 150X120X43 A PLAT SANS LI</v>
          </cell>
          <cell r="L143">
            <v>1211.9987882352941</v>
          </cell>
          <cell r="M143">
            <v>47873.952135294116</v>
          </cell>
          <cell r="R143">
            <v>49085.95092352941</v>
          </cell>
        </row>
        <row r="144">
          <cell r="C144">
            <v>491226</v>
          </cell>
          <cell r="D144" t="str">
            <v>ETUI CHEVGDVEN TG 2023 150X120X43 A PLAT 200G SANS LI</v>
          </cell>
          <cell r="J144">
            <v>1212.000011764706</v>
          </cell>
          <cell r="K144">
            <v>55752.000541176472</v>
          </cell>
          <cell r="R144">
            <v>56964.000552941179</v>
          </cell>
        </row>
        <row r="145">
          <cell r="C145">
            <v>491249</v>
          </cell>
          <cell r="D145" t="str">
            <v>FOURREAU RISOTTO TRUFFE 100 G 2024</v>
          </cell>
          <cell r="L145">
            <v>606.00000592105266</v>
          </cell>
          <cell r="M145">
            <v>16665.000162828946</v>
          </cell>
          <cell r="P145">
            <v>3030.0000296052631</v>
          </cell>
          <cell r="R145">
            <v>20301.000198355265</v>
          </cell>
        </row>
        <row r="146">
          <cell r="C146">
            <v>491250</v>
          </cell>
          <cell r="D146" t="str">
            <v>FOURREAU ECRASE PDT TRUFFE 100 G 2024</v>
          </cell>
          <cell r="L146">
            <v>202.00000197368422</v>
          </cell>
          <cell r="M146">
            <v>13130.000128289474</v>
          </cell>
          <cell r="R146">
            <v>13332.000130263157</v>
          </cell>
        </row>
        <row r="147">
          <cell r="C147">
            <v>491251</v>
          </cell>
          <cell r="D147" t="str">
            <v>FOURREAU ECRASE PDT TRUFFE 100G 2024 ENGAGEMENT</v>
          </cell>
          <cell r="M147">
            <v>9090.0000888157901</v>
          </cell>
          <cell r="R147">
            <v>9090.0000888157901</v>
          </cell>
        </row>
        <row r="148">
          <cell r="C148">
            <v>491252</v>
          </cell>
          <cell r="D148" t="str">
            <v>ETUI FONDANT DINDE 700G SANS LI 2024</v>
          </cell>
          <cell r="L148">
            <v>151.50000147058824</v>
          </cell>
          <cell r="M148">
            <v>4848.0000470588238</v>
          </cell>
          <cell r="R148">
            <v>4999.5000485294122</v>
          </cell>
        </row>
        <row r="149">
          <cell r="C149">
            <v>491253</v>
          </cell>
          <cell r="D149" t="str">
            <v>ETUI MENU EXQUIS POULET ITM 2024</v>
          </cell>
          <cell r="M149">
            <v>18149.998189583333</v>
          </cell>
          <cell r="R149">
            <v>18149.998189583333</v>
          </cell>
        </row>
        <row r="150">
          <cell r="C150">
            <v>491254</v>
          </cell>
          <cell r="D150" t="str">
            <v>ETUI MENU GOURMET SAUMON ITM 2024</v>
          </cell>
          <cell r="M150">
            <v>18809.99812375</v>
          </cell>
          <cell r="R150">
            <v>18809.99812375</v>
          </cell>
        </row>
        <row r="151">
          <cell r="C151">
            <v>491255</v>
          </cell>
          <cell r="D151" t="str">
            <v>ETUI ST JACQ SAV ILES 700G SANS LI 2024</v>
          </cell>
          <cell r="M151">
            <v>2242.200021764706</v>
          </cell>
          <cell r="R151">
            <v>2242.200021764706</v>
          </cell>
        </row>
        <row r="152">
          <cell r="C152">
            <v>491256</v>
          </cell>
          <cell r="D152" t="str">
            <v>ETUI CERF GV MONO 120X43X150 SANS LI 2024 FESTIF</v>
          </cell>
          <cell r="J152">
            <v>969.60000941176474</v>
          </cell>
          <cell r="K152">
            <v>15150.000147058823</v>
          </cell>
          <cell r="R152">
            <v>16119.600156470588</v>
          </cell>
        </row>
        <row r="153">
          <cell r="C153">
            <v>491257</v>
          </cell>
          <cell r="D153" t="str">
            <v>ETUI MONO NEUTRE MANUEL 115X37X150 FESTIF 2024</v>
          </cell>
          <cell r="K153">
            <v>8181.0000795311807</v>
          </cell>
          <cell r="L153">
            <v>856.79314526315784</v>
          </cell>
          <cell r="M153">
            <v>27524.791924812031</v>
          </cell>
          <cell r="R153">
            <v>36562.58514960637</v>
          </cell>
        </row>
        <row r="154">
          <cell r="C154">
            <v>491258</v>
          </cell>
          <cell r="D154" t="str">
            <v>FOURREAU MOUSSE PATATE DOUCE ENGAG FESTIF 2024</v>
          </cell>
          <cell r="M154">
            <v>25250.000254629631</v>
          </cell>
          <cell r="R154">
            <v>25250.000254629631</v>
          </cell>
        </row>
        <row r="155">
          <cell r="C155">
            <v>491259</v>
          </cell>
          <cell r="D155" t="str">
            <v>FOUREAU ECRASE PDT COMTE ENGAG FESTIF 2024</v>
          </cell>
          <cell r="L155">
            <v>510.00008171296298</v>
          </cell>
          <cell r="M155">
            <v>39270.006291898149</v>
          </cell>
          <cell r="R155">
            <v>39780.006373611111</v>
          </cell>
        </row>
        <row r="156">
          <cell r="C156">
            <v>491260</v>
          </cell>
          <cell r="D156" t="str">
            <v>FOURREAU CONCA MARRON CREME ENGAG FESTIF 2024</v>
          </cell>
          <cell r="M156">
            <v>14342.00014462963</v>
          </cell>
          <cell r="R156">
            <v>14342.00014462963</v>
          </cell>
        </row>
        <row r="157">
          <cell r="C157">
            <v>491264</v>
          </cell>
          <cell r="D157" t="str">
            <v>ETUI SANGLIER ST HUB 700G 140X60X220 SANS LI FESTIF 2024</v>
          </cell>
          <cell r="J157">
            <v>6666.0000647058823</v>
          </cell>
          <cell r="K157">
            <v>5757.0000558823531</v>
          </cell>
          <cell r="R157">
            <v>12423.000120588236</v>
          </cell>
        </row>
        <row r="158">
          <cell r="C158">
            <v>491266</v>
          </cell>
          <cell r="D158" t="str">
            <v>ETUI NAV ST JACQUES GIROL 150G SANS LI 2024</v>
          </cell>
          <cell r="M158">
            <v>6969.000067647059</v>
          </cell>
          <cell r="R158">
            <v>6969.000067647059</v>
          </cell>
        </row>
        <row r="159">
          <cell r="C159">
            <v>491267</v>
          </cell>
          <cell r="D159" t="str">
            <v>ETUI MONO CHAPON FG CANARD AVEC LI 2024</v>
          </cell>
          <cell r="K159">
            <v>606.00000588235298</v>
          </cell>
          <cell r="L159">
            <v>31512.000305882353</v>
          </cell>
          <cell r="R159">
            <v>32118.000311764707</v>
          </cell>
        </row>
        <row r="160">
          <cell r="C160">
            <v>491268</v>
          </cell>
          <cell r="D160" t="str">
            <v>ETUI MONO CHAPON FG CANARD ENGAG AVEC LI 2024</v>
          </cell>
          <cell r="K160">
            <v>909.00000882352936</v>
          </cell>
          <cell r="L160">
            <v>39390.000382352941</v>
          </cell>
          <cell r="R160">
            <v>40299.000391176472</v>
          </cell>
        </row>
        <row r="161">
          <cell r="C161">
            <v>491269</v>
          </cell>
          <cell r="D161" t="str">
            <v>ETUI BLANQ LOTTE CREVETTE 120X43X150XFESTIF 2024 SANS LI</v>
          </cell>
          <cell r="L161">
            <v>302.99969699248118</v>
          </cell>
          <cell r="M161">
            <v>15149.984849624059</v>
          </cell>
          <cell r="R161">
            <v>15452.984546616541</v>
          </cell>
        </row>
        <row r="162">
          <cell r="C162">
            <v>491502</v>
          </cell>
          <cell r="D162" t="str">
            <v>ETUI MNP P 180G CAROTTE PDT BIO PUREE</v>
          </cell>
          <cell r="E162">
            <v>1836.0002941666667</v>
          </cell>
          <cell r="F162">
            <v>1836.0002941666667</v>
          </cell>
          <cell r="G162">
            <v>1836.0002941666667</v>
          </cell>
          <cell r="H162">
            <v>1836.0002941666667</v>
          </cell>
          <cell r="I162">
            <v>1836.0002941666667</v>
          </cell>
          <cell r="J162">
            <v>1836.0002941666667</v>
          </cell>
          <cell r="K162">
            <v>1836.0002941666667</v>
          </cell>
          <cell r="L162">
            <v>1836.0002941666667</v>
          </cell>
          <cell r="M162">
            <v>1836.0002941666667</v>
          </cell>
          <cell r="N162">
            <v>1836.0002941666667</v>
          </cell>
          <cell r="O162">
            <v>1836.0002941666667</v>
          </cell>
          <cell r="P162">
            <v>1836.0002941666667</v>
          </cell>
          <cell r="R162">
            <v>22032.003530000002</v>
          </cell>
        </row>
        <row r="163">
          <cell r="C163">
            <v>491505</v>
          </cell>
          <cell r="D163" t="str">
            <v>ETUI MNP P 180G BROCOLI PDT BIO PUREE</v>
          </cell>
          <cell r="E163">
            <v>2448.0003922222222</v>
          </cell>
          <cell r="F163">
            <v>2448.0003922222222</v>
          </cell>
          <cell r="G163">
            <v>2448.0003922222222</v>
          </cell>
          <cell r="H163">
            <v>2448.0003922222222</v>
          </cell>
          <cell r="I163">
            <v>2448.0003922222222</v>
          </cell>
          <cell r="J163">
            <v>2448.0003922222222</v>
          </cell>
          <cell r="K163">
            <v>2448.0003922222222</v>
          </cell>
          <cell r="L163">
            <v>2448.0003922222222</v>
          </cell>
          <cell r="M163">
            <v>1836.0002941666667</v>
          </cell>
          <cell r="N163">
            <v>2448.0003922222222</v>
          </cell>
          <cell r="O163">
            <v>2448.0003922222222</v>
          </cell>
          <cell r="P163">
            <v>2448.0003922222222</v>
          </cell>
          <cell r="R163">
            <v>28764.004608611118</v>
          </cell>
        </row>
        <row r="164">
          <cell r="C164">
            <v>446338</v>
          </cell>
          <cell r="D164" t="str">
            <v xml:space="preserve">BQT PP POELON DIAM26 CLOISONNE </v>
          </cell>
          <cell r="E164">
            <v>19680</v>
          </cell>
          <cell r="F164">
            <v>18400</v>
          </cell>
          <cell r="G164">
            <v>17480</v>
          </cell>
          <cell r="H164">
            <v>18440</v>
          </cell>
          <cell r="I164">
            <v>17080</v>
          </cell>
          <cell r="J164">
            <v>14400</v>
          </cell>
          <cell r="K164">
            <v>15880</v>
          </cell>
          <cell r="L164">
            <v>11080</v>
          </cell>
          <cell r="M164">
            <v>11480</v>
          </cell>
          <cell r="N164">
            <v>12080</v>
          </cell>
          <cell r="O164">
            <v>12820</v>
          </cell>
          <cell r="P164">
            <v>11280</v>
          </cell>
          <cell r="R164">
            <v>180100</v>
          </cell>
        </row>
        <row r="165">
          <cell r="C165">
            <v>438183</v>
          </cell>
          <cell r="D165" t="str">
            <v>TIMBALE PEHD 155 ML HT 36</v>
          </cell>
          <cell r="L165">
            <v>6766.9961910867451</v>
          </cell>
          <cell r="M165">
            <v>445653.96855988062</v>
          </cell>
          <cell r="P165">
            <v>33389.898512061402</v>
          </cell>
          <cell r="R165">
            <v>485810.86326302879</v>
          </cell>
        </row>
        <row r="166">
          <cell r="C166">
            <v>337391</v>
          </cell>
          <cell r="D166" t="str">
            <v>FUMET POISSON AROME NAT CK00257</v>
          </cell>
          <cell r="E166">
            <v>153.13643318248648</v>
          </cell>
          <cell r="F166">
            <v>118.91879494486011</v>
          </cell>
          <cell r="G166">
            <v>58.453148455119589</v>
          </cell>
          <cell r="H166">
            <v>76.278662154432297</v>
          </cell>
          <cell r="I166">
            <v>67.197247959349028</v>
          </cell>
          <cell r="J166">
            <v>62.633966575278613</v>
          </cell>
          <cell r="K166">
            <v>121.76094917802564</v>
          </cell>
          <cell r="L166">
            <v>53.94159006590526</v>
          </cell>
          <cell r="M166">
            <v>352.37056710668043</v>
          </cell>
          <cell r="N166">
            <v>69.353862616782934</v>
          </cell>
          <cell r="O166">
            <v>57.477095783369151</v>
          </cell>
          <cell r="P166">
            <v>56.563774458389361</v>
          </cell>
          <cell r="R166">
            <v>1248.0860924806789</v>
          </cell>
        </row>
        <row r="167">
          <cell r="C167">
            <v>338020</v>
          </cell>
          <cell r="D167" t="str">
            <v>EXTRAIT CULINAIRE SIGNATURE VEAU OF 1207-01</v>
          </cell>
          <cell r="E167">
            <v>171.4747217088775</v>
          </cell>
          <cell r="F167">
            <v>514.17527465005401</v>
          </cell>
          <cell r="G167">
            <v>511.410786549546</v>
          </cell>
          <cell r="H167">
            <v>657.14002137725493</v>
          </cell>
          <cell r="I167">
            <v>684.03396745098041</v>
          </cell>
          <cell r="J167">
            <v>725.38153019607842</v>
          </cell>
          <cell r="K167">
            <v>763.15255928575164</v>
          </cell>
          <cell r="M167">
            <v>5.3167564799999996</v>
          </cell>
          <cell r="N167">
            <v>224.40095837071897</v>
          </cell>
          <cell r="O167">
            <v>221.66962993464051</v>
          </cell>
          <cell r="P167">
            <v>195.22737745568628</v>
          </cell>
          <cell r="R167">
            <v>4673.3835834595884</v>
          </cell>
        </row>
        <row r="168">
          <cell r="C168">
            <v>338027</v>
          </cell>
          <cell r="D168" t="str">
            <v>EXTRAIT CULINAIRE LEG BRAISES 1441-04</v>
          </cell>
          <cell r="E168">
            <v>10.67082705882353</v>
          </cell>
          <cell r="F168">
            <v>10.67082705882353</v>
          </cell>
          <cell r="J168">
            <v>35.569423529411765</v>
          </cell>
          <cell r="L168">
            <v>2.4150010526315788</v>
          </cell>
          <cell r="M168">
            <v>73.31253195488722</v>
          </cell>
          <cell r="N168">
            <v>4.1497660784313721</v>
          </cell>
          <cell r="O168">
            <v>4.1497660784313721</v>
          </cell>
          <cell r="P168">
            <v>4.1497660784313721</v>
          </cell>
          <cell r="R168">
            <v>145.08790888987178</v>
          </cell>
        </row>
        <row r="169">
          <cell r="C169">
            <v>338069</v>
          </cell>
          <cell r="D169" t="str">
            <v xml:space="preserve">MIX SAUCE LANGUE  AROME NATUREL DL00560 </v>
          </cell>
          <cell r="E169">
            <v>660.34027562820518</v>
          </cell>
          <cell r="F169">
            <v>558.00718546581197</v>
          </cell>
          <cell r="G169">
            <v>543.62942963034186</v>
          </cell>
          <cell r="H169">
            <v>554.81711523205126</v>
          </cell>
          <cell r="I169">
            <v>942.06528781196585</v>
          </cell>
          <cell r="J169">
            <v>838.07048626923074</v>
          </cell>
          <cell r="K169">
            <v>760.83706165897433</v>
          </cell>
          <cell r="L169">
            <v>698.70407131025638</v>
          </cell>
          <cell r="M169">
            <v>787.47986486880347</v>
          </cell>
          <cell r="N169">
            <v>681.52153025256405</v>
          </cell>
          <cell r="O169">
            <v>839.0425086538462</v>
          </cell>
          <cell r="P169">
            <v>780.73686667649577</v>
          </cell>
          <cell r="R169">
            <v>8645.2516834585458</v>
          </cell>
        </row>
        <row r="170">
          <cell r="C170">
            <v>338076</v>
          </cell>
          <cell r="D170" t="str">
            <v>MIX TYPE COUSCOUS (DG00087)</v>
          </cell>
          <cell r="E170">
            <v>776.78807205340831</v>
          </cell>
          <cell r="F170">
            <v>686.4578504263352</v>
          </cell>
          <cell r="G170">
            <v>830.91520078888391</v>
          </cell>
          <cell r="H170">
            <v>710.04797029350414</v>
          </cell>
          <cell r="I170">
            <v>657.34083000010344</v>
          </cell>
          <cell r="J170">
            <v>822.73880776486919</v>
          </cell>
          <cell r="K170">
            <v>753.82744095533224</v>
          </cell>
          <cell r="L170">
            <v>730.37721557761267</v>
          </cell>
          <cell r="M170">
            <v>570.48515828505674</v>
          </cell>
          <cell r="N170">
            <v>699.708356220322</v>
          </cell>
          <cell r="O170">
            <v>786.38199702892803</v>
          </cell>
          <cell r="P170">
            <v>795.41428293257593</v>
          </cell>
          <cell r="R170">
            <v>8820.4831823269305</v>
          </cell>
        </row>
        <row r="171">
          <cell r="C171">
            <v>338077</v>
          </cell>
          <cell r="D171" t="str">
            <v>MIX GIBIER FOND AROME NATUREL CG00056</v>
          </cell>
          <cell r="H171">
            <v>118.43238611111111</v>
          </cell>
          <cell r="I171">
            <v>226.1466288888889</v>
          </cell>
          <cell r="J171">
            <v>1309.4929714359478</v>
          </cell>
          <cell r="K171">
            <v>1694.3188706869871</v>
          </cell>
          <cell r="L171">
            <v>129.72330049019607</v>
          </cell>
          <cell r="M171">
            <v>28.060055999999999</v>
          </cell>
          <cell r="P171">
            <v>14.341806399999999</v>
          </cell>
          <cell r="R171">
            <v>3520.5160200131309</v>
          </cell>
        </row>
        <row r="172">
          <cell r="C172">
            <v>338449</v>
          </cell>
          <cell r="D172" t="str">
            <v>MIX PAELLA AROME NATUREL DE00162</v>
          </cell>
          <cell r="E172">
            <v>944.43409571371922</v>
          </cell>
          <cell r="F172">
            <v>782.25921683187948</v>
          </cell>
          <cell r="G172">
            <v>1049.434607890563</v>
          </cell>
          <cell r="H172">
            <v>731.28216251784295</v>
          </cell>
          <cell r="I172">
            <v>785.11203580095162</v>
          </cell>
          <cell r="J172">
            <v>1126.6292460448058</v>
          </cell>
          <cell r="K172">
            <v>697.78756073354475</v>
          </cell>
          <cell r="L172">
            <v>595.07001970658212</v>
          </cell>
          <cell r="M172">
            <v>637.68142994845357</v>
          </cell>
          <cell r="N172">
            <v>647.28120789730372</v>
          </cell>
          <cell r="O172">
            <v>650.64699931205394</v>
          </cell>
          <cell r="P172">
            <v>925.977002668517</v>
          </cell>
          <cell r="R172">
            <v>9573.5955850662158</v>
          </cell>
        </row>
        <row r="173">
          <cell r="C173">
            <v>340381</v>
          </cell>
          <cell r="D173" t="str">
            <v>GOCHUJANG SAUCE LIQUIDE</v>
          </cell>
          <cell r="J173">
            <v>2.3288945647193584</v>
          </cell>
          <cell r="N173">
            <v>15.258051059564719</v>
          </cell>
          <cell r="O173">
            <v>0.10309</v>
          </cell>
          <cell r="R173">
            <v>17.690035624284079</v>
          </cell>
        </row>
        <row r="174">
          <cell r="C174">
            <v>343918</v>
          </cell>
          <cell r="D174" t="str">
            <v>MIX SAUCE HOISIN EE00779</v>
          </cell>
          <cell r="N174">
            <v>58.721426153846153</v>
          </cell>
          <cell r="O174">
            <v>0.86355038461538458</v>
          </cell>
          <cell r="R174">
            <v>59.58497653846154</v>
          </cell>
        </row>
        <row r="175">
          <cell r="C175">
            <v>343938</v>
          </cell>
          <cell r="D175" t="str">
            <v>AROME NATUREL TERIYAKI ( EE00639)</v>
          </cell>
          <cell r="G175">
            <v>4.3091999999999997</v>
          </cell>
          <cell r="I175">
            <v>4.3091999999999997</v>
          </cell>
          <cell r="J175">
            <v>24.588303692307694</v>
          </cell>
          <cell r="L175">
            <v>1.7236800000000001</v>
          </cell>
          <cell r="N175">
            <v>87.497595364789845</v>
          </cell>
          <cell r="O175">
            <v>0.46146230769230767</v>
          </cell>
          <cell r="P175">
            <v>15.092196</v>
          </cell>
          <cell r="R175">
            <v>137.98163736478983</v>
          </cell>
        </row>
        <row r="176">
          <cell r="C176">
            <v>350024</v>
          </cell>
          <cell r="D176" t="str">
            <v>AROME NATUREL VEAU CC00215 EN 15KG</v>
          </cell>
          <cell r="E176">
            <v>396.55729141855204</v>
          </cell>
          <cell r="F176">
            <v>295.80180332830571</v>
          </cell>
          <cell r="G176">
            <v>332.40540659832567</v>
          </cell>
          <cell r="H176">
            <v>272.91659606737056</v>
          </cell>
          <cell r="I176">
            <v>465.15927166524369</v>
          </cell>
          <cell r="J176">
            <v>995.65900780314109</v>
          </cell>
          <cell r="K176">
            <v>855.72847855952739</v>
          </cell>
          <cell r="L176">
            <v>636.73581675614071</v>
          </cell>
          <cell r="M176">
            <v>676.61203760259514</v>
          </cell>
          <cell r="N176">
            <v>829.64536597474228</v>
          </cell>
          <cell r="O176">
            <v>495.44008060569769</v>
          </cell>
          <cell r="P176">
            <v>733.71514924432108</v>
          </cell>
          <cell r="R176">
            <v>6986.3763056239632</v>
          </cell>
        </row>
        <row r="177">
          <cell r="C177">
            <v>350026</v>
          </cell>
          <cell r="D177" t="str">
            <v>AROME NATUREL FOND DE BOEUF CA00650 EN 15KG</v>
          </cell>
          <cell r="E177">
            <v>211.98871949328449</v>
          </cell>
          <cell r="F177">
            <v>252.86598182081806</v>
          </cell>
          <cell r="G177">
            <v>233.97755039566545</v>
          </cell>
          <cell r="H177">
            <v>152.63547399557388</v>
          </cell>
          <cell r="I177">
            <v>175.39335731379731</v>
          </cell>
          <cell r="J177">
            <v>598.46367460809449</v>
          </cell>
          <cell r="K177">
            <v>454.12135743157006</v>
          </cell>
          <cell r="L177">
            <v>421.55809859410573</v>
          </cell>
          <cell r="M177">
            <v>318.03632897594628</v>
          </cell>
          <cell r="N177">
            <v>319.30582673061662</v>
          </cell>
          <cell r="O177">
            <v>362.35389260909648</v>
          </cell>
          <cell r="P177">
            <v>379.39999135518389</v>
          </cell>
          <cell r="R177">
            <v>3880.1002533237524</v>
          </cell>
        </row>
        <row r="178">
          <cell r="C178">
            <v>350027</v>
          </cell>
          <cell r="D178" t="str">
            <v>AROME NATUREL VOLAILLE CD00954 EN 15KG</v>
          </cell>
          <cell r="E178">
            <v>195.96360212029751</v>
          </cell>
          <cell r="F178">
            <v>367.42841087028427</v>
          </cell>
          <cell r="G178">
            <v>431.87862523788993</v>
          </cell>
          <cell r="H178">
            <v>333.92028131249464</v>
          </cell>
          <cell r="I178">
            <v>299.98078663735475</v>
          </cell>
          <cell r="J178">
            <v>563.66716197329652</v>
          </cell>
          <cell r="K178">
            <v>414.76300007755174</v>
          </cell>
          <cell r="L178">
            <v>197.63172303324981</v>
          </cell>
          <cell r="M178">
            <v>163.43268565760999</v>
          </cell>
          <cell r="N178">
            <v>486.41119563889038</v>
          </cell>
          <cell r="O178">
            <v>362.97427075407961</v>
          </cell>
          <cell r="P178">
            <v>382.41364463871861</v>
          </cell>
          <cell r="R178">
            <v>4200.4653879517173</v>
          </cell>
        </row>
        <row r="179">
          <cell r="C179">
            <v>350028</v>
          </cell>
          <cell r="D179" t="str">
            <v>AROME NATUREL FOND DE CANARD CD00953 EN 15KG</v>
          </cell>
          <cell r="E179">
            <v>159.93197841638795</v>
          </cell>
          <cell r="F179">
            <v>63.97477181730769</v>
          </cell>
          <cell r="G179">
            <v>63.665511115384618</v>
          </cell>
          <cell r="H179">
            <v>61.236317721153846</v>
          </cell>
          <cell r="I179">
            <v>70.83857798076923</v>
          </cell>
          <cell r="J179">
            <v>290.70651101192863</v>
          </cell>
          <cell r="K179">
            <v>101.55438099145299</v>
          </cell>
          <cell r="L179">
            <v>170.29250916125611</v>
          </cell>
          <cell r="M179">
            <v>291.83931822398341</v>
          </cell>
          <cell r="N179">
            <v>413.84260250861206</v>
          </cell>
          <cell r="O179">
            <v>75.967185303846151</v>
          </cell>
          <cell r="P179">
            <v>207.32047390184377</v>
          </cell>
          <cell r="R179">
            <v>1971.1701381539267</v>
          </cell>
        </row>
        <row r="180">
          <cell r="C180">
            <v>350056</v>
          </cell>
          <cell r="D180" t="str">
            <v>FOND DE VOLAILLE ROTIE - LES CUISINES (3333-10)</v>
          </cell>
          <cell r="E180">
            <v>96.6</v>
          </cell>
          <cell r="F180">
            <v>23.184000000000001</v>
          </cell>
          <cell r="G180">
            <v>23.184000000000001</v>
          </cell>
          <cell r="H180">
            <v>25.116</v>
          </cell>
          <cell r="I180">
            <v>30.911999999999999</v>
          </cell>
          <cell r="J180">
            <v>57.96</v>
          </cell>
          <cell r="K180">
            <v>184.07721568627451</v>
          </cell>
          <cell r="N180">
            <v>23.184000000000001</v>
          </cell>
          <cell r="O180">
            <v>23.184000000000001</v>
          </cell>
          <cell r="P180">
            <v>23.184000000000001</v>
          </cell>
          <cell r="R180">
            <v>510.58521568627458</v>
          </cell>
        </row>
        <row r="181">
          <cell r="C181">
            <v>370004</v>
          </cell>
          <cell r="D181" t="str">
            <v>COMPLET S/DEST VIANDES CUITES  EM00014</v>
          </cell>
          <cell r="E181">
            <v>375.63526504793759</v>
          </cell>
          <cell r="F181">
            <v>241.72220631739438</v>
          </cell>
          <cell r="G181">
            <v>274.70410569597112</v>
          </cell>
          <cell r="H181">
            <v>298.07115020246948</v>
          </cell>
          <cell r="I181">
            <v>413.97779846441841</v>
          </cell>
          <cell r="J181">
            <v>1693.6958404881314</v>
          </cell>
          <cell r="K181">
            <v>1831.4414977754238</v>
          </cell>
          <cell r="L181">
            <v>619.29839113698438</v>
          </cell>
          <cell r="M181">
            <v>410.45631947922703</v>
          </cell>
          <cell r="N181">
            <v>954.91400844751024</v>
          </cell>
          <cell r="O181">
            <v>359.1419028125232</v>
          </cell>
          <cell r="P181">
            <v>676.69897672664433</v>
          </cell>
          <cell r="R181">
            <v>8149.7574625946354</v>
          </cell>
        </row>
        <row r="182">
          <cell r="C182">
            <v>338252</v>
          </cell>
          <cell r="D182" t="str">
            <v>BASILIC FLOCONS</v>
          </cell>
          <cell r="E182">
            <v>101.03083559401709</v>
          </cell>
          <cell r="F182">
            <v>109.3604481965812</v>
          </cell>
          <cell r="G182">
            <v>104.56941936965812</v>
          </cell>
          <cell r="H182">
            <v>130.40533222674711</v>
          </cell>
          <cell r="I182">
            <v>107.0180007094017</v>
          </cell>
          <cell r="J182">
            <v>143.73120850854701</v>
          </cell>
          <cell r="K182">
            <v>107.75926237606838</v>
          </cell>
          <cell r="L182">
            <v>100.64019652991453</v>
          </cell>
          <cell r="M182">
            <v>89.368233354700848</v>
          </cell>
          <cell r="N182">
            <v>92.494460833333335</v>
          </cell>
          <cell r="O182">
            <v>106.74205845619659</v>
          </cell>
          <cell r="P182">
            <v>98.138943769230764</v>
          </cell>
          <cell r="R182">
            <v>1291.2583999243968</v>
          </cell>
        </row>
        <row r="183">
          <cell r="C183">
            <v>338279</v>
          </cell>
          <cell r="D183" t="str">
            <v>CORIANDRE FLOCON</v>
          </cell>
          <cell r="E183">
            <v>90.547798005092133</v>
          </cell>
          <cell r="F183">
            <v>55.259087433281806</v>
          </cell>
          <cell r="G183">
            <v>57.329486450840335</v>
          </cell>
          <cell r="H183">
            <v>57.707207844498846</v>
          </cell>
          <cell r="I183">
            <v>52.090300718042577</v>
          </cell>
          <cell r="J183">
            <v>107.23876098610106</v>
          </cell>
          <cell r="K183">
            <v>347.80516230048664</v>
          </cell>
          <cell r="L183">
            <v>33.744950085702342</v>
          </cell>
          <cell r="M183">
            <v>18.00619428846154</v>
          </cell>
          <cell r="N183">
            <v>195.59714530796813</v>
          </cell>
          <cell r="O183">
            <v>104.29029657710342</v>
          </cell>
          <cell r="P183">
            <v>42.789405977796356</v>
          </cell>
          <cell r="R183">
            <v>1162.4057959753752</v>
          </cell>
        </row>
        <row r="184">
          <cell r="C184">
            <v>338305</v>
          </cell>
          <cell r="D184" t="str">
            <v>MENTHE DOUCE 1-8 MM</v>
          </cell>
          <cell r="E184">
            <v>12.753189565217392</v>
          </cell>
          <cell r="F184">
            <v>13.076053913043479</v>
          </cell>
          <cell r="G184">
            <v>19.335247826086956</v>
          </cell>
          <cell r="H184">
            <v>14.697722173913043</v>
          </cell>
          <cell r="I184">
            <v>11.924013043478261</v>
          </cell>
          <cell r="J184">
            <v>15.904802173913044</v>
          </cell>
          <cell r="K184">
            <v>17.298991304347826</v>
          </cell>
          <cell r="L184">
            <v>17.541139565217392</v>
          </cell>
          <cell r="M184">
            <v>8.5603418260869564</v>
          </cell>
          <cell r="N184">
            <v>14.686714347826086</v>
          </cell>
          <cell r="O184">
            <v>19.63609652173913</v>
          </cell>
          <cell r="P184">
            <v>20.358879999999999</v>
          </cell>
          <cell r="R184">
            <v>185.77319226086956</v>
          </cell>
        </row>
        <row r="185">
          <cell r="C185">
            <v>338322</v>
          </cell>
          <cell r="D185" t="str">
            <v>OSEILLE GROS FLOCONS</v>
          </cell>
          <cell r="E185">
            <v>595.39100792307693</v>
          </cell>
          <cell r="F185">
            <v>599.09094950769236</v>
          </cell>
          <cell r="G185">
            <v>417.30168541538461</v>
          </cell>
          <cell r="H185">
            <v>574.0405518595777</v>
          </cell>
          <cell r="I185">
            <v>394.15188640000002</v>
          </cell>
          <cell r="J185">
            <v>411.41670826666666</v>
          </cell>
          <cell r="K185">
            <v>453.61457840512821</v>
          </cell>
          <cell r="L185">
            <v>588.01828222051279</v>
          </cell>
          <cell r="M185">
            <v>553.59345034615387</v>
          </cell>
          <cell r="N185">
            <v>462.80307623076925</v>
          </cell>
          <cell r="O185">
            <v>422.92304235897439</v>
          </cell>
          <cell r="P185">
            <v>422.92304235897439</v>
          </cell>
          <cell r="R185">
            <v>5895.2682612929111</v>
          </cell>
        </row>
        <row r="186">
          <cell r="C186">
            <v>338325</v>
          </cell>
          <cell r="D186" t="str">
            <v>PERSIL STANDARD</v>
          </cell>
          <cell r="E186">
            <v>446.6362900366164</v>
          </cell>
          <cell r="F186">
            <v>490.39153269856962</v>
          </cell>
          <cell r="G186">
            <v>455.68764855957767</v>
          </cell>
          <cell r="H186">
            <v>542.0528612426873</v>
          </cell>
          <cell r="I186">
            <v>630.12526896342388</v>
          </cell>
          <cell r="J186">
            <v>671.87558820236302</v>
          </cell>
          <cell r="K186">
            <v>637.39022576431876</v>
          </cell>
          <cell r="L186">
            <v>232.42096112466317</v>
          </cell>
          <cell r="M186">
            <v>603.57497961957472</v>
          </cell>
          <cell r="N186">
            <v>402.25174638532178</v>
          </cell>
          <cell r="O186">
            <v>444.0921590921443</v>
          </cell>
          <cell r="P186">
            <v>498.20019130686501</v>
          </cell>
          <cell r="R186">
            <v>6054.6994529961266</v>
          </cell>
        </row>
        <row r="187">
          <cell r="C187">
            <v>338348</v>
          </cell>
          <cell r="D187" t="str">
            <v>THYM POINTES SGL</v>
          </cell>
          <cell r="E187">
            <v>78.380182284346219</v>
          </cell>
          <cell r="F187">
            <v>72.502682059427627</v>
          </cell>
          <cell r="G187">
            <v>72.705539980980632</v>
          </cell>
          <cell r="H187">
            <v>77.14838828576076</v>
          </cell>
          <cell r="I187">
            <v>81.791140770365772</v>
          </cell>
          <cell r="J187">
            <v>115.16946296555463</v>
          </cell>
          <cell r="K187">
            <v>130.12110411613787</v>
          </cell>
          <cell r="L187">
            <v>42.075840387607727</v>
          </cell>
          <cell r="M187">
            <v>85.491837528970791</v>
          </cell>
          <cell r="N187">
            <v>62.02145228193352</v>
          </cell>
          <cell r="O187">
            <v>63.815657707240227</v>
          </cell>
          <cell r="P187">
            <v>105.51083150026757</v>
          </cell>
          <cell r="R187">
            <v>986.73411986859344</v>
          </cell>
        </row>
        <row r="188">
          <cell r="C188">
            <v>345558</v>
          </cell>
          <cell r="D188" t="str">
            <v>COMBAWA FEUILLES SGL</v>
          </cell>
          <cell r="E188">
            <v>8.0043139969834094</v>
          </cell>
          <cell r="F188">
            <v>6.5840332019405698</v>
          </cell>
          <cell r="G188">
            <v>5.9580065682387149</v>
          </cell>
          <cell r="H188">
            <v>7.9609316305660514</v>
          </cell>
          <cell r="I188">
            <v>10.885089349048634</v>
          </cell>
          <cell r="J188">
            <v>11.421450274862258</v>
          </cell>
          <cell r="K188">
            <v>10.9168934821933</v>
          </cell>
          <cell r="L188">
            <v>2.8389772878667725</v>
          </cell>
          <cell r="M188">
            <v>3.7849942539767691</v>
          </cell>
          <cell r="N188">
            <v>6.5744043109784229</v>
          </cell>
          <cell r="O188">
            <v>6.3039812094354</v>
          </cell>
          <cell r="P188">
            <v>6.43002914757973</v>
          </cell>
          <cell r="R188">
            <v>87.663104713670037</v>
          </cell>
        </row>
        <row r="189">
          <cell r="C189">
            <v>346662</v>
          </cell>
          <cell r="D189" t="str">
            <v>GINGEMBRE CUBE 4X4X4 CGL</v>
          </cell>
          <cell r="E189">
            <v>301.59442468567119</v>
          </cell>
          <cell r="F189">
            <v>205.4766986574721</v>
          </cell>
          <cell r="G189">
            <v>230.65095373092564</v>
          </cell>
          <cell r="H189">
            <v>212.15749416572953</v>
          </cell>
          <cell r="I189">
            <v>360.26164397829939</v>
          </cell>
          <cell r="J189">
            <v>579.92721569514197</v>
          </cell>
          <cell r="K189">
            <v>450.11623091533698</v>
          </cell>
          <cell r="L189">
            <v>138.18796072528039</v>
          </cell>
          <cell r="M189">
            <v>260.73630214223743</v>
          </cell>
          <cell r="N189">
            <v>953.07480349320087</v>
          </cell>
          <cell r="O189">
            <v>148.56456473267545</v>
          </cell>
          <cell r="P189">
            <v>279.21527234402305</v>
          </cell>
          <cell r="R189">
            <v>4119.9635652659936</v>
          </cell>
        </row>
        <row r="190">
          <cell r="C190">
            <v>347199</v>
          </cell>
          <cell r="D190" t="str">
            <v xml:space="preserve">ZESTE CITRON JAUNE LANIERE IQF </v>
          </cell>
          <cell r="E190">
            <v>27.060819335748793</v>
          </cell>
          <cell r="F190">
            <v>26.398212212560388</v>
          </cell>
          <cell r="G190">
            <v>33.722240908212562</v>
          </cell>
          <cell r="H190">
            <v>31.070162657004833</v>
          </cell>
          <cell r="I190">
            <v>28.518178855072463</v>
          </cell>
          <cell r="J190">
            <v>27.627391444444445</v>
          </cell>
          <cell r="K190">
            <v>30.992770417874397</v>
          </cell>
          <cell r="L190">
            <v>30.684078691223831</v>
          </cell>
          <cell r="M190">
            <v>76.531037168679546</v>
          </cell>
          <cell r="N190">
            <v>25.855282693236713</v>
          </cell>
          <cell r="O190">
            <v>33.727475635265698</v>
          </cell>
          <cell r="P190">
            <v>38.650597801932371</v>
          </cell>
          <cell r="R190">
            <v>410.83824782125606</v>
          </cell>
        </row>
        <row r="191">
          <cell r="C191">
            <v>340999</v>
          </cell>
          <cell r="D191" t="str">
            <v>FARINE MANIOC HOMECRAFT CREATE 365 tapioca</v>
          </cell>
          <cell r="E191">
            <v>2066.317654423015</v>
          </cell>
          <cell r="F191">
            <v>1892.4400603330537</v>
          </cell>
          <cell r="G191">
            <v>2005.3413000872551</v>
          </cell>
          <cell r="H191">
            <v>1896.4135336909192</v>
          </cell>
          <cell r="I191">
            <v>2515.8381201201446</v>
          </cell>
          <cell r="J191">
            <v>4247.8536002761148</v>
          </cell>
          <cell r="K191">
            <v>3580.9109919719695</v>
          </cell>
          <cell r="L191">
            <v>1993.5167345066875</v>
          </cell>
          <cell r="M191">
            <v>2807.5572888046704</v>
          </cell>
          <cell r="N191">
            <v>3584.557462602098</v>
          </cell>
          <cell r="O191">
            <v>2033.417435449159</v>
          </cell>
          <cell r="P191">
            <v>2461.4882191149754</v>
          </cell>
          <cell r="R191">
            <v>31085.652401380059</v>
          </cell>
        </row>
        <row r="192">
          <cell r="C192">
            <v>400001</v>
          </cell>
          <cell r="D192" t="str">
            <v>FILM SV  PP LID39ZAP L470</v>
          </cell>
          <cell r="E192">
            <v>2.2466400000000002</v>
          </cell>
          <cell r="F192">
            <v>0.82984000000000002</v>
          </cell>
          <cell r="G192">
            <v>3.28992</v>
          </cell>
          <cell r="H192">
            <v>1.0524800000000001</v>
          </cell>
          <cell r="I192">
            <v>1.21624</v>
          </cell>
          <cell r="J192">
            <v>8.6636399999999991</v>
          </cell>
          <cell r="K192">
            <v>2.95688</v>
          </cell>
          <cell r="L192">
            <v>1.7488999999999999</v>
          </cell>
          <cell r="M192">
            <v>14.580539999999999</v>
          </cell>
          <cell r="N192">
            <v>8.9239999999999995</v>
          </cell>
          <cell r="O192">
            <v>1.2190000000000001</v>
          </cell>
          <cell r="P192">
            <v>6.5862800000000004</v>
          </cell>
          <cell r="R192">
            <v>53.314360000000001</v>
          </cell>
        </row>
        <row r="193">
          <cell r="C193">
            <v>438150</v>
          </cell>
          <cell r="D193" t="str">
            <v>FILM  LINTHERM 125 - 523x500m</v>
          </cell>
          <cell r="K193">
            <v>40.4</v>
          </cell>
          <cell r="L193">
            <v>671.65</v>
          </cell>
          <cell r="P193">
            <v>171.7</v>
          </cell>
          <cell r="R193">
            <v>883.75</v>
          </cell>
        </row>
        <row r="194">
          <cell r="C194">
            <v>440357</v>
          </cell>
          <cell r="D194" t="str">
            <v>FILM  LINTHERM 220 LAIZE 523+</v>
          </cell>
          <cell r="K194">
            <v>40.4</v>
          </cell>
          <cell r="L194">
            <v>671.65</v>
          </cell>
          <cell r="P194">
            <v>171.7</v>
          </cell>
          <cell r="R194">
            <v>883.75</v>
          </cell>
        </row>
        <row r="195">
          <cell r="C195">
            <v>445682</v>
          </cell>
          <cell r="D195" t="str">
            <v>FILM SV BQ PP LID39ZAP L320</v>
          </cell>
          <cell r="E195">
            <v>5370.9120000000003</v>
          </cell>
          <cell r="F195">
            <v>4578.78</v>
          </cell>
          <cell r="G195">
            <v>4035.3240000000001</v>
          </cell>
          <cell r="H195">
            <v>4362.3360000000002</v>
          </cell>
          <cell r="I195">
            <v>4446.18</v>
          </cell>
          <cell r="J195">
            <v>3606.72</v>
          </cell>
          <cell r="K195">
            <v>3909.252</v>
          </cell>
          <cell r="L195">
            <v>2976.768</v>
          </cell>
          <cell r="M195">
            <v>3177.5039999999999</v>
          </cell>
          <cell r="N195">
            <v>3260.7359999999999</v>
          </cell>
          <cell r="O195">
            <v>3390.48</v>
          </cell>
          <cell r="P195">
            <v>3064.8960000000002</v>
          </cell>
          <cell r="R195">
            <v>46179.887999999999</v>
          </cell>
        </row>
        <row r="196">
          <cell r="C196">
            <v>445684</v>
          </cell>
          <cell r="D196" t="str">
            <v>FILM SV BQ PP LID39ZAP L440</v>
          </cell>
          <cell r="E196">
            <v>469.2</v>
          </cell>
          <cell r="F196">
            <v>455.4</v>
          </cell>
          <cell r="G196">
            <v>441.6</v>
          </cell>
          <cell r="H196">
            <v>427.8</v>
          </cell>
          <cell r="I196">
            <v>414</v>
          </cell>
          <cell r="J196">
            <v>414</v>
          </cell>
          <cell r="K196">
            <v>441.6</v>
          </cell>
          <cell r="L196">
            <v>441.6</v>
          </cell>
          <cell r="M196">
            <v>427.8</v>
          </cell>
          <cell r="N196">
            <v>483</v>
          </cell>
          <cell r="O196">
            <v>483</v>
          </cell>
          <cell r="P196">
            <v>483</v>
          </cell>
          <cell r="R196">
            <v>5382</v>
          </cell>
        </row>
        <row r="197">
          <cell r="C197">
            <v>445685</v>
          </cell>
          <cell r="D197" t="str">
            <v>FILM SV LID39 ZAP L360 BQT SURG</v>
          </cell>
          <cell r="E197">
            <v>2192</v>
          </cell>
          <cell r="F197">
            <v>1712</v>
          </cell>
          <cell r="G197">
            <v>1896</v>
          </cell>
          <cell r="H197">
            <v>624</v>
          </cell>
          <cell r="I197">
            <v>1632</v>
          </cell>
          <cell r="J197">
            <v>2832</v>
          </cell>
          <cell r="K197">
            <v>2400</v>
          </cell>
          <cell r="N197">
            <v>720</v>
          </cell>
          <cell r="O197">
            <v>696</v>
          </cell>
          <cell r="P197">
            <v>672</v>
          </cell>
          <cell r="R197">
            <v>15376</v>
          </cell>
        </row>
        <row r="198">
          <cell r="C198">
            <v>445686</v>
          </cell>
          <cell r="D198" t="str">
            <v>FILM OSF33 ZA LZ L 360 BQT CARTON SURG</v>
          </cell>
          <cell r="E198">
            <v>11749.12</v>
          </cell>
          <cell r="F198">
            <v>12069.12</v>
          </cell>
          <cell r="G198">
            <v>9600</v>
          </cell>
          <cell r="H198">
            <v>15509.12</v>
          </cell>
          <cell r="I198">
            <v>16880</v>
          </cell>
          <cell r="J198">
            <v>17200</v>
          </cell>
          <cell r="K198">
            <v>23269.119999999999</v>
          </cell>
          <cell r="M198">
            <v>138.24</v>
          </cell>
          <cell r="N198">
            <v>8309.1200000000008</v>
          </cell>
          <cell r="O198">
            <v>11520</v>
          </cell>
          <cell r="P198">
            <v>7269.12</v>
          </cell>
          <cell r="R198">
            <v>133512.96000000002</v>
          </cell>
        </row>
        <row r="199">
          <cell r="C199">
            <v>447032</v>
          </cell>
          <cell r="D199" t="str">
            <v>FILM TH 200µ MAND PLAST CN2080 L523</v>
          </cell>
          <cell r="E199">
            <v>13675.073922210519</v>
          </cell>
          <cell r="F199">
            <v>10858.131476249735</v>
          </cell>
          <cell r="G199">
            <v>10060.672079557011</v>
          </cell>
          <cell r="H199">
            <v>9888.52116143276</v>
          </cell>
          <cell r="I199">
            <v>11789.639282738312</v>
          </cell>
          <cell r="J199">
            <v>26665.565356193514</v>
          </cell>
          <cell r="K199">
            <v>27294.544371452619</v>
          </cell>
          <cell r="L199">
            <v>18510.873287355771</v>
          </cell>
          <cell r="M199">
            <v>17570.094789845385</v>
          </cell>
          <cell r="N199">
            <v>26564.606391349553</v>
          </cell>
          <cell r="O199">
            <v>11016.652972761438</v>
          </cell>
          <cell r="P199">
            <v>12349.365091954705</v>
          </cell>
          <cell r="R199">
            <v>196243.7401831013</v>
          </cell>
        </row>
        <row r="200">
          <cell r="C200">
            <v>447568</v>
          </cell>
          <cell r="D200" t="str">
            <v>FILM UF BQ PP LID39ZAP L420</v>
          </cell>
          <cell r="E200">
            <v>8166.1164665384613</v>
          </cell>
          <cell r="F200">
            <v>7096.7554773076927</v>
          </cell>
          <cell r="G200">
            <v>6572.94</v>
          </cell>
          <cell r="H200">
            <v>6523.9847305769226</v>
          </cell>
          <cell r="I200">
            <v>7539.5367321153844</v>
          </cell>
          <cell r="J200">
            <v>9916.5043523076929</v>
          </cell>
          <cell r="K200">
            <v>10007.482971538462</v>
          </cell>
          <cell r="L200">
            <v>8696.4194688461539</v>
          </cell>
          <cell r="M200">
            <v>6964.6969784615385</v>
          </cell>
          <cell r="N200">
            <v>12325.653095384616</v>
          </cell>
          <cell r="O200">
            <v>7491.492378615385</v>
          </cell>
          <cell r="P200">
            <v>8710.1289761538465</v>
          </cell>
          <cell r="R200">
            <v>100011.71162784616</v>
          </cell>
        </row>
        <row r="201">
          <cell r="C201">
            <v>447569</v>
          </cell>
          <cell r="D201" t="str">
            <v>FILM THERMO CN2040C 100 microns L523</v>
          </cell>
          <cell r="E201">
            <v>6707.6819222105196</v>
          </cell>
          <cell r="F201">
            <v>6994.9554762497355</v>
          </cell>
          <cell r="G201">
            <v>8702.2960795570107</v>
          </cell>
          <cell r="H201">
            <v>6502.13716143276</v>
          </cell>
          <cell r="I201">
            <v>8149.8892827383106</v>
          </cell>
          <cell r="J201">
            <v>15434.371356193515</v>
          </cell>
          <cell r="K201">
            <v>11205.390371452619</v>
          </cell>
          <cell r="L201">
            <v>7908.1832873557696</v>
          </cell>
          <cell r="M201">
            <v>7312.8967898453848</v>
          </cell>
          <cell r="N201">
            <v>12646.814391349553</v>
          </cell>
          <cell r="O201">
            <v>7540.3069727614375</v>
          </cell>
          <cell r="P201">
            <v>9721.3470919547053</v>
          </cell>
          <cell r="R201">
            <v>108826.27018310133</v>
          </cell>
        </row>
        <row r="202">
          <cell r="C202">
            <v>447579</v>
          </cell>
          <cell r="D202" t="str">
            <v>FILM UF BQ PP LID39ZAP L210</v>
          </cell>
          <cell r="E202">
            <v>12958.764999999999</v>
          </cell>
          <cell r="F202">
            <v>12049.4485</v>
          </cell>
          <cell r="G202">
            <v>11772.6185</v>
          </cell>
          <cell r="H202">
            <v>12034.4285</v>
          </cell>
          <cell r="I202">
            <v>11890.1945</v>
          </cell>
          <cell r="J202">
            <v>13835.754000000001</v>
          </cell>
          <cell r="K202">
            <v>12732.130999999999</v>
          </cell>
          <cell r="L202">
            <v>11291.554749999999</v>
          </cell>
          <cell r="M202">
            <v>11230.847750000001</v>
          </cell>
          <cell r="N202">
            <v>14553.02325</v>
          </cell>
          <cell r="O202">
            <v>11732.585999999999</v>
          </cell>
          <cell r="P202">
            <v>12496.595499999999</v>
          </cell>
          <cell r="R202">
            <v>148577.94725</v>
          </cell>
        </row>
        <row r="203">
          <cell r="C203">
            <v>336874</v>
          </cell>
          <cell r="D203" t="str">
            <v>HARICOT ROUGE POCHE 5/1 (PNE 2.505)</v>
          </cell>
          <cell r="E203">
            <v>695.8829104781297</v>
          </cell>
          <cell r="F203">
            <v>80.604926250000005</v>
          </cell>
          <cell r="G203">
            <v>86.805305192307699</v>
          </cell>
          <cell r="H203">
            <v>89.285456769230763</v>
          </cell>
          <cell r="I203">
            <v>74.404547307692312</v>
          </cell>
          <cell r="J203">
            <v>393.10402494230772</v>
          </cell>
          <cell r="K203">
            <v>89.285456769230763</v>
          </cell>
          <cell r="L203">
            <v>89.285456769230763</v>
          </cell>
          <cell r="M203">
            <v>66.964092576923079</v>
          </cell>
          <cell r="N203">
            <v>89.285456769230763</v>
          </cell>
          <cell r="O203">
            <v>1358.4038137461037</v>
          </cell>
          <cell r="P203">
            <v>86.805305192307699</v>
          </cell>
          <cell r="R203">
            <v>3200.1167527626944</v>
          </cell>
        </row>
        <row r="204">
          <cell r="C204">
            <v>338352</v>
          </cell>
          <cell r="D204" t="str">
            <v>TOMATES CONCASSÉES</v>
          </cell>
          <cell r="E204">
            <v>15032.317463195644</v>
          </cell>
          <cell r="F204">
            <v>15462.981825862658</v>
          </cell>
          <cell r="G204">
            <v>14622.089122620282</v>
          </cell>
          <cell r="H204">
            <v>15085.705889049581</v>
          </cell>
          <cell r="I204">
            <v>14629.092707858426</v>
          </cell>
          <cell r="J204">
            <v>20669.05773092846</v>
          </cell>
          <cell r="K204">
            <v>21166.6217502123</v>
          </cell>
          <cell r="L204">
            <v>9027.5959393788016</v>
          </cell>
          <cell r="M204">
            <v>8071.5318513053435</v>
          </cell>
          <cell r="N204">
            <v>14020.681993590739</v>
          </cell>
          <cell r="O204">
            <v>15628.996287639082</v>
          </cell>
          <cell r="P204">
            <v>12591.818626277001</v>
          </cell>
          <cell r="R204">
            <v>176008.49118791832</v>
          </cell>
        </row>
        <row r="205">
          <cell r="C205">
            <v>338353</v>
          </cell>
          <cell r="D205" t="str">
            <v>TOMATE COULIS 10/12 BRIX</v>
          </cell>
          <cell r="E205">
            <v>3460.6259111199097</v>
          </cell>
          <cell r="F205">
            <v>1178.5256469230769</v>
          </cell>
          <cell r="G205">
            <v>1666.4965127759197</v>
          </cell>
          <cell r="H205">
            <v>815.03041846153849</v>
          </cell>
          <cell r="I205">
            <v>997.92133506410255</v>
          </cell>
          <cell r="J205">
            <v>1827.4966513015609</v>
          </cell>
          <cell r="K205">
            <v>1086.5085374358973</v>
          </cell>
          <cell r="L205">
            <v>815.03041846153849</v>
          </cell>
          <cell r="M205">
            <v>785.92218923076928</v>
          </cell>
          <cell r="N205">
            <v>1064.3630846153847</v>
          </cell>
          <cell r="O205">
            <v>5355.8129542508796</v>
          </cell>
          <cell r="P205">
            <v>1692.4492233779265</v>
          </cell>
          <cell r="R205">
            <v>20746.182883018504</v>
          </cell>
        </row>
        <row r="206">
          <cell r="C206">
            <v>338354</v>
          </cell>
          <cell r="D206" t="str">
            <v>TOMATE CONCENTRE 28/30 BRIX</v>
          </cell>
          <cell r="E206">
            <v>3458.8629013296886</v>
          </cell>
          <cell r="F206">
            <v>3227.6394246116993</v>
          </cell>
          <cell r="G206">
            <v>3336.4709791038676</v>
          </cell>
          <cell r="H206">
            <v>3004.0603951692483</v>
          </cell>
          <cell r="I206">
            <v>3851.0212271481</v>
          </cell>
          <cell r="J206">
            <v>5509.1992955296082</v>
          </cell>
          <cell r="K206">
            <v>4963.5976610824473</v>
          </cell>
          <cell r="L206">
            <v>3186.662809050209</v>
          </cell>
          <cell r="M206">
            <v>3547.5663824264957</v>
          </cell>
          <cell r="N206">
            <v>3863.8026929608236</v>
          </cell>
          <cell r="O206">
            <v>4004.1366551243386</v>
          </cell>
          <cell r="P206">
            <v>3622.9685256484286</v>
          </cell>
          <cell r="R206">
            <v>45575.988949184961</v>
          </cell>
        </row>
        <row r="207">
          <cell r="C207">
            <v>338059</v>
          </cell>
          <cell r="D207" t="str">
            <v>PAPRIKA MOULU</v>
          </cell>
          <cell r="E207">
            <v>33.245830148667501</v>
          </cell>
          <cell r="F207">
            <v>42.481606956854378</v>
          </cell>
          <cell r="G207">
            <v>46.318299858034628</v>
          </cell>
          <cell r="H207">
            <v>43.626993171755352</v>
          </cell>
          <cell r="I207">
            <v>28.264940865133234</v>
          </cell>
          <cell r="J207">
            <v>47.097321047965458</v>
          </cell>
          <cell r="K207">
            <v>22.659063828557063</v>
          </cell>
          <cell r="L207">
            <v>17.51058806837607</v>
          </cell>
          <cell r="M207">
            <v>14.494570278846155</v>
          </cell>
          <cell r="N207">
            <v>43.066431758013231</v>
          </cell>
          <cell r="O207">
            <v>38.712406313662648</v>
          </cell>
          <cell r="P207">
            <v>47.126450155542983</v>
          </cell>
          <cell r="R207">
            <v>424.60450245140873</v>
          </cell>
        </row>
        <row r="208">
          <cell r="C208">
            <v>338187</v>
          </cell>
          <cell r="D208" t="str">
            <v>CANNELLE POUDRE</v>
          </cell>
          <cell r="E208">
            <v>3.3541619420289854</v>
          </cell>
          <cell r="F208">
            <v>6.5287206900493056</v>
          </cell>
          <cell r="G208">
            <v>15.622004869397131</v>
          </cell>
          <cell r="H208">
            <v>10.519576774256686</v>
          </cell>
          <cell r="I208">
            <v>4.4697230869565221</v>
          </cell>
          <cell r="J208">
            <v>11.109339081961348</v>
          </cell>
          <cell r="K208">
            <v>18.374681683923502</v>
          </cell>
          <cell r="L208">
            <v>2.9401807826086959</v>
          </cell>
          <cell r="M208">
            <v>1.6137574710144929</v>
          </cell>
          <cell r="N208">
            <v>6.4365196644370126</v>
          </cell>
          <cell r="O208">
            <v>3.1281240925306579</v>
          </cell>
          <cell r="P208">
            <v>3.6297241159420288</v>
          </cell>
          <cell r="R208">
            <v>87.726514255106352</v>
          </cell>
        </row>
        <row r="209">
          <cell r="C209">
            <v>338188</v>
          </cell>
          <cell r="D209" t="str">
            <v>CARDAMOME POUDRE</v>
          </cell>
          <cell r="F209">
            <v>1.1286270066889632</v>
          </cell>
          <cell r="G209">
            <v>7.1284417391304347</v>
          </cell>
          <cell r="I209">
            <v>7.1284417391304347</v>
          </cell>
          <cell r="J209">
            <v>24.608241712409061</v>
          </cell>
          <cell r="K209">
            <v>14.301960784313726</v>
          </cell>
          <cell r="L209">
            <v>0.55728</v>
          </cell>
          <cell r="M209">
            <v>1.3406400000000001</v>
          </cell>
          <cell r="N209">
            <v>51.725911879771061</v>
          </cell>
          <cell r="O209">
            <v>0.35357870234113714</v>
          </cell>
          <cell r="P209">
            <v>10.952302173913044</v>
          </cell>
          <cell r="R209">
            <v>119.22542573769786</v>
          </cell>
        </row>
        <row r="210">
          <cell r="C210">
            <v>338192</v>
          </cell>
          <cell r="D210" t="str">
            <v>CUMIN POUDRE</v>
          </cell>
          <cell r="E210">
            <v>133.28200467593373</v>
          </cell>
          <cell r="F210">
            <v>116.11675241681704</v>
          </cell>
          <cell r="G210">
            <v>142.06123124439091</v>
          </cell>
          <cell r="H210">
            <v>124.64654299737536</v>
          </cell>
          <cell r="I210">
            <v>80.159431475994822</v>
          </cell>
          <cell r="J210">
            <v>131.26235454462997</v>
          </cell>
          <cell r="K210">
            <v>149.76761494561117</v>
          </cell>
          <cell r="L210">
            <v>54.947919923751179</v>
          </cell>
          <cell r="M210">
            <v>46.693863343007621</v>
          </cell>
          <cell r="N210">
            <v>98.877508938124222</v>
          </cell>
          <cell r="O210">
            <v>88.088563466885503</v>
          </cell>
          <cell r="P210">
            <v>68.74915350491807</v>
          </cell>
          <cell r="R210">
            <v>1234.6529414774395</v>
          </cell>
        </row>
        <row r="211">
          <cell r="C211">
            <v>338194</v>
          </cell>
          <cell r="D211" t="str">
            <v>CURRY MADRAS</v>
          </cell>
          <cell r="E211">
            <v>11.924665444444445</v>
          </cell>
          <cell r="F211">
            <v>57.416340886877606</v>
          </cell>
          <cell r="G211">
            <v>27.442835308282284</v>
          </cell>
          <cell r="H211">
            <v>25.520524685093879</v>
          </cell>
          <cell r="I211">
            <v>30.662481499576671</v>
          </cell>
          <cell r="J211">
            <v>48.766742965903909</v>
          </cell>
          <cell r="K211">
            <v>27.748980646247322</v>
          </cell>
          <cell r="L211">
            <v>8.277599628019324</v>
          </cell>
          <cell r="M211">
            <v>8.8207801924575353</v>
          </cell>
          <cell r="N211">
            <v>41.66956247098959</v>
          </cell>
          <cell r="O211">
            <v>13.338308409513193</v>
          </cell>
          <cell r="P211">
            <v>20.104087159420288</v>
          </cell>
          <cell r="R211">
            <v>321.69290929682609</v>
          </cell>
        </row>
        <row r="212">
          <cell r="C212">
            <v>338203</v>
          </cell>
          <cell r="D212" t="str">
            <v>MUSCADE POUDRE</v>
          </cell>
          <cell r="E212">
            <v>5.4678667692307696</v>
          </cell>
          <cell r="F212">
            <v>4.6822569230769231</v>
          </cell>
          <cell r="G212">
            <v>5.4380992307692306</v>
          </cell>
          <cell r="H212">
            <v>4.4224699999999997</v>
          </cell>
          <cell r="I212">
            <v>4.5423230769230774</v>
          </cell>
          <cell r="J212">
            <v>4.8667334615384616</v>
          </cell>
          <cell r="K212">
            <v>11.702259404223227</v>
          </cell>
          <cell r="L212">
            <v>5.0331342336182336</v>
          </cell>
          <cell r="M212">
            <v>11.449692827727231</v>
          </cell>
          <cell r="N212">
            <v>5.0866340000000001</v>
          </cell>
          <cell r="O212">
            <v>4.6209832307692311</v>
          </cell>
          <cell r="P212">
            <v>4.9616022136752136</v>
          </cell>
          <cell r="R212">
            <v>72.274055371551583</v>
          </cell>
        </row>
        <row r="213">
          <cell r="C213">
            <v>338207</v>
          </cell>
          <cell r="D213" t="str">
            <v>PIMENT POUDRE</v>
          </cell>
          <cell r="E213">
            <v>19.608291704437473</v>
          </cell>
          <cell r="F213">
            <v>15.072905941521375</v>
          </cell>
          <cell r="G213">
            <v>11.049369744988066</v>
          </cell>
          <cell r="H213">
            <v>12.983249452569275</v>
          </cell>
          <cell r="I213">
            <v>17.864313598890153</v>
          </cell>
          <cell r="J213">
            <v>22.157115229847296</v>
          </cell>
          <cell r="K213">
            <v>20.199737408840477</v>
          </cell>
          <cell r="L213">
            <v>8.9002368582758464</v>
          </cell>
          <cell r="M213">
            <v>11.386506781694703</v>
          </cell>
          <cell r="N213">
            <v>19.518220311887468</v>
          </cell>
          <cell r="O213">
            <v>14.411520903885421</v>
          </cell>
          <cell r="P213">
            <v>12.965970775864758</v>
          </cell>
          <cell r="R213">
            <v>186.1174387127023</v>
          </cell>
        </row>
        <row r="214">
          <cell r="C214">
            <v>338208</v>
          </cell>
          <cell r="D214" t="str">
            <v>PIMENT POUDRE ESPELETTE</v>
          </cell>
          <cell r="E214">
            <v>1.0093226282051282</v>
          </cell>
          <cell r="F214">
            <v>1.7963443440170941</v>
          </cell>
          <cell r="G214">
            <v>2.1286278739316238</v>
          </cell>
          <cell r="H214">
            <v>2.0435701602564103</v>
          </cell>
          <cell r="I214">
            <v>1.1729355769230769</v>
          </cell>
          <cell r="J214">
            <v>1.2496061324786325</v>
          </cell>
          <cell r="K214">
            <v>0.5045598675213675</v>
          </cell>
          <cell r="L214">
            <v>0.46382904893851667</v>
          </cell>
          <cell r="M214">
            <v>4.2557161889991733</v>
          </cell>
          <cell r="N214">
            <v>0.54248935897435901</v>
          </cell>
          <cell r="O214">
            <v>1.7405412264957265</v>
          </cell>
          <cell r="P214">
            <v>0.68538117521367525</v>
          </cell>
          <cell r="R214">
            <v>17.592923581954782</v>
          </cell>
        </row>
        <row r="215">
          <cell r="C215">
            <v>338211</v>
          </cell>
          <cell r="D215" t="str">
            <v>POIVRE BLANC MOULU</v>
          </cell>
          <cell r="E215">
            <v>91.026312570662625</v>
          </cell>
          <cell r="F215">
            <v>78.629185583111763</v>
          </cell>
          <cell r="G215">
            <v>65.72307170238993</v>
          </cell>
          <cell r="H215">
            <v>71.125938654310488</v>
          </cell>
          <cell r="I215">
            <v>98.862564350434539</v>
          </cell>
          <cell r="J215">
            <v>145.76434107755335</v>
          </cell>
          <cell r="K215">
            <v>147.34566223501642</v>
          </cell>
          <cell r="L215">
            <v>78.807941634246063</v>
          </cell>
          <cell r="M215">
            <v>113.51569907304393</v>
          </cell>
          <cell r="N215">
            <v>99.346990827547344</v>
          </cell>
          <cell r="O215">
            <v>91.196537694550543</v>
          </cell>
          <cell r="P215">
            <v>95.93584569657385</v>
          </cell>
          <cell r="R215">
            <v>1177.2800910994406</v>
          </cell>
        </row>
        <row r="216">
          <cell r="C216">
            <v>338215</v>
          </cell>
          <cell r="D216" t="str">
            <v>RAZ EL HANOUT</v>
          </cell>
          <cell r="E216">
            <v>4.9458973913043476</v>
          </cell>
          <cell r="F216">
            <v>5.0767669565217393</v>
          </cell>
          <cell r="G216">
            <v>7.4818130434782608</v>
          </cell>
          <cell r="H216">
            <v>5.6934617391304352</v>
          </cell>
          <cell r="I216">
            <v>4.6199573913043475</v>
          </cell>
          <cell r="J216">
            <v>6.1471865217391306</v>
          </cell>
          <cell r="K216">
            <v>6.7021482608695653</v>
          </cell>
          <cell r="L216">
            <v>6.800300434782609</v>
          </cell>
          <cell r="M216">
            <v>3.3113813913043479</v>
          </cell>
          <cell r="N216">
            <v>5.6940786956521743</v>
          </cell>
          <cell r="O216">
            <v>7.6139165217391307</v>
          </cell>
          <cell r="P216">
            <v>7.8713369565217395</v>
          </cell>
          <cell r="R216">
            <v>71.958245304347827</v>
          </cell>
        </row>
        <row r="217">
          <cell r="C217">
            <v>338300</v>
          </cell>
          <cell r="D217" t="str">
            <v>LAURIER POUDRE</v>
          </cell>
          <cell r="E217">
            <v>5.4907583026646556</v>
          </cell>
          <cell r="F217">
            <v>4.4006223164906988</v>
          </cell>
          <cell r="G217">
            <v>2.7021642383107087</v>
          </cell>
          <cell r="H217">
            <v>4.0834200316742084</v>
          </cell>
          <cell r="I217">
            <v>5.2040390915032679</v>
          </cell>
          <cell r="J217">
            <v>9.5402396689291109</v>
          </cell>
          <cell r="K217">
            <v>8.2320053232780293</v>
          </cell>
          <cell r="L217">
            <v>4.1571346410256407</v>
          </cell>
          <cell r="M217">
            <v>4.0022668205128209</v>
          </cell>
          <cell r="N217">
            <v>5.9756224253393668</v>
          </cell>
          <cell r="O217">
            <v>5.5014195465057822</v>
          </cell>
          <cell r="P217">
            <v>5.5256893242835599</v>
          </cell>
          <cell r="R217">
            <v>64.815381730517856</v>
          </cell>
        </row>
        <row r="218">
          <cell r="C218">
            <v>338480</v>
          </cell>
          <cell r="D218" t="str">
            <v>FENUGREC TT POUDRE</v>
          </cell>
          <cell r="E218">
            <v>13.65</v>
          </cell>
          <cell r="F218">
            <v>3.2759999999999998</v>
          </cell>
          <cell r="G218">
            <v>3.2759999999999998</v>
          </cell>
          <cell r="H218">
            <v>3.5489999999999999</v>
          </cell>
          <cell r="I218">
            <v>4.3680000000000003</v>
          </cell>
          <cell r="J218">
            <v>8.19</v>
          </cell>
          <cell r="K218">
            <v>28.992823529411766</v>
          </cell>
          <cell r="N218">
            <v>10.201738692307693</v>
          </cell>
          <cell r="O218">
            <v>3.3735456153846153</v>
          </cell>
          <cell r="P218">
            <v>3.2759999999999998</v>
          </cell>
          <cell r="R218">
            <v>82.153107837104059</v>
          </cell>
        </row>
        <row r="219">
          <cell r="C219">
            <v>339733</v>
          </cell>
          <cell r="D219" t="str">
            <v>EPICE 5 PARFUMS</v>
          </cell>
          <cell r="E219">
            <v>15.542799869565217</v>
          </cell>
          <cell r="F219">
            <v>0.84435904347826085</v>
          </cell>
          <cell r="G219">
            <v>18.991375138054686</v>
          </cell>
          <cell r="H219">
            <v>0.76759913043478256</v>
          </cell>
          <cell r="I219">
            <v>18.952995181532945</v>
          </cell>
          <cell r="J219">
            <v>83.042890034206806</v>
          </cell>
          <cell r="K219">
            <v>0.79191930434782609</v>
          </cell>
          <cell r="L219">
            <v>2.148267704347826</v>
          </cell>
          <cell r="M219">
            <v>0.23027973913043479</v>
          </cell>
          <cell r="N219">
            <v>168.93034075319105</v>
          </cell>
          <cell r="O219">
            <v>1.3528799815329449</v>
          </cell>
          <cell r="P219">
            <v>28.196881376443816</v>
          </cell>
          <cell r="R219">
            <v>339.79258725626659</v>
          </cell>
        </row>
        <row r="220">
          <cell r="C220">
            <v>339884</v>
          </cell>
          <cell r="D220" t="str">
            <v>SESAME GRAINE DORE</v>
          </cell>
          <cell r="E220">
            <v>13.83026377173913</v>
          </cell>
          <cell r="G220">
            <v>5.0544000000000002</v>
          </cell>
          <cell r="I220">
            <v>5.0544000000000002</v>
          </cell>
          <cell r="J220">
            <v>71.212577104180596</v>
          </cell>
          <cell r="L220">
            <v>2.1184577</v>
          </cell>
          <cell r="N220">
            <v>188.23812464047339</v>
          </cell>
          <cell r="O220">
            <v>0.53199271730769226</v>
          </cell>
          <cell r="P220">
            <v>15.552824346153846</v>
          </cell>
          <cell r="R220">
            <v>301.59304027985462</v>
          </cell>
        </row>
        <row r="221">
          <cell r="C221">
            <v>340338</v>
          </cell>
          <cell r="D221" t="str">
            <v>COCO POUDRE</v>
          </cell>
          <cell r="E221">
            <v>330.02397577777776</v>
          </cell>
          <cell r="F221">
            <v>500.12625511988222</v>
          </cell>
          <cell r="G221">
            <v>324.45605208476519</v>
          </cell>
          <cell r="H221">
            <v>298.9212554180985</v>
          </cell>
          <cell r="I221">
            <v>389.08489623138604</v>
          </cell>
          <cell r="J221">
            <v>430.76796766775658</v>
          </cell>
          <cell r="K221">
            <v>406.30192857273767</v>
          </cell>
          <cell r="L221">
            <v>22.983617555555554</v>
          </cell>
          <cell r="M221">
            <v>144.86540883660132</v>
          </cell>
          <cell r="N221">
            <v>472.65475947943122</v>
          </cell>
          <cell r="O221">
            <v>99.944188119658122</v>
          </cell>
          <cell r="P221">
            <v>148.84315083333334</v>
          </cell>
          <cell r="R221">
            <v>3568.9734556969834</v>
          </cell>
        </row>
        <row r="222">
          <cell r="C222">
            <v>340339</v>
          </cell>
          <cell r="D222" t="str">
            <v xml:space="preserve">GINGEMBRE POUDRE </v>
          </cell>
          <cell r="E222">
            <v>29.214446396451663</v>
          </cell>
          <cell r="F222">
            <v>44.791752288730443</v>
          </cell>
          <cell r="G222">
            <v>35.026376976779957</v>
          </cell>
          <cell r="H222">
            <v>28.279756561552457</v>
          </cell>
          <cell r="I222">
            <v>22.654716512020169</v>
          </cell>
          <cell r="J222">
            <v>81.357812827431076</v>
          </cell>
          <cell r="K222">
            <v>34.227496621689916</v>
          </cell>
          <cell r="L222">
            <v>9.0791547388316154</v>
          </cell>
          <cell r="M222">
            <v>6.4286562789232535</v>
          </cell>
          <cell r="N222">
            <v>135.77237007617964</v>
          </cell>
          <cell r="O222">
            <v>13.281670733217124</v>
          </cell>
          <cell r="P222">
            <v>28.61794317090834</v>
          </cell>
          <cell r="R222">
            <v>468.73215318271571</v>
          </cell>
        </row>
        <row r="223">
          <cell r="C223">
            <v>340362</v>
          </cell>
          <cell r="D223" t="str">
            <v>CLOU DE GIROFLE POUDRE</v>
          </cell>
          <cell r="E223">
            <v>1.5433570274007038</v>
          </cell>
          <cell r="F223">
            <v>1.1989302908496733</v>
          </cell>
          <cell r="G223">
            <v>0.61294822373051783</v>
          </cell>
          <cell r="H223">
            <v>0.86953678305681248</v>
          </cell>
          <cell r="I223">
            <v>1.5464333413775766</v>
          </cell>
          <cell r="J223">
            <v>3.5636627928607338</v>
          </cell>
          <cell r="K223">
            <v>9.0462643262946205</v>
          </cell>
          <cell r="L223">
            <v>1.7025437179487179</v>
          </cell>
          <cell r="M223">
            <v>1.6158342820512821</v>
          </cell>
          <cell r="N223">
            <v>2.5034830480140773</v>
          </cell>
          <cell r="O223">
            <v>2.0111869431875316</v>
          </cell>
          <cell r="P223">
            <v>2.074613374811463</v>
          </cell>
          <cell r="R223">
            <v>28.288794151583708</v>
          </cell>
        </row>
        <row r="224">
          <cell r="C224">
            <v>340368</v>
          </cell>
          <cell r="D224" t="str">
            <v>MOUTARDE NOIRE GRAIN</v>
          </cell>
          <cell r="E224">
            <v>41.475000000000001</v>
          </cell>
          <cell r="F224">
            <v>9.9540000000000006</v>
          </cell>
          <cell r="G224">
            <v>9.9540000000000006</v>
          </cell>
          <cell r="H224">
            <v>10.7835</v>
          </cell>
          <cell r="I224">
            <v>13.272</v>
          </cell>
          <cell r="J224">
            <v>24.885000000000002</v>
          </cell>
          <cell r="K224">
            <v>66.693039215686269</v>
          </cell>
          <cell r="N224">
            <v>9.9540000000000006</v>
          </cell>
          <cell r="O224">
            <v>9.9540000000000006</v>
          </cell>
          <cell r="P224">
            <v>9.9540000000000006</v>
          </cell>
          <cell r="R224">
            <v>206.87853921568632</v>
          </cell>
        </row>
        <row r="225">
          <cell r="C225">
            <v>338199</v>
          </cell>
          <cell r="D225" t="str">
            <v>MIEL SEAU 25 KG ORIGINE FRANCE</v>
          </cell>
          <cell r="E225">
            <v>54.033289450483089</v>
          </cell>
          <cell r="F225">
            <v>24.470993671497585</v>
          </cell>
          <cell r="G225">
            <v>84.547305160628014</v>
          </cell>
          <cell r="H225">
            <v>51.446870876328504</v>
          </cell>
          <cell r="I225">
            <v>26.130533949275364</v>
          </cell>
          <cell r="J225">
            <v>138.84899541151202</v>
          </cell>
          <cell r="K225">
            <v>34.757115274154586</v>
          </cell>
          <cell r="L225">
            <v>16.839735821256038</v>
          </cell>
          <cell r="M225">
            <v>9.7886602113526564</v>
          </cell>
          <cell r="N225">
            <v>66.378080144991699</v>
          </cell>
          <cell r="O225">
            <v>18.375672270810107</v>
          </cell>
          <cell r="P225">
            <v>18.001414015700483</v>
          </cell>
          <cell r="R225">
            <v>543.61866625799007</v>
          </cell>
        </row>
        <row r="226">
          <cell r="C226">
            <v>339475</v>
          </cell>
          <cell r="D226" t="str">
            <v>POULET AIGUILLETTE FRANCE SURG</v>
          </cell>
          <cell r="E226">
            <v>1438.0414336153847</v>
          </cell>
          <cell r="F226">
            <v>1399.9198373931624</v>
          </cell>
          <cell r="G226">
            <v>476.5199527777778</v>
          </cell>
          <cell r="H226">
            <v>1212.2758583760683</v>
          </cell>
          <cell r="I226">
            <v>1119.9358699145298</v>
          </cell>
          <cell r="J226">
            <v>1307.5798489316239</v>
          </cell>
          <cell r="K226">
            <v>3303.0356464102565</v>
          </cell>
          <cell r="L226">
            <v>1561.5148172008546</v>
          </cell>
          <cell r="M226">
            <v>1116.9718678205129</v>
          </cell>
          <cell r="N226">
            <v>1399.9198373931624</v>
          </cell>
          <cell r="O226">
            <v>1399.9198373931624</v>
          </cell>
          <cell r="P226">
            <v>1438.0414336153847</v>
          </cell>
          <cell r="R226">
            <v>17173.676240841884</v>
          </cell>
        </row>
        <row r="227">
          <cell r="C227">
            <v>340537</v>
          </cell>
          <cell r="D227" t="str">
            <v>POULET FILET MORCEAUX 15/25G S/PEAU SURG FRANCE</v>
          </cell>
          <cell r="K227">
            <v>5808.0956078431373</v>
          </cell>
          <cell r="R227">
            <v>5808.0956078431373</v>
          </cell>
        </row>
        <row r="228">
          <cell r="C228">
            <v>340282</v>
          </cell>
          <cell r="D228" t="str">
            <v>CITRONNELLE EMINCEE  POUDRE NEIGE SURG</v>
          </cell>
          <cell r="J228">
            <v>16.7138043814433</v>
          </cell>
          <cell r="K228">
            <v>35.117147222222222</v>
          </cell>
          <cell r="M228">
            <v>27.821052696078432</v>
          </cell>
          <cell r="R228">
            <v>79.652004299743965</v>
          </cell>
        </row>
        <row r="229">
          <cell r="C229">
            <v>339491</v>
          </cell>
          <cell r="D229" t="str">
            <v>VEAU:PAUPIETT FARCE PORC 120G</v>
          </cell>
          <cell r="E229">
            <v>2328</v>
          </cell>
          <cell r="F229">
            <v>6792</v>
          </cell>
          <cell r="G229">
            <v>4819.2</v>
          </cell>
          <cell r="H229">
            <v>2064</v>
          </cell>
          <cell r="I229">
            <v>1920</v>
          </cell>
          <cell r="J229">
            <v>8976</v>
          </cell>
          <cell r="K229">
            <v>2640</v>
          </cell>
          <cell r="L229">
            <v>4680</v>
          </cell>
          <cell r="M229">
            <v>1740</v>
          </cell>
          <cell r="N229">
            <v>3240</v>
          </cell>
          <cell r="O229">
            <v>5882.4</v>
          </cell>
          <cell r="P229">
            <v>3052.8</v>
          </cell>
          <cell r="R229">
            <v>48134.400000000001</v>
          </cell>
        </row>
        <row r="230">
          <cell r="C230">
            <v>339492</v>
          </cell>
          <cell r="D230" t="str">
            <v>VEAU PAUPIETTE AVEC FICELLE LARDEE 140G IQF</v>
          </cell>
          <cell r="E230">
            <v>1120.1951194871795</v>
          </cell>
          <cell r="F230">
            <v>1120.1951194871795</v>
          </cell>
          <cell r="G230">
            <v>912.9589893803419</v>
          </cell>
          <cell r="H230">
            <v>890.55508160256409</v>
          </cell>
          <cell r="I230">
            <v>875.99255838461534</v>
          </cell>
          <cell r="J230">
            <v>943.204248042735</v>
          </cell>
          <cell r="K230">
            <v>1414.8063215512821</v>
          </cell>
          <cell r="L230">
            <v>1601.8788673076924</v>
          </cell>
          <cell r="M230">
            <v>828.9443183760684</v>
          </cell>
          <cell r="N230">
            <v>1069.7863101495727</v>
          </cell>
          <cell r="O230">
            <v>1148.1999873717948</v>
          </cell>
          <cell r="P230">
            <v>1148.1999873717948</v>
          </cell>
          <cell r="R230">
            <v>13074.91690851282</v>
          </cell>
        </row>
        <row r="231">
          <cell r="C231">
            <v>338235</v>
          </cell>
          <cell r="D231" t="str">
            <v>TAGLIATELLE PLATE 5mm 24cm 7 OEUFS PLEIN AIR</v>
          </cell>
          <cell r="E231">
            <v>2068.5147323122173</v>
          </cell>
          <cell r="F231">
            <v>2088.200499081448</v>
          </cell>
          <cell r="G231">
            <v>1590.2910875384616</v>
          </cell>
          <cell r="H231">
            <v>2405.817655377828</v>
          </cell>
          <cell r="I231">
            <v>1736.7068079615385</v>
          </cell>
          <cell r="J231">
            <v>2543.8348326561086</v>
          </cell>
          <cell r="K231">
            <v>2147.4354367692308</v>
          </cell>
          <cell r="L231">
            <v>2058.9171057692306</v>
          </cell>
          <cell r="M231">
            <v>1858.1622669615385</v>
          </cell>
          <cell r="N231">
            <v>2140.5365141726998</v>
          </cell>
          <cell r="O231">
            <v>1972.4694345188536</v>
          </cell>
          <cell r="P231">
            <v>2893.4431311496228</v>
          </cell>
          <cell r="R231">
            <v>25504.329504268775</v>
          </cell>
        </row>
        <row r="232">
          <cell r="C232">
            <v>338477</v>
          </cell>
          <cell r="D232" t="str">
            <v>COQUILLAGE OU CONCHIGLIE 3 OEUFS FRAIS UE</v>
          </cell>
          <cell r="E232">
            <v>494.38503557692309</v>
          </cell>
          <cell r="F232">
            <v>100.57204152307692</v>
          </cell>
          <cell r="G232">
            <v>100.57204152307692</v>
          </cell>
          <cell r="H232">
            <v>100.57204152307692</v>
          </cell>
          <cell r="I232">
            <v>100.57204152307692</v>
          </cell>
          <cell r="J232">
            <v>339.00688153846153</v>
          </cell>
          <cell r="K232">
            <v>100.57204152307692</v>
          </cell>
          <cell r="L232">
            <v>100.57204152307692</v>
          </cell>
          <cell r="M232">
            <v>100.57204152307692</v>
          </cell>
          <cell r="N232">
            <v>100.57204152307692</v>
          </cell>
          <cell r="O232">
            <v>100.57204152307692</v>
          </cell>
          <cell r="P232">
            <v>100.57204152307692</v>
          </cell>
          <cell r="R232">
            <v>1839.1123323461536</v>
          </cell>
        </row>
        <row r="233">
          <cell r="C233">
            <v>339742</v>
          </cell>
          <cell r="D233" t="str">
            <v>SPAETZLE PLAT 7 OEUFS PLEIN AIR</v>
          </cell>
          <cell r="E233">
            <v>940.10779470983027</v>
          </cell>
          <cell r="F233">
            <v>235.02694765100671</v>
          </cell>
          <cell r="G233">
            <v>1039.9942478720884</v>
          </cell>
          <cell r="H233">
            <v>211.52425411764705</v>
          </cell>
          <cell r="I233">
            <v>176.27021176470589</v>
          </cell>
          <cell r="J233">
            <v>705.08084705882357</v>
          </cell>
          <cell r="K233">
            <v>352.54042352941178</v>
          </cell>
          <cell r="N233">
            <v>158.64319058823529</v>
          </cell>
          <cell r="O233">
            <v>158.64319058823529</v>
          </cell>
          <cell r="P233">
            <v>158.64319058823529</v>
          </cell>
          <cell r="R233">
            <v>4136.4742984682198</v>
          </cell>
        </row>
        <row r="234">
          <cell r="C234">
            <v>346952</v>
          </cell>
          <cell r="D234" t="str">
            <v>PORC POITRINE CRUE FUMEE CHOIX 1/8 TR 10MM VPF IQF</v>
          </cell>
          <cell r="E234">
            <v>247.22889337606838</v>
          </cell>
          <cell r="F234">
            <v>233.19330366666668</v>
          </cell>
          <cell r="G234">
            <v>177.05094482905983</v>
          </cell>
          <cell r="H234">
            <v>168.65532279059829</v>
          </cell>
          <cell r="I234">
            <v>177.05094482905983</v>
          </cell>
          <cell r="J234">
            <v>556.8543363461539</v>
          </cell>
          <cell r="K234">
            <v>645.37980876068377</v>
          </cell>
          <cell r="L234">
            <v>436.63048918803418</v>
          </cell>
          <cell r="M234">
            <v>247.5857985897436</v>
          </cell>
          <cell r="N234">
            <v>353.03117401709403</v>
          </cell>
          <cell r="O234">
            <v>347.03430113247862</v>
          </cell>
          <cell r="P234">
            <v>358.6711416880342</v>
          </cell>
          <cell r="R234">
            <v>3948.3664592136756</v>
          </cell>
        </row>
        <row r="235">
          <cell r="C235">
            <v>346953</v>
          </cell>
          <cell r="D235" t="str">
            <v>PORC LARDON CUIT FUMÉ 8X10XHP JDL SURGELÉ IQF VPF</v>
          </cell>
          <cell r="E235">
            <v>139.51981771493212</v>
          </cell>
          <cell r="F235">
            <v>132.85401233031675</v>
          </cell>
          <cell r="G235">
            <v>409.93040159829059</v>
          </cell>
          <cell r="H235">
            <v>63.325151153846157</v>
          </cell>
          <cell r="I235">
            <v>59.992248461538459</v>
          </cell>
          <cell r="J235">
            <v>305.08672981900452</v>
          </cell>
          <cell r="K235">
            <v>414.55170930982905</v>
          </cell>
          <cell r="L235">
            <v>83.32256730769231</v>
          </cell>
          <cell r="M235">
            <v>76.656761923076928</v>
          </cell>
          <cell r="N235">
            <v>113.69447156862745</v>
          </cell>
          <cell r="O235">
            <v>110.36156887631977</v>
          </cell>
          <cell r="P235">
            <v>113.69447156862745</v>
          </cell>
          <cell r="R235">
            <v>2022.9899116321014</v>
          </cell>
        </row>
        <row r="236">
          <cell r="C236">
            <v>338465</v>
          </cell>
          <cell r="D236" t="str">
            <v>PENNE EPAIS 5 OEUFS 270G</v>
          </cell>
          <cell r="E236">
            <v>703.86634615384617</v>
          </cell>
          <cell r="F236">
            <v>599.30649038461536</v>
          </cell>
          <cell r="G236">
            <v>701.31610576923072</v>
          </cell>
          <cell r="H236">
            <v>561.05288461538464</v>
          </cell>
          <cell r="I236">
            <v>535.55048076923072</v>
          </cell>
          <cell r="J236">
            <v>605.68209134615381</v>
          </cell>
          <cell r="K236">
            <v>643.93569711538464</v>
          </cell>
          <cell r="L236">
            <v>640.11033653846152</v>
          </cell>
          <cell r="M236">
            <v>696.21562500000005</v>
          </cell>
          <cell r="N236">
            <v>629.90937499999995</v>
          </cell>
          <cell r="O236">
            <v>591.65576923076924</v>
          </cell>
          <cell r="P236">
            <v>604.40697115384614</v>
          </cell>
          <cell r="R236">
            <v>7513.0081730769225</v>
          </cell>
        </row>
        <row r="237">
          <cell r="C237">
            <v>338466</v>
          </cell>
          <cell r="D237" t="str">
            <v xml:space="preserve">COQUILLETTE QS 100% ble dur </v>
          </cell>
          <cell r="E237">
            <v>646.32156730769236</v>
          </cell>
          <cell r="F237">
            <v>581.68941057692302</v>
          </cell>
          <cell r="G237">
            <v>646.32156730769236</v>
          </cell>
          <cell r="H237">
            <v>581.68941057692302</v>
          </cell>
          <cell r="I237">
            <v>568.76297923076925</v>
          </cell>
          <cell r="J237">
            <v>568.76297923076925</v>
          </cell>
          <cell r="K237">
            <v>607.5422732692308</v>
          </cell>
          <cell r="L237">
            <v>594.61584192307691</v>
          </cell>
          <cell r="M237">
            <v>555.83654788461536</v>
          </cell>
          <cell r="N237">
            <v>542.91011653846158</v>
          </cell>
          <cell r="O237">
            <v>568.76297923076925</v>
          </cell>
          <cell r="P237">
            <v>723.88015538461536</v>
          </cell>
          <cell r="R237">
            <v>7187.0958284615381</v>
          </cell>
        </row>
        <row r="238">
          <cell r="C238">
            <v>338476</v>
          </cell>
          <cell r="D238" t="str">
            <v>LINGUINE QS HAUTE RESISTANCE 100% BLE DUR FRANCE</v>
          </cell>
          <cell r="E238">
            <v>294.81352923076923</v>
          </cell>
          <cell r="F238">
            <v>161.67193538461538</v>
          </cell>
          <cell r="G238">
            <v>161.67193538461538</v>
          </cell>
          <cell r="H238">
            <v>161.67193538461538</v>
          </cell>
          <cell r="I238">
            <v>161.67193538461538</v>
          </cell>
          <cell r="J238">
            <v>161.67193538461538</v>
          </cell>
          <cell r="K238">
            <v>161.67193538461538</v>
          </cell>
          <cell r="L238">
            <v>161.67193538461538</v>
          </cell>
          <cell r="M238">
            <v>142.6517076923077</v>
          </cell>
          <cell r="N238">
            <v>171.18204923076922</v>
          </cell>
          <cell r="O238">
            <v>161.67193538461538</v>
          </cell>
          <cell r="P238">
            <v>161.67193538461538</v>
          </cell>
          <cell r="R238">
            <v>2063.6947046153846</v>
          </cell>
        </row>
        <row r="239">
          <cell r="C239">
            <v>338374</v>
          </cell>
          <cell r="D239" t="str">
            <v>VINAIGRE D'ALCOOL BLANC 8°</v>
          </cell>
          <cell r="E239">
            <v>271.98027106252323</v>
          </cell>
          <cell r="F239">
            <v>195.44282338324962</v>
          </cell>
          <cell r="G239">
            <v>252.72456654834366</v>
          </cell>
          <cell r="H239">
            <v>173.4297112339413</v>
          </cell>
          <cell r="I239">
            <v>336.17096675056411</v>
          </cell>
          <cell r="J239">
            <v>409.52717623157736</v>
          </cell>
          <cell r="K239">
            <v>241.44811887198432</v>
          </cell>
          <cell r="L239">
            <v>175.87874318859488</v>
          </cell>
          <cell r="M239">
            <v>313.36440520627036</v>
          </cell>
          <cell r="N239">
            <v>562.3980307103817</v>
          </cell>
          <cell r="O239">
            <v>232.8457029716715</v>
          </cell>
          <cell r="P239">
            <v>321.31557672797697</v>
          </cell>
          <cell r="R239">
            <v>3486.5260928870789</v>
          </cell>
        </row>
        <row r="240">
          <cell r="C240">
            <v>338472</v>
          </cell>
          <cell r="D240" t="str">
            <v>VINAIGRE BALSAMIQUE DE MODENE 6% SANS COLORANT IGP</v>
          </cell>
          <cell r="E240">
            <v>27.091200000000001</v>
          </cell>
          <cell r="F240">
            <v>6.7728000000000002</v>
          </cell>
          <cell r="G240">
            <v>29.969639999999998</v>
          </cell>
          <cell r="H240">
            <v>6.0955199999999996</v>
          </cell>
          <cell r="I240">
            <v>5.0796000000000001</v>
          </cell>
          <cell r="J240">
            <v>21.338988833333332</v>
          </cell>
          <cell r="K240">
            <v>59.803112885620912</v>
          </cell>
          <cell r="M240">
            <v>12.2300415</v>
          </cell>
          <cell r="N240">
            <v>4.5716400000000004</v>
          </cell>
          <cell r="O240">
            <v>4.5716400000000004</v>
          </cell>
          <cell r="P240">
            <v>10.822550100000001</v>
          </cell>
          <cell r="R240">
            <v>188.34673331895425</v>
          </cell>
        </row>
        <row r="241">
          <cell r="C241">
            <v>338205</v>
          </cell>
          <cell r="D241" t="str">
            <v>SAUCE POISSON NUOC MAN</v>
          </cell>
          <cell r="E241">
            <v>47.510260000000002</v>
          </cell>
          <cell r="J241">
            <v>41.44497909009413</v>
          </cell>
          <cell r="N241">
            <v>5.3877614432989693</v>
          </cell>
          <cell r="R241">
            <v>94.343000533393095</v>
          </cell>
        </row>
        <row r="242">
          <cell r="C242">
            <v>338379</v>
          </cell>
          <cell r="D242" t="str">
            <v>VINAIGRE DE RIZ BLAN</v>
          </cell>
          <cell r="G242">
            <v>40.173215499999998</v>
          </cell>
          <cell r="I242">
            <v>40.173215499999998</v>
          </cell>
          <cell r="J242">
            <v>164.51948177773372</v>
          </cell>
          <cell r="K242">
            <v>3.6521105</v>
          </cell>
          <cell r="L242">
            <v>14.608442</v>
          </cell>
          <cell r="N242">
            <v>359.54567228606044</v>
          </cell>
          <cell r="O242">
            <v>2.1806560769230767</v>
          </cell>
          <cell r="P242">
            <v>69.390099500000005</v>
          </cell>
          <cell r="R242">
            <v>694.24289314071734</v>
          </cell>
        </row>
        <row r="243">
          <cell r="C243">
            <v>347216</v>
          </cell>
          <cell r="D243" t="str">
            <v>PUREE DE TAMARIN (3x6kg)</v>
          </cell>
          <cell r="N243">
            <v>67.126739312053928</v>
          </cell>
          <cell r="O243">
            <v>4.1087026153846153</v>
          </cell>
          <cell r="R243">
            <v>71.235441927438544</v>
          </cell>
        </row>
        <row r="244">
          <cell r="C244">
            <v>338355</v>
          </cell>
          <cell r="D244" t="str">
            <v>CHAMPIGNON TROMPETTE SURG</v>
          </cell>
          <cell r="M244">
            <v>50.771006999999997</v>
          </cell>
          <cell r="R244">
            <v>50.771006999999997</v>
          </cell>
        </row>
        <row r="245">
          <cell r="C245">
            <v>338356</v>
          </cell>
          <cell r="D245" t="str">
            <v>TRUFFE BRISURES BTE</v>
          </cell>
          <cell r="L245">
            <v>1.3364881578947367</v>
          </cell>
          <cell r="M245">
            <v>57.171197368421055</v>
          </cell>
          <cell r="P245">
            <v>5.4450000000000003</v>
          </cell>
          <cell r="R245">
            <v>63.95268552631579</v>
          </cell>
        </row>
        <row r="246">
          <cell r="C246">
            <v>338210</v>
          </cell>
          <cell r="D246" t="str">
            <v>RIZ LONG ETUVE DE CAMARGUE QS</v>
          </cell>
          <cell r="E246">
            <v>526.03147450980396</v>
          </cell>
          <cell r="F246">
            <v>2893.1731098039218</v>
          </cell>
          <cell r="G246">
            <v>2630.1573725490198</v>
          </cell>
          <cell r="H246">
            <v>3945.2360588235292</v>
          </cell>
          <cell r="I246">
            <v>3945.2360588235292</v>
          </cell>
          <cell r="J246">
            <v>3945.2360588235292</v>
          </cell>
          <cell r="K246">
            <v>4164.4158398692807</v>
          </cell>
          <cell r="N246">
            <v>1227.4067738562092</v>
          </cell>
          <cell r="O246">
            <v>1227.4067738562092</v>
          </cell>
          <cell r="P246">
            <v>1052.0629490196079</v>
          </cell>
          <cell r="R246">
            <v>25556.36246993464</v>
          </cell>
        </row>
        <row r="247">
          <cell r="C247">
            <v>340533</v>
          </cell>
          <cell r="D247" t="str">
            <v>PORC CHORIZO 3G PUR PORC D32 SANS CONSERV ORIGINE FRANCE IQF</v>
          </cell>
          <cell r="E247">
            <v>385.06088326923077</v>
          </cell>
          <cell r="F247">
            <v>267.56833522307693</v>
          </cell>
          <cell r="G247">
            <v>522.72124568795982</v>
          </cell>
          <cell r="H247">
            <v>286.62235429999998</v>
          </cell>
          <cell r="I247">
            <v>427.20693695384614</v>
          </cell>
          <cell r="J247">
            <v>682.20720869565218</v>
          </cell>
          <cell r="K247">
            <v>415.5991634923077</v>
          </cell>
          <cell r="L247">
            <v>325.78916310769233</v>
          </cell>
          <cell r="M247">
            <v>259.17488506923075</v>
          </cell>
          <cell r="N247">
            <v>269.02013937692305</v>
          </cell>
          <cell r="O247">
            <v>255.2097331076923</v>
          </cell>
          <cell r="P247">
            <v>612.73254479665547</v>
          </cell>
          <cell r="R247">
            <v>4708.9125930802675</v>
          </cell>
        </row>
        <row r="248">
          <cell r="C248">
            <v>338012</v>
          </cell>
          <cell r="D248" t="str">
            <v>AROME NAT CHAMPIGNON CUISINE</v>
          </cell>
          <cell r="E248">
            <v>46.210493154456657</v>
          </cell>
          <cell r="F248">
            <v>55.119276022893771</v>
          </cell>
          <cell r="G248">
            <v>40.241434546703296</v>
          </cell>
          <cell r="H248">
            <v>40.664068527014649</v>
          </cell>
          <cell r="I248">
            <v>109.93061346300367</v>
          </cell>
          <cell r="J248">
            <v>115.77599848376069</v>
          </cell>
          <cell r="K248">
            <v>118.51810546808159</v>
          </cell>
          <cell r="L248">
            <v>97.137203778379302</v>
          </cell>
          <cell r="M248">
            <v>102.50795419574445</v>
          </cell>
          <cell r="N248">
            <v>72.525737866758249</v>
          </cell>
          <cell r="O248">
            <v>53.543454154456654</v>
          </cell>
          <cell r="P248">
            <v>106.51633282604477</v>
          </cell>
          <cell r="R248">
            <v>958.69067248729777</v>
          </cell>
        </row>
        <row r="249">
          <cell r="C249">
            <v>338060</v>
          </cell>
          <cell r="D249" t="str">
            <v>PAPRIKA EXTRAIT POUDRE</v>
          </cell>
          <cell r="E249">
            <v>0.19460676923076922</v>
          </cell>
          <cell r="F249">
            <v>11.546555969899666</v>
          </cell>
          <cell r="J249">
            <v>14.33823379133193</v>
          </cell>
          <cell r="N249">
            <v>23.845325344619521</v>
          </cell>
          <cell r="O249">
            <v>6.6669230769230772E-2</v>
          </cell>
          <cell r="P249">
            <v>1.083375</v>
          </cell>
          <cell r="R249">
            <v>51.074766105851111</v>
          </cell>
        </row>
        <row r="250">
          <cell r="C250">
            <v>338022</v>
          </cell>
          <cell r="D250" t="str">
            <v>CARAMEL COLORANT TS</v>
          </cell>
          <cell r="E250">
            <v>24.147673848955563</v>
          </cell>
          <cell r="F250">
            <v>12.257771667853607</v>
          </cell>
          <cell r="G250">
            <v>27.663435671181524</v>
          </cell>
          <cell r="H250">
            <v>9.589681722706846</v>
          </cell>
          <cell r="I250">
            <v>29.181025046897446</v>
          </cell>
          <cell r="J250">
            <v>126.82199491940993</v>
          </cell>
          <cell r="K250">
            <v>101.93163618952175</v>
          </cell>
          <cell r="L250">
            <v>13.118528058754075</v>
          </cell>
          <cell r="M250">
            <v>15.652661621927042</v>
          </cell>
          <cell r="N250">
            <v>254.72545082167886</v>
          </cell>
          <cell r="O250">
            <v>19.506879324478462</v>
          </cell>
          <cell r="P250">
            <v>45.79941581737161</v>
          </cell>
          <cell r="R250">
            <v>680.3961547107366</v>
          </cell>
        </row>
        <row r="251">
          <cell r="C251">
            <v>338276</v>
          </cell>
          <cell r="D251" t="str">
            <v>CITRON ECORCES CUBE CONFITS EGOUTTES 6X6 MM</v>
          </cell>
          <cell r="E251">
            <v>49.985244966183572</v>
          </cell>
          <cell r="F251">
            <v>157.74559414064444</v>
          </cell>
          <cell r="G251">
            <v>297.13240715151403</v>
          </cell>
          <cell r="H251">
            <v>203.31628689136909</v>
          </cell>
          <cell r="I251">
            <v>176.15237254843368</v>
          </cell>
          <cell r="J251">
            <v>140.07482379830918</v>
          </cell>
          <cell r="K251">
            <v>66.477812721549881</v>
          </cell>
          <cell r="L251">
            <v>38.510561845410628</v>
          </cell>
          <cell r="M251">
            <v>22.669721371980675</v>
          </cell>
          <cell r="N251">
            <v>56.935006396135265</v>
          </cell>
          <cell r="O251">
            <v>42.914603004830916</v>
          </cell>
          <cell r="P251">
            <v>56.164610289855069</v>
          </cell>
          <cell r="R251">
            <v>1308.0790451262164</v>
          </cell>
        </row>
        <row r="252">
          <cell r="C252">
            <v>339701</v>
          </cell>
          <cell r="D252" t="str">
            <v>CREVETTE DECO CUITE IQF DECORTIQUEE  BLANCHIE 300/500 SURG</v>
          </cell>
          <cell r="P252">
            <v>29.238378999999998</v>
          </cell>
          <cell r="R252">
            <v>29.238378999999998</v>
          </cell>
        </row>
        <row r="253">
          <cell r="C253">
            <v>338225</v>
          </cell>
          <cell r="D253" t="str">
            <v>SEMOULE COUSCOUS Qualité Standard</v>
          </cell>
          <cell r="E253">
            <v>5569.5563607488884</v>
          </cell>
          <cell r="F253">
            <v>4737.1019894428164</v>
          </cell>
          <cell r="G253">
            <v>6423.1564553873131</v>
          </cell>
          <cell r="H253">
            <v>5247.9019939745167</v>
          </cell>
          <cell r="I253">
            <v>4645.500285747371</v>
          </cell>
          <cell r="J253">
            <v>6116.9527612117627</v>
          </cell>
          <cell r="K253">
            <v>5227.8301008180188</v>
          </cell>
          <cell r="L253">
            <v>4987.8706328023827</v>
          </cell>
          <cell r="M253">
            <v>4089.5267780973863</v>
          </cell>
          <cell r="N253">
            <v>4832.5216809721751</v>
          </cell>
          <cell r="O253">
            <v>5379.408389924577</v>
          </cell>
          <cell r="P253">
            <v>5616.2687883858398</v>
          </cell>
          <cell r="R253">
            <v>62873.596217513048</v>
          </cell>
        </row>
        <row r="254">
          <cell r="C254">
            <v>360383</v>
          </cell>
          <cell r="D254" t="str">
            <v>PATES MACARONIS QS 5 KG</v>
          </cell>
          <cell r="E254">
            <v>659.32899692307694</v>
          </cell>
          <cell r="F254">
            <v>618.12093461538461</v>
          </cell>
          <cell r="G254">
            <v>659.32899692307694</v>
          </cell>
          <cell r="H254">
            <v>576.91287230769228</v>
          </cell>
          <cell r="I254">
            <v>556.30884115384617</v>
          </cell>
          <cell r="J254">
            <v>587.21488788461534</v>
          </cell>
          <cell r="K254">
            <v>649.02698134615389</v>
          </cell>
          <cell r="L254">
            <v>576.91287230769228</v>
          </cell>
          <cell r="M254">
            <v>556.30884115384617</v>
          </cell>
          <cell r="N254">
            <v>576.91287230769228</v>
          </cell>
          <cell r="O254">
            <v>566.61085673076923</v>
          </cell>
          <cell r="P254">
            <v>649.02698134615389</v>
          </cell>
          <cell r="R254">
            <v>7232.0149349999992</v>
          </cell>
        </row>
        <row r="255">
          <cell r="C255">
            <v>360914</v>
          </cell>
          <cell r="D255" t="str">
            <v>CERF SAUTE EPAULE COLLIER POITRINE FRANCE 40/60G</v>
          </cell>
          <cell r="K255">
            <v>5209.1011176470593</v>
          </cell>
          <cell r="R255">
            <v>5209.1011176470593</v>
          </cell>
        </row>
        <row r="256">
          <cell r="C256">
            <v>338378</v>
          </cell>
          <cell r="D256" t="str">
            <v>VIN BLANC CHABLIS 12.5%</v>
          </cell>
          <cell r="E256">
            <v>472.75328799444446</v>
          </cell>
          <cell r="F256">
            <v>222.20067555555556</v>
          </cell>
          <cell r="G256">
            <v>41.662626666666668</v>
          </cell>
          <cell r="H256">
            <v>190.00093699999999</v>
          </cell>
          <cell r="I256">
            <v>49.995151999999997</v>
          </cell>
          <cell r="J256">
            <v>65.595544527777776</v>
          </cell>
          <cell r="K256">
            <v>641.67772388888886</v>
          </cell>
          <cell r="L256">
            <v>117.01841006618528</v>
          </cell>
          <cell r="M256">
            <v>3266.6733167558291</v>
          </cell>
          <cell r="N256">
            <v>44.440135111111111</v>
          </cell>
          <cell r="O256">
            <v>44.440135111111111</v>
          </cell>
          <cell r="P256">
            <v>62.590133137426903</v>
          </cell>
          <cell r="R256">
            <v>5219.0480778149968</v>
          </cell>
        </row>
        <row r="257">
          <cell r="C257">
            <v>338202</v>
          </cell>
          <cell r="D257" t="str">
            <v>MOUTARDE : FORTE S/SO2</v>
          </cell>
          <cell r="E257">
            <v>141.11478375213676</v>
          </cell>
          <cell r="F257">
            <v>52.366260564102561</v>
          </cell>
          <cell r="G257">
            <v>39.846134111111112</v>
          </cell>
          <cell r="H257">
            <v>46.682098918803419</v>
          </cell>
          <cell r="I257">
            <v>47.468308918803416</v>
          </cell>
          <cell r="J257">
            <v>88.761222942307697</v>
          </cell>
          <cell r="K257">
            <v>139.9115614594017</v>
          </cell>
          <cell r="L257">
            <v>82.057942641025647</v>
          </cell>
          <cell r="M257">
            <v>83.77668408034188</v>
          </cell>
          <cell r="N257">
            <v>57.247149735042733</v>
          </cell>
          <cell r="O257">
            <v>55.093035641025644</v>
          </cell>
          <cell r="P257">
            <v>94.375357235042742</v>
          </cell>
          <cell r="R257">
            <v>928.70053999914535</v>
          </cell>
        </row>
        <row r="258">
          <cell r="C258">
            <v>439732</v>
          </cell>
          <cell r="D258" t="str">
            <v>TIMBALE PEHD 140ML HT 29.5 DIAMETRE 94</v>
          </cell>
          <cell r="E258">
            <v>33000</v>
          </cell>
          <cell r="F258">
            <v>21600</v>
          </cell>
          <cell r="I258">
            <v>15000</v>
          </cell>
          <cell r="J258">
            <v>18600</v>
          </cell>
          <cell r="K258">
            <v>12000</v>
          </cell>
          <cell r="O258">
            <v>18000</v>
          </cell>
          <cell r="P258">
            <v>7200</v>
          </cell>
          <cell r="R258">
            <v>125400</v>
          </cell>
        </row>
        <row r="259">
          <cell r="C259">
            <v>338219</v>
          </cell>
          <cell r="D259" t="str">
            <v xml:space="preserve">RIZ LONG ETUVE </v>
          </cell>
          <cell r="E259">
            <v>11942.807921715135</v>
          </cell>
          <cell r="F259">
            <v>8762.9963288402196</v>
          </cell>
          <cell r="G259">
            <v>9499.1753184517456</v>
          </cell>
          <cell r="H259">
            <v>8169.3168582895541</v>
          </cell>
          <cell r="I259">
            <v>9565.5520443151436</v>
          </cell>
          <cell r="J259">
            <v>11580.090246064086</v>
          </cell>
          <cell r="K259">
            <v>9864.0575541076287</v>
          </cell>
          <cell r="L259">
            <v>5498.9353350725614</v>
          </cell>
          <cell r="M259">
            <v>5952.9423480695959</v>
          </cell>
          <cell r="N259">
            <v>7427.085640093982</v>
          </cell>
          <cell r="O259">
            <v>7705.4769846877671</v>
          </cell>
          <cell r="P259">
            <v>8956.5081825335092</v>
          </cell>
          <cell r="R259">
            <v>104924.94476224092</v>
          </cell>
        </row>
        <row r="260">
          <cell r="C260">
            <v>338377</v>
          </cell>
          <cell r="D260" t="str">
            <v>VINAIGRE DE XÈRES</v>
          </cell>
          <cell r="E260">
            <v>173.21907276086955</v>
          </cell>
          <cell r="F260">
            <v>9.3683293043478262</v>
          </cell>
          <cell r="G260">
            <v>116.02620765217391</v>
          </cell>
          <cell r="H260">
            <v>36.96346271258529</v>
          </cell>
          <cell r="I260">
            <v>158.24603584541063</v>
          </cell>
          <cell r="J260">
            <v>907.18340903799378</v>
          </cell>
          <cell r="K260">
            <v>310.08800092032618</v>
          </cell>
          <cell r="L260">
            <v>43.338070177493606</v>
          </cell>
          <cell r="M260">
            <v>3.5070461739130434</v>
          </cell>
          <cell r="N260">
            <v>1388.0787278179776</v>
          </cell>
          <cell r="O260">
            <v>13.380851242307692</v>
          </cell>
          <cell r="P260">
            <v>178.45231725585285</v>
          </cell>
          <cell r="R260">
            <v>3337.8515309012519</v>
          </cell>
        </row>
        <row r="261">
          <cell r="C261">
            <v>347201</v>
          </cell>
          <cell r="D261" t="str">
            <v>SAUCE SOJA JAPONAISE SALE CUVE 1000L (ou BIDON 4,5L 5,3KG)</v>
          </cell>
          <cell r="E261">
            <v>1528.8783737752012</v>
          </cell>
          <cell r="F261">
            <v>1022.7009610278631</v>
          </cell>
          <cell r="G261">
            <v>1629.0677559082433</v>
          </cell>
          <cell r="H261">
            <v>974.28213034725377</v>
          </cell>
          <cell r="I261">
            <v>1425.209999624725</v>
          </cell>
          <cell r="J261">
            <v>3410.6233075678688</v>
          </cell>
          <cell r="K261">
            <v>1581.4916332761952</v>
          </cell>
          <cell r="L261">
            <v>1341.3756849569711</v>
          </cell>
          <cell r="M261">
            <v>886.24517501145567</v>
          </cell>
          <cell r="N261">
            <v>5992.5865362515224</v>
          </cell>
          <cell r="O261">
            <v>1003.5121031137248</v>
          </cell>
          <cell r="P261">
            <v>1897.7174082762544</v>
          </cell>
          <cell r="R261">
            <v>22693.691069137276</v>
          </cell>
        </row>
        <row r="262">
          <cell r="C262">
            <v>347273</v>
          </cell>
          <cell r="D262" t="str">
            <v>ABRICOT CONFITURE 35% boite 5kg</v>
          </cell>
          <cell r="H262">
            <v>39.110545360824744</v>
          </cell>
          <cell r="J262">
            <v>44.444688461538462</v>
          </cell>
          <cell r="N262">
            <v>171.87608830931282</v>
          </cell>
          <cell r="O262">
            <v>9.7778314615384616</v>
          </cell>
          <cell r="R262">
            <v>265.20915359321452</v>
          </cell>
        </row>
        <row r="263">
          <cell r="C263">
            <v>360401</v>
          </cell>
          <cell r="D263" t="str">
            <v>MAIS DOUX GRAIN SV 3/1 PRIMANCE 1.775KG</v>
          </cell>
          <cell r="E263">
            <v>12.078165230769232</v>
          </cell>
          <cell r="F263">
            <v>11.545305000000001</v>
          </cell>
          <cell r="G263">
            <v>12.433405384615385</v>
          </cell>
          <cell r="H263">
            <v>12.788645538461539</v>
          </cell>
          <cell r="I263">
            <v>10.657204615384614</v>
          </cell>
          <cell r="J263">
            <v>56.305564384615387</v>
          </cell>
          <cell r="K263">
            <v>12.788645538461539</v>
          </cell>
          <cell r="L263">
            <v>12.788645538461539</v>
          </cell>
          <cell r="M263">
            <v>9.591484153846153</v>
          </cell>
          <cell r="N263">
            <v>12.788645538461539</v>
          </cell>
          <cell r="O263">
            <v>12.078165230769232</v>
          </cell>
          <cell r="P263">
            <v>12.433405384615385</v>
          </cell>
          <cell r="R263">
            <v>188.27728153846155</v>
          </cell>
        </row>
        <row r="264">
          <cell r="C264">
            <v>338204</v>
          </cell>
          <cell r="D264" t="str">
            <v>SPAGHETTI QS</v>
          </cell>
          <cell r="E264">
            <v>4212.4931142692303</v>
          </cell>
          <cell r="F264">
            <v>4196.1009907692305</v>
          </cell>
          <cell r="G264">
            <v>4084.4649773076922</v>
          </cell>
          <cell r="H264">
            <v>4302.9324161538461</v>
          </cell>
          <cell r="I264">
            <v>4504.7251084615382</v>
          </cell>
          <cell r="J264">
            <v>4586.9699340384614</v>
          </cell>
          <cell r="K264">
            <v>4553.9014788461536</v>
          </cell>
          <cell r="L264">
            <v>3760.0139811538461</v>
          </cell>
          <cell r="M264">
            <v>3900.4775223076922</v>
          </cell>
          <cell r="N264">
            <v>4700.3302636538465</v>
          </cell>
          <cell r="O264">
            <v>4073.7253101923079</v>
          </cell>
          <cell r="P264">
            <v>4462.6546370384613</v>
          </cell>
          <cell r="R264">
            <v>51338.789734192302</v>
          </cell>
        </row>
        <row r="265">
          <cell r="C265">
            <v>339495</v>
          </cell>
          <cell r="D265" t="str">
            <v>COMTE AOP 12 MOIS MINIDES 10x10mm FRANCE</v>
          </cell>
          <cell r="K265">
            <v>356.64113725490193</v>
          </cell>
          <cell r="L265">
            <v>3.7150118518518518</v>
          </cell>
          <cell r="M265">
            <v>352.92612592592593</v>
          </cell>
          <cell r="P265">
            <v>27.86258888888889</v>
          </cell>
          <cell r="R265">
            <v>741.14486392156869</v>
          </cell>
        </row>
        <row r="266">
          <cell r="C266">
            <v>339498</v>
          </cell>
          <cell r="D266" t="str">
            <v>FROMAGE BLEU AUVERGNE CRUMBLE FRAIS FRANCE AOP</v>
          </cell>
          <cell r="L266">
            <v>1.7998804166666666</v>
          </cell>
          <cell r="M266">
            <v>31.197927222222223</v>
          </cell>
          <cell r="R266">
            <v>32.997807638888887</v>
          </cell>
        </row>
        <row r="267">
          <cell r="C267">
            <v>361003</v>
          </cell>
          <cell r="D267" t="str">
            <v>REBLOCHON  FRANCE</v>
          </cell>
          <cell r="K267">
            <v>139.37147999999999</v>
          </cell>
          <cell r="L267">
            <v>224.54293999999999</v>
          </cell>
          <cell r="M267">
            <v>154.85720000000001</v>
          </cell>
          <cell r="N267">
            <v>201.31435999999999</v>
          </cell>
          <cell r="O267">
            <v>131.62862000000001</v>
          </cell>
          <cell r="P267">
            <v>27.874296000000001</v>
          </cell>
          <cell r="R267">
            <v>879.58889599999998</v>
          </cell>
        </row>
        <row r="268">
          <cell r="C268">
            <v>361009</v>
          </cell>
          <cell r="D268" t="str">
            <v>REBLOCHON PIECE 480G ENVIRON ENTIER</v>
          </cell>
          <cell r="K268">
            <v>900</v>
          </cell>
          <cell r="L268">
            <v>1450</v>
          </cell>
          <cell r="M268">
            <v>1000</v>
          </cell>
          <cell r="N268">
            <v>1300</v>
          </cell>
          <cell r="O268">
            <v>850</v>
          </cell>
          <cell r="P268">
            <v>180</v>
          </cell>
          <cell r="R268">
            <v>5680</v>
          </cell>
        </row>
        <row r="269">
          <cell r="C269">
            <v>338302</v>
          </cell>
          <cell r="D269" t="str">
            <v>LENTILLES VERTES ORIGINE FRANCE</v>
          </cell>
          <cell r="E269">
            <v>1159.6172235294118</v>
          </cell>
          <cell r="F269">
            <v>869.71291764705882</v>
          </cell>
          <cell r="G269">
            <v>289.90430588235296</v>
          </cell>
          <cell r="H269">
            <v>603.9673039215686</v>
          </cell>
          <cell r="I269">
            <v>1135.458531372549</v>
          </cell>
          <cell r="J269">
            <v>845.55422549019613</v>
          </cell>
          <cell r="K269">
            <v>845.55422549019613</v>
          </cell>
          <cell r="N269">
            <v>603.9673039215686</v>
          </cell>
          <cell r="O269">
            <v>579.80861176470592</v>
          </cell>
          <cell r="P269">
            <v>579.80861176470592</v>
          </cell>
          <cell r="R269">
            <v>7513.3532607843135</v>
          </cell>
        </row>
        <row r="270">
          <cell r="C270">
            <v>338298</v>
          </cell>
          <cell r="D270" t="str">
            <v>PUREE GROSEILLE</v>
          </cell>
          <cell r="H270">
            <v>190.28836444444445</v>
          </cell>
          <cell r="I270">
            <v>336.81648611111109</v>
          </cell>
          <cell r="J270">
            <v>2037.2459749915033</v>
          </cell>
          <cell r="K270">
            <v>2370.8174121353627</v>
          </cell>
          <cell r="L270">
            <v>198.9850387254902</v>
          </cell>
          <cell r="R270">
            <v>5134.1532764079111</v>
          </cell>
        </row>
        <row r="271">
          <cell r="C271">
            <v>338070</v>
          </cell>
          <cell r="D271" t="str">
            <v>SUCRE CRISTAL 25KG</v>
          </cell>
          <cell r="E271">
            <v>147.34623537521367</v>
          </cell>
          <cell r="F271">
            <v>165.10260213659794</v>
          </cell>
          <cell r="G271">
            <v>308.01399658433803</v>
          </cell>
          <cell r="H271">
            <v>265.32389289295315</v>
          </cell>
          <cell r="I271">
            <v>502.14672323620164</v>
          </cell>
          <cell r="J271">
            <v>1784.6473178773347</v>
          </cell>
          <cell r="K271">
            <v>1686.1334924215255</v>
          </cell>
          <cell r="L271">
            <v>259.26072678777626</v>
          </cell>
          <cell r="M271">
            <v>109.12954176142698</v>
          </cell>
          <cell r="N271">
            <v>793.39807693714249</v>
          </cell>
          <cell r="O271">
            <v>189.5609999535186</v>
          </cell>
          <cell r="P271">
            <v>334.8023928878622</v>
          </cell>
          <cell r="R271">
            <v>6544.8659988518912</v>
          </cell>
        </row>
        <row r="272">
          <cell r="C272">
            <v>338191</v>
          </cell>
          <cell r="D272" t="str">
            <v>CORIANDRE MOULU</v>
          </cell>
          <cell r="E272">
            <v>50.000229235780488</v>
          </cell>
          <cell r="F272">
            <v>38.073262355459846</v>
          </cell>
          <cell r="G272">
            <v>60.887256272683928</v>
          </cell>
          <cell r="H272">
            <v>38.720443603095823</v>
          </cell>
          <cell r="I272">
            <v>41.946252390741471</v>
          </cell>
          <cell r="J272">
            <v>122.58276215169769</v>
          </cell>
          <cell r="K272">
            <v>58.925930753575692</v>
          </cell>
          <cell r="L272">
            <v>10.465257526532888</v>
          </cell>
          <cell r="M272">
            <v>3.9737503353771833</v>
          </cell>
          <cell r="N272">
            <v>239.33849138737972</v>
          </cell>
          <cell r="O272">
            <v>16.495239844565763</v>
          </cell>
          <cell r="P272">
            <v>51.439244695067437</v>
          </cell>
          <cell r="R272">
            <v>732.848120551958</v>
          </cell>
        </row>
        <row r="273">
          <cell r="C273">
            <v>338193</v>
          </cell>
          <cell r="D273" t="str">
            <v>CURCUMA POUDRE</v>
          </cell>
          <cell r="E273">
            <v>37.379692969926211</v>
          </cell>
          <cell r="F273">
            <v>41.227971182790974</v>
          </cell>
          <cell r="G273">
            <v>60.028304754899622</v>
          </cell>
          <cell r="H273">
            <v>54.137969289873716</v>
          </cell>
          <cell r="I273">
            <v>30.903426344632319</v>
          </cell>
          <cell r="J273">
            <v>57.743392008250048</v>
          </cell>
          <cell r="K273">
            <v>59.138009694775725</v>
          </cell>
          <cell r="L273">
            <v>14.116751351865174</v>
          </cell>
          <cell r="M273">
            <v>13.534290997608062</v>
          </cell>
          <cell r="N273">
            <v>29.653571435393321</v>
          </cell>
          <cell r="O273">
            <v>24.299228873141654</v>
          </cell>
          <cell r="P273">
            <v>22.888869166464005</v>
          </cell>
          <cell r="R273">
            <v>445.05147806962088</v>
          </cell>
        </row>
        <row r="274">
          <cell r="C274">
            <v>338201</v>
          </cell>
          <cell r="D274" t="str">
            <v>MOUTARDE:A L'ANCIENNE S/SO2</v>
          </cell>
          <cell r="E274">
            <v>660.52633580891336</v>
          </cell>
          <cell r="F274">
            <v>212.85946773809525</v>
          </cell>
          <cell r="G274">
            <v>159.4102924096459</v>
          </cell>
          <cell r="H274">
            <v>193.43380737026862</v>
          </cell>
          <cell r="I274">
            <v>466.46714218711844</v>
          </cell>
          <cell r="J274">
            <v>462.39815213461537</v>
          </cell>
          <cell r="K274">
            <v>344.09917781746032</v>
          </cell>
          <cell r="L274">
            <v>287.78268753772892</v>
          </cell>
          <cell r="M274">
            <v>696.79276548706457</v>
          </cell>
          <cell r="N274">
            <v>291.41033423137975</v>
          </cell>
          <cell r="O274">
            <v>253.4316743003663</v>
          </cell>
          <cell r="P274">
            <v>255.79302782295483</v>
          </cell>
          <cell r="R274">
            <v>4284.4048648456119</v>
          </cell>
        </row>
        <row r="275">
          <cell r="C275">
            <v>338220</v>
          </cell>
          <cell r="D275" t="str">
            <v>RIZ ETUVE RISOTTO</v>
          </cell>
          <cell r="E275">
            <v>1249.8093854615386</v>
          </cell>
          <cell r="F275">
            <v>1037.4384299615385</v>
          </cell>
          <cell r="G275">
            <v>1057.3628207307693</v>
          </cell>
          <cell r="H275">
            <v>1008.7852742692307</v>
          </cell>
          <cell r="I275">
            <v>1506.6775153846154</v>
          </cell>
          <cell r="J275">
            <v>1570.6333950000001</v>
          </cell>
          <cell r="K275">
            <v>1657.1117719615384</v>
          </cell>
          <cell r="L275">
            <v>1347.4901776261809</v>
          </cell>
          <cell r="M275">
            <v>3997.6598328638474</v>
          </cell>
          <cell r="N275">
            <v>1076.9637909615385</v>
          </cell>
          <cell r="O275">
            <v>1225.374434423077</v>
          </cell>
          <cell r="P275">
            <v>1677.7939663574</v>
          </cell>
          <cell r="R275">
            <v>18413.100795001272</v>
          </cell>
        </row>
        <row r="276">
          <cell r="C276">
            <v>338273</v>
          </cell>
          <cell r="D276" t="str">
            <v>CIBOULETTE TUBULAIRE SGL</v>
          </cell>
          <cell r="E276">
            <v>106.49978587922705</v>
          </cell>
          <cell r="F276">
            <v>143.41407962829706</v>
          </cell>
          <cell r="G276">
            <v>101.28385550776548</v>
          </cell>
          <cell r="H276">
            <v>114.29122555208657</v>
          </cell>
          <cell r="I276">
            <v>91.796944102945673</v>
          </cell>
          <cell r="J276">
            <v>111.37276953680596</v>
          </cell>
          <cell r="K276">
            <v>120.83487349833312</v>
          </cell>
          <cell r="L276">
            <v>79.90775360215514</v>
          </cell>
          <cell r="M276">
            <v>95.916104312226494</v>
          </cell>
          <cell r="N276">
            <v>102.23372897118018</v>
          </cell>
          <cell r="O276">
            <v>72.060553650928824</v>
          </cell>
          <cell r="P276">
            <v>76.792985239946447</v>
          </cell>
          <cell r="R276">
            <v>1216.4046594818979</v>
          </cell>
        </row>
        <row r="277">
          <cell r="C277">
            <v>338345</v>
          </cell>
          <cell r="D277" t="str">
            <v>PRUNEAUX DENOYAUTES</v>
          </cell>
          <cell r="E277">
            <v>689.12473557971009</v>
          </cell>
          <cell r="F277">
            <v>185.63021197101449</v>
          </cell>
          <cell r="G277">
            <v>620.6419895362319</v>
          </cell>
          <cell r="H277">
            <v>381.78657754202897</v>
          </cell>
          <cell r="I277">
            <v>199.43021530434783</v>
          </cell>
          <cell r="J277">
            <v>803.88174553623185</v>
          </cell>
          <cell r="K277">
            <v>358.59384035507247</v>
          </cell>
          <cell r="L277">
            <v>128.66650107246377</v>
          </cell>
          <cell r="M277">
            <v>1362.2162384188405</v>
          </cell>
          <cell r="N277">
            <v>147.6761693768116</v>
          </cell>
          <cell r="O277">
            <v>137.95087302898551</v>
          </cell>
          <cell r="P277">
            <v>397.95844610579712</v>
          </cell>
          <cell r="R277">
            <v>5413.5575438275364</v>
          </cell>
        </row>
        <row r="278">
          <cell r="C278">
            <v>338364</v>
          </cell>
          <cell r="D278" t="str">
            <v>NOILLY DRY / VERMOUTH</v>
          </cell>
          <cell r="M278">
            <v>1097.7381934677419</v>
          </cell>
          <cell r="R278">
            <v>1097.7381934677419</v>
          </cell>
        </row>
        <row r="279">
          <cell r="C279">
            <v>339719</v>
          </cell>
          <cell r="D279" t="str">
            <v>CARAMEL AROMATIQ FO</v>
          </cell>
          <cell r="E279">
            <v>594.77148296070231</v>
          </cell>
          <cell r="F279">
            <v>53.761366956521741</v>
          </cell>
          <cell r="G279">
            <v>390.56829986956524</v>
          </cell>
          <cell r="H279">
            <v>49.141751638795988</v>
          </cell>
          <cell r="I279">
            <v>384.57649413377925</v>
          </cell>
          <cell r="J279">
            <v>1914.0450520884988</v>
          </cell>
          <cell r="K279">
            <v>117.5850440204385</v>
          </cell>
          <cell r="L279">
            <v>75.061005303344487</v>
          </cell>
          <cell r="M279">
            <v>37.673520537792641</v>
          </cell>
          <cell r="N279">
            <v>4226.1880568877823</v>
          </cell>
          <cell r="O279">
            <v>57.578360248411371</v>
          </cell>
          <cell r="P279">
            <v>556.67136418060204</v>
          </cell>
          <cell r="R279">
            <v>8457.621798826236</v>
          </cell>
        </row>
        <row r="280">
          <cell r="C280">
            <v>340384</v>
          </cell>
          <cell r="D280" t="str">
            <v>ABRICOTS SECS n°3</v>
          </cell>
          <cell r="E280">
            <v>102.88741913043478</v>
          </cell>
          <cell r="F280">
            <v>141.47020130434782</v>
          </cell>
          <cell r="G280">
            <v>576.48197886956518</v>
          </cell>
          <cell r="H280">
            <v>326.58656420869568</v>
          </cell>
          <cell r="I280">
            <v>141.47020130434782</v>
          </cell>
          <cell r="J280">
            <v>400.43122495652176</v>
          </cell>
          <cell r="K280">
            <v>115.74834652173914</v>
          </cell>
          <cell r="L280">
            <v>90.026491739130435</v>
          </cell>
          <cell r="M280">
            <v>51.443709565217389</v>
          </cell>
          <cell r="N280">
            <v>113.17616104347826</v>
          </cell>
          <cell r="O280">
            <v>95.170862695652175</v>
          </cell>
          <cell r="P280">
            <v>90.026491739130435</v>
          </cell>
          <cell r="R280">
            <v>2244.919653078261</v>
          </cell>
        </row>
        <row r="281">
          <cell r="C281">
            <v>341485</v>
          </cell>
          <cell r="D281" t="str">
            <v>AMANDES ENTIERES EMONDEES</v>
          </cell>
          <cell r="E281">
            <v>13.125</v>
          </cell>
          <cell r="F281">
            <v>12</v>
          </cell>
          <cell r="G281">
            <v>12</v>
          </cell>
          <cell r="H281">
            <v>15</v>
          </cell>
          <cell r="I281">
            <v>15.75</v>
          </cell>
          <cell r="J281">
            <v>9.75</v>
          </cell>
          <cell r="K281">
            <v>11.625</v>
          </cell>
          <cell r="L281">
            <v>10.5</v>
          </cell>
          <cell r="M281">
            <v>6.375</v>
          </cell>
          <cell r="N281">
            <v>9.375</v>
          </cell>
          <cell r="O281">
            <v>11.625</v>
          </cell>
          <cell r="P281">
            <v>13.125</v>
          </cell>
          <cell r="R281">
            <v>140.25</v>
          </cell>
        </row>
        <row r="282">
          <cell r="C282">
            <v>360380</v>
          </cell>
          <cell r="D282" t="str">
            <v>FARFALLES 3 OEUFS FRAIS</v>
          </cell>
          <cell r="E282">
            <v>1649.1467838461538</v>
          </cell>
          <cell r="F282">
            <v>1493.5915580769231</v>
          </cell>
          <cell r="G282">
            <v>1599.0376465384616</v>
          </cell>
          <cell r="H282">
            <v>1525.2253846153847</v>
          </cell>
          <cell r="I282">
            <v>1347.2739876923076</v>
          </cell>
          <cell r="J282">
            <v>1479.1260888461538</v>
          </cell>
          <cell r="K282">
            <v>1613.592096923077</v>
          </cell>
          <cell r="L282">
            <v>1411.9375753846155</v>
          </cell>
          <cell r="M282">
            <v>1435.6406999999999</v>
          </cell>
          <cell r="N282">
            <v>1552.9828413461539</v>
          </cell>
          <cell r="O282">
            <v>1517.3836638461539</v>
          </cell>
          <cell r="P282">
            <v>1748.0581050000001</v>
          </cell>
          <cell r="R282">
            <v>18372.996432115386</v>
          </cell>
        </row>
        <row r="283">
          <cell r="C283">
            <v>439994</v>
          </cell>
          <cell r="D283" t="str">
            <v>PAPIER SULFURISE</v>
          </cell>
          <cell r="E283">
            <v>11134.148938954932</v>
          </cell>
          <cell r="F283">
            <v>11607.373327827276</v>
          </cell>
          <cell r="G283">
            <v>10051.766718420773</v>
          </cell>
          <cell r="H283">
            <v>10746.537688616025</v>
          </cell>
          <cell r="I283">
            <v>12346.89686335174</v>
          </cell>
          <cell r="J283">
            <v>20040.798300671031</v>
          </cell>
          <cell r="K283">
            <v>16991.280398751216</v>
          </cell>
          <cell r="L283">
            <v>6603.168375098463</v>
          </cell>
          <cell r="M283">
            <v>6416.9124441792155</v>
          </cell>
          <cell r="N283">
            <v>16004.938822908047</v>
          </cell>
          <cell r="O283">
            <v>7554.1544587250009</v>
          </cell>
          <cell r="P283">
            <v>9920.6042391276296</v>
          </cell>
          <cell r="R283">
            <v>139418.58057663136</v>
          </cell>
        </row>
        <row r="284">
          <cell r="C284">
            <v>338217</v>
          </cell>
          <cell r="D284" t="str">
            <v>RIZ LONG BASMATI QS</v>
          </cell>
          <cell r="E284">
            <v>2500.4524022354517</v>
          </cell>
          <cell r="F284">
            <v>2480.1578317056164</v>
          </cell>
          <cell r="G284">
            <v>3202.4651158066667</v>
          </cell>
          <cell r="H284">
            <v>2011.3250320174466</v>
          </cell>
          <cell r="I284">
            <v>3032.3363338748663</v>
          </cell>
          <cell r="J284">
            <v>10437.745805680213</v>
          </cell>
          <cell r="K284">
            <v>1817.6008542432594</v>
          </cell>
          <cell r="L284">
            <v>1383.4104804090962</v>
          </cell>
          <cell r="M284">
            <v>1028.8059039063942</v>
          </cell>
          <cell r="N284">
            <v>17400.128495753768</v>
          </cell>
          <cell r="O284">
            <v>1224.5095396926051</v>
          </cell>
          <cell r="P284">
            <v>3314.6562995991708</v>
          </cell>
          <cell r="R284">
            <v>49833.594094924556</v>
          </cell>
        </row>
        <row r="285">
          <cell r="C285">
            <v>338218</v>
          </cell>
          <cell r="D285" t="str">
            <v>RIZ SAUVAGE</v>
          </cell>
          <cell r="E285">
            <v>81.400424615384622</v>
          </cell>
          <cell r="F285">
            <v>76.443240000000003</v>
          </cell>
          <cell r="G285">
            <v>72.923447076923082</v>
          </cell>
          <cell r="H285">
            <v>71.907320153846157</v>
          </cell>
          <cell r="I285">
            <v>69.552561538461532</v>
          </cell>
          <cell r="J285">
            <v>82.416551538461533</v>
          </cell>
          <cell r="K285">
            <v>101.03164307692307</v>
          </cell>
          <cell r="L285">
            <v>101.03164307692307</v>
          </cell>
          <cell r="M285">
            <v>195.22920769230768</v>
          </cell>
          <cell r="N285">
            <v>84.954783538461541</v>
          </cell>
          <cell r="O285">
            <v>80.483057692307696</v>
          </cell>
          <cell r="P285">
            <v>118.66913780769231</v>
          </cell>
          <cell r="R285">
            <v>1136.0430178076924</v>
          </cell>
        </row>
        <row r="286">
          <cell r="C286">
            <v>338299</v>
          </cell>
          <cell r="D286" t="str">
            <v>HARISSA 4/4 760G NET</v>
          </cell>
          <cell r="E286">
            <v>190.20285051255689</v>
          </cell>
          <cell r="F286">
            <v>175.37335180283154</v>
          </cell>
          <cell r="G286">
            <v>208.35780353090706</v>
          </cell>
          <cell r="H286">
            <v>183.3061439391912</v>
          </cell>
          <cell r="I286">
            <v>137.68017081394049</v>
          </cell>
          <cell r="J286">
            <v>192.02169797539389</v>
          </cell>
          <cell r="K286">
            <v>198.1720594232666</v>
          </cell>
          <cell r="L286">
            <v>127.86027161940336</v>
          </cell>
          <cell r="M286">
            <v>96.709886198637491</v>
          </cell>
          <cell r="N286">
            <v>145.00496875509987</v>
          </cell>
          <cell r="O286">
            <v>151.19181862011959</v>
          </cell>
          <cell r="P286">
            <v>150.86628397465378</v>
          </cell>
          <cell r="R286">
            <v>1956.7473071660017</v>
          </cell>
        </row>
        <row r="287">
          <cell r="C287">
            <v>342794</v>
          </cell>
          <cell r="D287" t="str">
            <v>POLENTA TRAD GRAIN MOYEN</v>
          </cell>
          <cell r="L287">
            <v>3.7206008333333331</v>
          </cell>
          <cell r="M287">
            <v>111.618025</v>
          </cell>
          <cell r="P287">
            <v>37.206008333333337</v>
          </cell>
          <cell r="R287">
            <v>152.54463416666667</v>
          </cell>
        </row>
        <row r="288">
          <cell r="C288">
            <v>360409</v>
          </cell>
          <cell r="D288" t="str">
            <v>ROSTI DE POMME DE TERRE EN GALETTE 30 G</v>
          </cell>
          <cell r="E288">
            <v>297.97512461538463</v>
          </cell>
          <cell r="F288">
            <v>297.97512461538463</v>
          </cell>
          <cell r="G288">
            <v>297.97512461538463</v>
          </cell>
          <cell r="H288">
            <v>397.30016615384613</v>
          </cell>
          <cell r="I288">
            <v>337.70514123076924</v>
          </cell>
          <cell r="J288">
            <v>367.50265369230772</v>
          </cell>
          <cell r="K288">
            <v>307.90762876923077</v>
          </cell>
          <cell r="L288">
            <v>260.72823403846155</v>
          </cell>
          <cell r="M288">
            <v>268.17761215384616</v>
          </cell>
          <cell r="N288">
            <v>446.96268692307694</v>
          </cell>
          <cell r="O288">
            <v>372.46890576923079</v>
          </cell>
          <cell r="P288">
            <v>273.14386423076922</v>
          </cell>
          <cell r="R288">
            <v>3925.8222668076928</v>
          </cell>
        </row>
        <row r="289">
          <cell r="C289">
            <v>446332</v>
          </cell>
          <cell r="D289" t="str">
            <v>BARQUETTE KG H60 TRANSPARENTE HOPP CODE 22271M</v>
          </cell>
          <cell r="E289">
            <v>1414</v>
          </cell>
          <cell r="F289">
            <v>1535.2</v>
          </cell>
          <cell r="G289">
            <v>1292.8</v>
          </cell>
          <cell r="H289">
            <v>1414</v>
          </cell>
          <cell r="I289">
            <v>1333.2</v>
          </cell>
          <cell r="J289">
            <v>10099.999557525773</v>
          </cell>
          <cell r="K289">
            <v>1826</v>
          </cell>
          <cell r="L289">
            <v>6594.8</v>
          </cell>
          <cell r="M289">
            <v>3434.4</v>
          </cell>
          <cell r="N289">
            <v>22421.995035051546</v>
          </cell>
          <cell r="O289">
            <v>1292.8</v>
          </cell>
          <cell r="P289">
            <v>26391.27514247732</v>
          </cell>
          <cell r="R289">
            <v>79050.469735054634</v>
          </cell>
        </row>
        <row r="290">
          <cell r="C290">
            <v>446340</v>
          </cell>
          <cell r="D290" t="str">
            <v>BARQUETTE TRANSP 228X179X40 P2227-1Q PP</v>
          </cell>
          <cell r="E290">
            <v>5252.8581732499997</v>
          </cell>
          <cell r="F290">
            <v>5098.3623446250003</v>
          </cell>
          <cell r="G290">
            <v>4943.866516</v>
          </cell>
          <cell r="H290">
            <v>4789.3706873749998</v>
          </cell>
          <cell r="I290">
            <v>4634.8748587500004</v>
          </cell>
          <cell r="J290">
            <v>4634.8748587500004</v>
          </cell>
          <cell r="K290">
            <v>4943.866516</v>
          </cell>
          <cell r="L290">
            <v>4943.866516</v>
          </cell>
          <cell r="M290">
            <v>4789.3706873749998</v>
          </cell>
          <cell r="N290">
            <v>5407.354001875</v>
          </cell>
          <cell r="O290">
            <v>5407.354001875</v>
          </cell>
          <cell r="P290">
            <v>5407.354001875</v>
          </cell>
          <cell r="R290">
            <v>60253.373163750002</v>
          </cell>
        </row>
        <row r="291">
          <cell r="C291">
            <v>338021</v>
          </cell>
          <cell r="D291" t="str">
            <v>BLANC D OEUF POUDRE</v>
          </cell>
          <cell r="L291">
            <v>1.2875768518518518</v>
          </cell>
          <cell r="M291">
            <v>45.708970601851853</v>
          </cell>
          <cell r="P291">
            <v>3.8627305555555553</v>
          </cell>
          <cell r="R291">
            <v>50.859278009259263</v>
          </cell>
        </row>
        <row r="292">
          <cell r="C292">
            <v>346161</v>
          </cell>
          <cell r="D292" t="str">
            <v>MERGUEZ BOEUF MOUTON CRUE 34G FR</v>
          </cell>
          <cell r="E292">
            <v>4919.1083334218874</v>
          </cell>
          <cell r="F292">
            <v>4211.9849815186362</v>
          </cell>
          <cell r="G292">
            <v>4728.5374793774781</v>
          </cell>
          <cell r="H292">
            <v>4227.4518225733545</v>
          </cell>
          <cell r="I292">
            <v>4097.1269042109434</v>
          </cell>
          <cell r="J292">
            <v>5142.4803705075337</v>
          </cell>
          <cell r="K292">
            <v>4324.3287236340202</v>
          </cell>
          <cell r="L292">
            <v>4152.0176058921488</v>
          </cell>
          <cell r="M292">
            <v>3761.7548941435371</v>
          </cell>
          <cell r="N292">
            <v>4176.7584559000798</v>
          </cell>
          <cell r="O292">
            <v>4369.8373190265665</v>
          </cell>
          <cell r="P292">
            <v>4348.4472127398885</v>
          </cell>
          <cell r="R292">
            <v>52459.834102946086</v>
          </cell>
        </row>
        <row r="293">
          <cell r="C293">
            <v>346951</v>
          </cell>
          <cell r="D293" t="str">
            <v>PORC LARDON CUIT FUME VPF 8X10XHP IQF</v>
          </cell>
          <cell r="E293">
            <v>924.3908360598291</v>
          </cell>
          <cell r="F293">
            <v>452.7619433803419</v>
          </cell>
          <cell r="G293">
            <v>489.07418098824786</v>
          </cell>
          <cell r="H293">
            <v>445.94042670940172</v>
          </cell>
          <cell r="I293">
            <v>894.14166397435895</v>
          </cell>
          <cell r="J293">
            <v>2311.8350586955758</v>
          </cell>
          <cell r="K293">
            <v>3941.8476233802544</v>
          </cell>
          <cell r="L293">
            <v>1810.5239582992483</v>
          </cell>
          <cell r="M293">
            <v>1882.1635003566159</v>
          </cell>
          <cell r="N293">
            <v>1879.4073655206244</v>
          </cell>
          <cell r="O293">
            <v>1493.6667449177257</v>
          </cell>
          <cell r="P293">
            <v>1021.6317354247492</v>
          </cell>
          <cell r="R293">
            <v>17547.385037706972</v>
          </cell>
        </row>
        <row r="294">
          <cell r="C294">
            <v>360471</v>
          </cell>
          <cell r="D294" t="str">
            <v>SAUCISSES AUX HERBES VPF 80g</v>
          </cell>
          <cell r="E294">
            <v>544</v>
          </cell>
          <cell r="F294">
            <v>528</v>
          </cell>
          <cell r="G294">
            <v>512</v>
          </cell>
          <cell r="H294">
            <v>496</v>
          </cell>
          <cell r="I294">
            <v>480</v>
          </cell>
          <cell r="J294">
            <v>544</v>
          </cell>
          <cell r="K294">
            <v>576</v>
          </cell>
          <cell r="L294">
            <v>576</v>
          </cell>
          <cell r="M294">
            <v>496</v>
          </cell>
          <cell r="N294">
            <v>560</v>
          </cell>
          <cell r="O294">
            <v>544</v>
          </cell>
          <cell r="P294">
            <v>544</v>
          </cell>
          <cell r="R294">
            <v>6400</v>
          </cell>
        </row>
        <row r="295">
          <cell r="C295">
            <v>338434</v>
          </cell>
          <cell r="D295" t="str">
            <v>EFFILOCHE DE CANARD MAIGRE CONFIT PASTEURISE FRAIS</v>
          </cell>
          <cell r="M295">
            <v>59.412698076923078</v>
          </cell>
          <cell r="R295">
            <v>59.412698076923078</v>
          </cell>
        </row>
        <row r="296">
          <cell r="C296">
            <v>338054</v>
          </cell>
          <cell r="D296" t="str">
            <v>MIX POUR CHILI</v>
          </cell>
          <cell r="E296">
            <v>244.86204480769231</v>
          </cell>
          <cell r="F296">
            <v>161.22805124999999</v>
          </cell>
          <cell r="G296">
            <v>3.2614413461538461</v>
          </cell>
          <cell r="H296">
            <v>3.3546253846153844</v>
          </cell>
          <cell r="I296">
            <v>112.65633365384615</v>
          </cell>
          <cell r="J296">
            <v>150.99707759615384</v>
          </cell>
          <cell r="K296">
            <v>91.243275384615387</v>
          </cell>
          <cell r="L296">
            <v>3.3546253846153844</v>
          </cell>
          <cell r="M296">
            <v>2.5159690384615385</v>
          </cell>
          <cell r="N296">
            <v>3.3546253846153844</v>
          </cell>
          <cell r="O296">
            <v>135.00123230769231</v>
          </cell>
          <cell r="P296">
            <v>55.994631346153845</v>
          </cell>
          <cell r="R296">
            <v>967.82393288461537</v>
          </cell>
        </row>
        <row r="297">
          <cell r="C297">
            <v>338238</v>
          </cell>
          <cell r="D297" t="str">
            <v>LAIT 1/2 ECREME UHT</v>
          </cell>
          <cell r="E297">
            <v>500.87635205128203</v>
          </cell>
          <cell r="F297">
            <v>494.65022051282051</v>
          </cell>
          <cell r="G297">
            <v>488.42408897435899</v>
          </cell>
          <cell r="H297">
            <v>539.58904096153844</v>
          </cell>
          <cell r="I297">
            <v>493.22255775213677</v>
          </cell>
          <cell r="J297">
            <v>529.68708576923075</v>
          </cell>
          <cell r="K297">
            <v>531.97801434188034</v>
          </cell>
          <cell r="L297">
            <v>490.89357613247864</v>
          </cell>
          <cell r="M297">
            <v>763.59964910042731</v>
          </cell>
          <cell r="N297">
            <v>605.51928012820508</v>
          </cell>
          <cell r="O297">
            <v>545.97469323717951</v>
          </cell>
          <cell r="P297">
            <v>585.94737762820512</v>
          </cell>
          <cell r="R297">
            <v>6570.361936589743</v>
          </cell>
        </row>
        <row r="298">
          <cell r="C298">
            <v>338461</v>
          </cell>
          <cell r="D298" t="str">
            <v>CREME UHT SANS CARRAGHENANE</v>
          </cell>
          <cell r="E298">
            <v>18491.310262060735</v>
          </cell>
          <cell r="F298">
            <v>15185.841960698524</v>
          </cell>
          <cell r="G298">
            <v>12568.841570847235</v>
          </cell>
          <cell r="H298">
            <v>14331.44791901192</v>
          </cell>
          <cell r="I298">
            <v>15054.740669802304</v>
          </cell>
          <cell r="J298">
            <v>22026.398160513985</v>
          </cell>
          <cell r="K298">
            <v>28139.909838954169</v>
          </cell>
          <cell r="L298">
            <v>21259.444170354302</v>
          </cell>
          <cell r="M298">
            <v>39112.57972440344</v>
          </cell>
          <cell r="N298">
            <v>16946.174368019176</v>
          </cell>
          <cell r="O298">
            <v>14820.563260260373</v>
          </cell>
          <cell r="P298">
            <v>20533.46513569391</v>
          </cell>
          <cell r="R298">
            <v>238470.7170406201</v>
          </cell>
        </row>
        <row r="299">
          <cell r="C299">
            <v>340001</v>
          </cell>
          <cell r="D299" t="str">
            <v xml:space="preserve">AGAR AGAR </v>
          </cell>
          <cell r="E299">
            <v>30.763512226923076</v>
          </cell>
          <cell r="F299">
            <v>14.465061538461539</v>
          </cell>
          <cell r="G299">
            <v>14.063248653846154</v>
          </cell>
          <cell r="H299">
            <v>14.188897499999999</v>
          </cell>
          <cell r="I299">
            <v>13.381074038461538</v>
          </cell>
          <cell r="J299">
            <v>14.773912884615385</v>
          </cell>
          <cell r="K299">
            <v>15.602142307692308</v>
          </cell>
          <cell r="L299">
            <v>15.011187269230769</v>
          </cell>
          <cell r="M299">
            <v>55.156313630645158</v>
          </cell>
          <cell r="N299">
            <v>16.979004384615383</v>
          </cell>
          <cell r="O299">
            <v>14.033482307692308</v>
          </cell>
          <cell r="P299">
            <v>14.381493615384615</v>
          </cell>
          <cell r="R299">
            <v>232.79933035756821</v>
          </cell>
        </row>
        <row r="300">
          <cell r="C300">
            <v>360470</v>
          </cell>
          <cell r="D300" t="str">
            <v>POMME DE TERRE PDT PRE FRITES COUPE ROAST FRANCE 12x20x20 RISSOL</v>
          </cell>
          <cell r="E300">
            <v>2469.999248366013</v>
          </cell>
          <cell r="F300">
            <v>592.79981960784312</v>
          </cell>
          <cell r="G300">
            <v>592.79981960784312</v>
          </cell>
          <cell r="H300">
            <v>642.1998045751634</v>
          </cell>
          <cell r="I300">
            <v>790.39975947712423</v>
          </cell>
          <cell r="J300">
            <v>1481.9995490196079</v>
          </cell>
          <cell r="K300">
            <v>1481.9995490196079</v>
          </cell>
          <cell r="N300">
            <v>592.79981960784312</v>
          </cell>
          <cell r="O300">
            <v>592.79981960784312</v>
          </cell>
          <cell r="P300">
            <v>592.79981960784312</v>
          </cell>
          <cell r="R300">
            <v>9830.5970084967303</v>
          </cell>
        </row>
        <row r="301">
          <cell r="C301">
            <v>490977</v>
          </cell>
          <cell r="D301" t="str">
            <v xml:space="preserve">FOURR TG RISOTTOCIT 2019 </v>
          </cell>
          <cell r="L301">
            <v>505.00000509259257</v>
          </cell>
          <cell r="M301">
            <v>51005.00051435185</v>
          </cell>
          <cell r="P301">
            <v>3030.0000305555554</v>
          </cell>
          <cell r="R301">
            <v>54540.000550000004</v>
          </cell>
        </row>
        <row r="302">
          <cell r="C302">
            <v>338260</v>
          </cell>
          <cell r="D302" t="str">
            <v>CAROTTE PARISIENNE BLANCHI 10X18 MM (LCA49003)</v>
          </cell>
          <cell r="E302">
            <v>187.02030569444443</v>
          </cell>
          <cell r="F302">
            <v>187.02030569444443</v>
          </cell>
          <cell r="G302">
            <v>187.02030569444443</v>
          </cell>
          <cell r="H302">
            <v>170.01845972222222</v>
          </cell>
          <cell r="I302">
            <v>170.01845972222222</v>
          </cell>
          <cell r="J302">
            <v>170.01845972222222</v>
          </cell>
          <cell r="K302">
            <v>227.82473602777779</v>
          </cell>
          <cell r="L302">
            <v>210.82289005555555</v>
          </cell>
          <cell r="M302">
            <v>224.42436683333332</v>
          </cell>
          <cell r="N302">
            <v>180.21956730555556</v>
          </cell>
          <cell r="O302">
            <v>176.81919811111112</v>
          </cell>
          <cell r="P302">
            <v>187.02030569444443</v>
          </cell>
          <cell r="R302">
            <v>2278.2473602777777</v>
          </cell>
        </row>
        <row r="303">
          <cell r="C303">
            <v>338471</v>
          </cell>
          <cell r="D303" t="str">
            <v>CIBOULE  SURG TUBE IQF (OU CEBETTE/ OIGNONS DE PRINTEMPS)</v>
          </cell>
          <cell r="E303">
            <v>92.097020000000001</v>
          </cell>
          <cell r="F303">
            <v>35.64</v>
          </cell>
          <cell r="G303">
            <v>11.88</v>
          </cell>
          <cell r="H303">
            <v>24.75</v>
          </cell>
          <cell r="I303">
            <v>46.53</v>
          </cell>
          <cell r="J303">
            <v>92.186601264007166</v>
          </cell>
          <cell r="K303">
            <v>34.65</v>
          </cell>
          <cell r="M303">
            <v>472.22690629032257</v>
          </cell>
          <cell r="N303">
            <v>127.87113503568597</v>
          </cell>
          <cell r="O303">
            <v>24.230800192307694</v>
          </cell>
          <cell r="P303">
            <v>29.603449000000001</v>
          </cell>
          <cell r="R303">
            <v>991.66591178232329</v>
          </cell>
        </row>
        <row r="304">
          <cell r="C304">
            <v>361005</v>
          </cell>
          <cell r="D304" t="str">
            <v>CELERI RAVE BLANCHI CUBE 6*6 SGL (LCL51006)</v>
          </cell>
          <cell r="E304">
            <v>154.30507</v>
          </cell>
          <cell r="J304">
            <v>134.60608500672345</v>
          </cell>
          <cell r="L304">
            <v>3.720956712962963</v>
          </cell>
          <cell r="M304">
            <v>777.06740292861411</v>
          </cell>
          <cell r="N304">
            <v>17.498513092783504</v>
          </cell>
          <cell r="P304">
            <v>22.325740277777779</v>
          </cell>
          <cell r="R304">
            <v>1109.5237680188618</v>
          </cell>
        </row>
        <row r="305">
          <cell r="C305">
            <v>339460</v>
          </cell>
          <cell r="D305" t="str">
            <v>OMELETTE NATURE BROUILLES SURGELES OEUF FRANCE</v>
          </cell>
          <cell r="J305">
            <v>285.96092474226805</v>
          </cell>
          <cell r="N305">
            <v>399.70635153449643</v>
          </cell>
          <cell r="O305">
            <v>4.9439990769230766</v>
          </cell>
          <cell r="P305">
            <v>34.120246999999999</v>
          </cell>
          <cell r="R305">
            <v>724.73152235368752</v>
          </cell>
        </row>
        <row r="306">
          <cell r="C306">
            <v>338418</v>
          </cell>
          <cell r="D306" t="str">
            <v>MOULES COQUILLES 80/110 ENTIERES FERMEES SURG</v>
          </cell>
          <cell r="E306">
            <v>1612</v>
          </cell>
          <cell r="F306">
            <v>1434</v>
          </cell>
          <cell r="G306">
            <v>2132.8000000000002</v>
          </cell>
          <cell r="H306">
            <v>1442</v>
          </cell>
          <cell r="I306">
            <v>1492</v>
          </cell>
          <cell r="J306">
            <v>2462</v>
          </cell>
          <cell r="K306">
            <v>1368</v>
          </cell>
          <cell r="L306">
            <v>1230.4000000000001</v>
          </cell>
          <cell r="M306">
            <v>1252.8</v>
          </cell>
          <cell r="N306">
            <v>1318</v>
          </cell>
          <cell r="O306">
            <v>1298.8</v>
          </cell>
          <cell r="P306">
            <v>1977.6</v>
          </cell>
          <cell r="R306">
            <v>19020.399999999998</v>
          </cell>
        </row>
        <row r="307">
          <cell r="C307">
            <v>338523</v>
          </cell>
          <cell r="D307" t="str">
            <v>CHOUX FARCIS CUIT ENVIRON 160G SURG</v>
          </cell>
          <cell r="E307">
            <v>2306.3039955555555</v>
          </cell>
          <cell r="F307">
            <v>2018.015996111111</v>
          </cell>
          <cell r="G307">
            <v>5072.6759919444448</v>
          </cell>
          <cell r="H307">
            <v>2018.015996111111</v>
          </cell>
          <cell r="I307">
            <v>2018.015996111111</v>
          </cell>
          <cell r="J307">
            <v>3315.3119936111111</v>
          </cell>
          <cell r="K307">
            <v>4036.031992222222</v>
          </cell>
          <cell r="L307">
            <v>3228.8255937777776</v>
          </cell>
          <cell r="M307">
            <v>1902.7007963333333</v>
          </cell>
          <cell r="N307">
            <v>2882.8799944444445</v>
          </cell>
          <cell r="O307">
            <v>7151.759988888889</v>
          </cell>
          <cell r="P307">
            <v>3171.1679938888888</v>
          </cell>
          <cell r="R307">
            <v>39121.706329000001</v>
          </cell>
        </row>
        <row r="308">
          <cell r="C308">
            <v>338212</v>
          </cell>
          <cell r="D308" t="str">
            <v>POIVRE DE SICHOUAN MOULU</v>
          </cell>
          <cell r="E308">
            <v>4.2551746413043476</v>
          </cell>
          <cell r="F308">
            <v>0.48328452173913045</v>
          </cell>
          <cell r="G308">
            <v>5.0958035652173912</v>
          </cell>
          <cell r="H308">
            <v>0.43934956521739132</v>
          </cell>
          <cell r="I308">
            <v>5.073836086956522</v>
          </cell>
          <cell r="J308">
            <v>19.018459499729339</v>
          </cell>
          <cell r="K308">
            <v>0.45326965217391302</v>
          </cell>
          <cell r="L308">
            <v>0.78501175217391306</v>
          </cell>
          <cell r="M308">
            <v>0.13180486956521739</v>
          </cell>
          <cell r="N308">
            <v>37.893024619227319</v>
          </cell>
          <cell r="O308">
            <v>0.51002364021739133</v>
          </cell>
          <cell r="P308">
            <v>7.0669044481605354</v>
          </cell>
          <cell r="R308">
            <v>81.205946861682435</v>
          </cell>
        </row>
        <row r="309">
          <cell r="C309">
            <v>370002</v>
          </cell>
          <cell r="D309" t="str">
            <v>OIGNON CUBE 10x10 CUIT POCHE STERILISE  REF 1336002 (poche 10kg)</v>
          </cell>
          <cell r="E309">
            <v>4258.7529446550225</v>
          </cell>
          <cell r="F309">
            <v>6175.1048149245462</v>
          </cell>
          <cell r="G309">
            <v>5618.3073421700929</v>
          </cell>
          <cell r="H309">
            <v>7655.7476420826815</v>
          </cell>
          <cell r="I309">
            <v>9080.1904201927282</v>
          </cell>
          <cell r="J309">
            <v>12393.960953534845</v>
          </cell>
          <cell r="K309">
            <v>12140.697704334023</v>
          </cell>
          <cell r="L309">
            <v>2983.2244790813552</v>
          </cell>
          <cell r="M309">
            <v>5646.1969449740918</v>
          </cell>
          <cell r="N309">
            <v>6682.510003125517</v>
          </cell>
          <cell r="O309">
            <v>4821.972141504998</v>
          </cell>
          <cell r="P309">
            <v>5284.9306953065907</v>
          </cell>
          <cell r="R309">
            <v>82741.5960858865</v>
          </cell>
        </row>
        <row r="310">
          <cell r="C310">
            <v>339737</v>
          </cell>
          <cell r="D310" t="str">
            <v>HUILE DE SESAME</v>
          </cell>
          <cell r="E310">
            <v>443.05492013375169</v>
          </cell>
          <cell r="F310">
            <v>148.24809496683102</v>
          </cell>
          <cell r="G310">
            <v>301.88514170663382</v>
          </cell>
          <cell r="H310">
            <v>65.022307073509637</v>
          </cell>
          <cell r="I310">
            <v>306.64919224809501</v>
          </cell>
          <cell r="J310">
            <v>1674.7675054541539</v>
          </cell>
          <cell r="K310">
            <v>60.434279941057824</v>
          </cell>
          <cell r="L310">
            <v>87.093316767761095</v>
          </cell>
          <cell r="M310">
            <v>44.234196275212909</v>
          </cell>
          <cell r="N310">
            <v>3455.1692625940191</v>
          </cell>
          <cell r="O310">
            <v>75.54409364726925</v>
          </cell>
          <cell r="P310">
            <v>494.23345509335815</v>
          </cell>
          <cell r="R310">
            <v>7156.3357659016538</v>
          </cell>
        </row>
        <row r="311">
          <cell r="C311">
            <v>338372</v>
          </cell>
          <cell r="D311" t="str">
            <v>VIN BLANC 11 DEGRES</v>
          </cell>
          <cell r="E311">
            <v>3975.9266472312884</v>
          </cell>
          <cell r="F311">
            <v>3674.9536877676119</v>
          </cell>
          <cell r="G311">
            <v>2391.5718711853401</v>
          </cell>
          <cell r="H311">
            <v>2688.1965712588189</v>
          </cell>
          <cell r="I311">
            <v>2882.2637592232736</v>
          </cell>
          <cell r="J311">
            <v>3285.5944610145975</v>
          </cell>
          <cell r="K311">
            <v>3419.394570325454</v>
          </cell>
          <cell r="L311">
            <v>3293.6901339032074</v>
          </cell>
          <cell r="M311">
            <v>5096.2194334622691</v>
          </cell>
          <cell r="N311">
            <v>3124.4651478534406</v>
          </cell>
          <cell r="O311">
            <v>3155.1860364199624</v>
          </cell>
          <cell r="P311">
            <v>3595.1629686471529</v>
          </cell>
          <cell r="R311">
            <v>40582.625288292409</v>
          </cell>
        </row>
        <row r="312">
          <cell r="C312">
            <v>338373</v>
          </cell>
          <cell r="D312" t="str">
            <v>VIN ROUGE 11Ø</v>
          </cell>
          <cell r="H312">
            <v>1422.66795</v>
          </cell>
          <cell r="I312">
            <v>2087.7876861111113</v>
          </cell>
          <cell r="J312">
            <v>14217.386538711438</v>
          </cell>
          <cell r="K312">
            <v>15712.600279181717</v>
          </cell>
          <cell r="L312">
            <v>1348.3201230392158</v>
          </cell>
          <cell r="M312">
            <v>21.121864800000001</v>
          </cell>
          <cell r="R312">
            <v>34809.884441843482</v>
          </cell>
        </row>
        <row r="313">
          <cell r="C313">
            <v>436658</v>
          </cell>
          <cell r="D313" t="str">
            <v>LEAFLET MENU EXQUIS ITM 2024</v>
          </cell>
          <cell r="M313">
            <v>16665.000160416668</v>
          </cell>
          <cell r="R313">
            <v>16665.000160416668</v>
          </cell>
        </row>
        <row r="314">
          <cell r="C314">
            <v>436659</v>
          </cell>
          <cell r="D314" t="str">
            <v>LEAFLET MENU GOURMET ITM 2024</v>
          </cell>
          <cell r="M314">
            <v>17271.00016625</v>
          </cell>
          <cell r="R314">
            <v>17271.00016625</v>
          </cell>
        </row>
        <row r="315">
          <cell r="C315">
            <v>531957</v>
          </cell>
          <cell r="D315" t="str">
            <v>ETIQUETTE THERMIQUE NEUTRE 40X50 MANDRIN 40</v>
          </cell>
          <cell r="J315">
            <v>600</v>
          </cell>
          <cell r="K315">
            <v>19500</v>
          </cell>
          <cell r="P315">
            <v>420</v>
          </cell>
          <cell r="R315">
            <v>20520</v>
          </cell>
        </row>
        <row r="316">
          <cell r="C316">
            <v>538122</v>
          </cell>
          <cell r="D316" t="str">
            <v xml:space="preserve">ETIQUETTE 60X149 MM THERMIQUE BLANC </v>
          </cell>
          <cell r="E316">
            <v>179553.25550367453</v>
          </cell>
          <cell r="F316">
            <v>160878.65763310995</v>
          </cell>
          <cell r="G316">
            <v>160203.84447377696</v>
          </cell>
          <cell r="H316">
            <v>157677.51610144554</v>
          </cell>
          <cell r="I316">
            <v>173121.34232840591</v>
          </cell>
          <cell r="J316">
            <v>241258.37477563444</v>
          </cell>
          <cell r="K316">
            <v>244747.17640640357</v>
          </cell>
          <cell r="L316">
            <v>164441.10206906806</v>
          </cell>
          <cell r="M316">
            <v>246999.44917537807</v>
          </cell>
          <cell r="N316">
            <v>220189.72805906969</v>
          </cell>
          <cell r="O316">
            <v>163458.49170333298</v>
          </cell>
          <cell r="P316">
            <v>184697.63403230853</v>
          </cell>
          <cell r="R316">
            <v>2297226.5722616082</v>
          </cell>
        </row>
        <row r="317">
          <cell r="C317">
            <v>540352</v>
          </cell>
          <cell r="D317" t="str">
            <v>ETQ 96 X 85 REPOSIT SECHEUSE</v>
          </cell>
          <cell r="E317">
            <v>68805.624448807968</v>
          </cell>
          <cell r="F317">
            <v>66374.953694913289</v>
          </cell>
          <cell r="G317">
            <v>82481.832046371739</v>
          </cell>
          <cell r="H317">
            <v>59502.783525264495</v>
          </cell>
          <cell r="I317">
            <v>74942.228858054106</v>
          </cell>
          <cell r="J317">
            <v>147433.93348693842</v>
          </cell>
          <cell r="K317">
            <v>113141.29112744445</v>
          </cell>
          <cell r="L317">
            <v>94751.562890715461</v>
          </cell>
          <cell r="M317">
            <v>75346.043821953135</v>
          </cell>
          <cell r="N317">
            <v>129820.49096076449</v>
          </cell>
          <cell r="O317">
            <v>76758.870303811593</v>
          </cell>
          <cell r="P317">
            <v>99062.209945071256</v>
          </cell>
          <cell r="R317">
            <v>1088421.8251101105</v>
          </cell>
        </row>
        <row r="318">
          <cell r="C318">
            <v>540784</v>
          </cell>
          <cell r="D318" t="str">
            <v xml:space="preserve">ETI TH NEUTRE 80x80 DESSOUS GLME/I </v>
          </cell>
          <cell r="E318">
            <v>498887.15389933082</v>
          </cell>
          <cell r="F318">
            <v>434053.99036090565</v>
          </cell>
          <cell r="G318">
            <v>446841.42998577113</v>
          </cell>
          <cell r="H318">
            <v>438512.14563308819</v>
          </cell>
          <cell r="I318">
            <v>447747.06310286955</v>
          </cell>
          <cell r="J318">
            <v>616454.90505593282</v>
          </cell>
          <cell r="K318">
            <v>599870.45176018972</v>
          </cell>
          <cell r="L318">
            <v>446288.82991201925</v>
          </cell>
          <cell r="M318">
            <v>771915.72684554779</v>
          </cell>
          <cell r="N318">
            <v>657516.58809867292</v>
          </cell>
          <cell r="O318">
            <v>435920.47854473657</v>
          </cell>
          <cell r="P318">
            <v>528936.79039670748</v>
          </cell>
          <cell r="R318">
            <v>6322945.553595772</v>
          </cell>
        </row>
        <row r="319">
          <cell r="C319">
            <v>544673</v>
          </cell>
          <cell r="D319" t="str">
            <v>ETI CRF 63x75 TRANSP MONO BRANDADE</v>
          </cell>
          <cell r="E319">
            <v>8484</v>
          </cell>
          <cell r="F319">
            <v>6868</v>
          </cell>
          <cell r="G319">
            <v>6464</v>
          </cell>
          <cell r="H319">
            <v>6262</v>
          </cell>
          <cell r="I319">
            <v>5454</v>
          </cell>
          <cell r="J319">
            <v>6868</v>
          </cell>
          <cell r="K319">
            <v>6262</v>
          </cell>
          <cell r="L319">
            <v>6464</v>
          </cell>
          <cell r="M319">
            <v>6666</v>
          </cell>
          <cell r="N319">
            <v>7272</v>
          </cell>
          <cell r="O319">
            <v>6868</v>
          </cell>
          <cell r="P319">
            <v>6868</v>
          </cell>
          <cell r="R319">
            <v>80800</v>
          </cell>
        </row>
        <row r="320">
          <cell r="C320">
            <v>544675</v>
          </cell>
          <cell r="D320" t="str">
            <v>ETI CRF 63x75 TRANSP MONO SPAGBOLO</v>
          </cell>
          <cell r="E320">
            <v>27348.2</v>
          </cell>
          <cell r="F320">
            <v>27268</v>
          </cell>
          <cell r="G320">
            <v>25664</v>
          </cell>
          <cell r="H320">
            <v>26466</v>
          </cell>
          <cell r="I320">
            <v>30075</v>
          </cell>
          <cell r="J320">
            <v>26466</v>
          </cell>
          <cell r="K320">
            <v>27669</v>
          </cell>
          <cell r="L320">
            <v>22055</v>
          </cell>
          <cell r="M320">
            <v>22857</v>
          </cell>
          <cell r="N320">
            <v>25062.5</v>
          </cell>
          <cell r="O320">
            <v>26065</v>
          </cell>
          <cell r="P320">
            <v>29072.5</v>
          </cell>
          <cell r="R320">
            <v>316068.2</v>
          </cell>
        </row>
        <row r="321">
          <cell r="C321">
            <v>544679</v>
          </cell>
          <cell r="D321" t="str">
            <v>ETI CRF 63x75 TRANSP MONO SAUMONBBL</v>
          </cell>
          <cell r="E321">
            <v>19391.980615384615</v>
          </cell>
          <cell r="F321">
            <v>19391.980615384615</v>
          </cell>
          <cell r="G321">
            <v>18583.981423076923</v>
          </cell>
          <cell r="H321">
            <v>19391.980615384615</v>
          </cell>
          <cell r="I321">
            <v>18179.981826923078</v>
          </cell>
          <cell r="J321">
            <v>18987.98101923077</v>
          </cell>
          <cell r="K321">
            <v>19795.980211538463</v>
          </cell>
          <cell r="L321">
            <v>16765.983240384616</v>
          </cell>
          <cell r="M321">
            <v>18583.981423076923</v>
          </cell>
          <cell r="N321">
            <v>19391.980615384615</v>
          </cell>
          <cell r="O321">
            <v>18583.981423076923</v>
          </cell>
          <cell r="P321">
            <v>19311.180696153846</v>
          </cell>
          <cell r="R321">
            <v>226360.97372499996</v>
          </cell>
        </row>
        <row r="322">
          <cell r="C322">
            <v>544680</v>
          </cell>
          <cell r="D322" t="str">
            <v>ETI CRF 63x75 TRANSP MONO COUSCOUS</v>
          </cell>
          <cell r="E322">
            <v>16040</v>
          </cell>
          <cell r="F322">
            <v>14837</v>
          </cell>
          <cell r="G322">
            <v>13834.5</v>
          </cell>
          <cell r="H322">
            <v>14035</v>
          </cell>
          <cell r="I322">
            <v>14035</v>
          </cell>
          <cell r="J322">
            <v>14636.5</v>
          </cell>
          <cell r="K322">
            <v>16240.5</v>
          </cell>
          <cell r="L322">
            <v>14837</v>
          </cell>
          <cell r="M322">
            <v>14837</v>
          </cell>
          <cell r="N322">
            <v>15639</v>
          </cell>
          <cell r="O322">
            <v>14837</v>
          </cell>
          <cell r="P322">
            <v>17243</v>
          </cell>
          <cell r="R322">
            <v>181051.5</v>
          </cell>
        </row>
        <row r="323">
          <cell r="C323">
            <v>544681</v>
          </cell>
          <cell r="D323" t="str">
            <v>ETI CRF 63x75 TRANSP MONO PAELLA</v>
          </cell>
          <cell r="E323">
            <v>12832</v>
          </cell>
          <cell r="F323">
            <v>11829.5</v>
          </cell>
          <cell r="G323">
            <v>11027.5</v>
          </cell>
          <cell r="H323">
            <v>12030</v>
          </cell>
          <cell r="I323">
            <v>11829.5</v>
          </cell>
          <cell r="J323">
            <v>11428.5</v>
          </cell>
          <cell r="K323">
            <v>13032.5</v>
          </cell>
          <cell r="L323">
            <v>10426</v>
          </cell>
          <cell r="M323">
            <v>11629</v>
          </cell>
          <cell r="N323">
            <v>11829.5</v>
          </cell>
          <cell r="O323">
            <v>11629</v>
          </cell>
          <cell r="P323">
            <v>13834.5</v>
          </cell>
          <cell r="R323">
            <v>143357.5</v>
          </cell>
        </row>
        <row r="324">
          <cell r="C324">
            <v>544689</v>
          </cell>
          <cell r="D324" t="str">
            <v>ETIC 63X75 CRF 2022 TORTELLONI 3 FROMAGES</v>
          </cell>
          <cell r="E324">
            <v>8079.9919230769228</v>
          </cell>
          <cell r="F324">
            <v>6059.9939423076921</v>
          </cell>
          <cell r="G324">
            <v>8079.9919230769228</v>
          </cell>
          <cell r="H324">
            <v>5857.9941442307691</v>
          </cell>
          <cell r="I324">
            <v>12119.987884615384</v>
          </cell>
          <cell r="J324">
            <v>8281.9917211538468</v>
          </cell>
          <cell r="K324">
            <v>9089.9909134615391</v>
          </cell>
          <cell r="L324">
            <v>6867.9931346153844</v>
          </cell>
          <cell r="M324">
            <v>5857.9941442307691</v>
          </cell>
          <cell r="N324">
            <v>6059.9939423076921</v>
          </cell>
          <cell r="O324">
            <v>5857.9941442307691</v>
          </cell>
          <cell r="P324">
            <v>8079.9919230769228</v>
          </cell>
          <cell r="R324">
            <v>90293.90974038461</v>
          </cell>
        </row>
        <row r="325">
          <cell r="C325">
            <v>544691</v>
          </cell>
          <cell r="D325" t="str">
            <v>ETIC 63X75 CRF 2022 COQUILLETTE JAMBON</v>
          </cell>
          <cell r="E325">
            <v>10100.000105769232</v>
          </cell>
          <cell r="F325">
            <v>9090.0000951923084</v>
          </cell>
          <cell r="G325">
            <v>10100.000105769232</v>
          </cell>
          <cell r="H325">
            <v>9090.0000951923084</v>
          </cell>
          <cell r="I325">
            <v>8888.0000930769238</v>
          </cell>
          <cell r="J325">
            <v>8888.0000930769238</v>
          </cell>
          <cell r="K325">
            <v>9494.0000994230777</v>
          </cell>
          <cell r="L325">
            <v>9292.0000973076931</v>
          </cell>
          <cell r="M325">
            <v>8686.0000909615392</v>
          </cell>
          <cell r="N325">
            <v>8484.0000888461545</v>
          </cell>
          <cell r="O325">
            <v>8888.0000930769238</v>
          </cell>
          <cell r="P325">
            <v>11312.000118461538</v>
          </cell>
          <cell r="R325">
            <v>112312.00117615385</v>
          </cell>
        </row>
        <row r="326">
          <cell r="C326">
            <v>544692</v>
          </cell>
          <cell r="D326" t="str">
            <v>ETIC 63X75 CRF 2022 PENNE SAUMON EPINARD</v>
          </cell>
          <cell r="E326">
            <v>10099.989903846154</v>
          </cell>
          <cell r="F326">
            <v>8483.991519230769</v>
          </cell>
          <cell r="G326">
            <v>10099.989903846154</v>
          </cell>
          <cell r="H326">
            <v>7675.9923269230767</v>
          </cell>
          <cell r="I326">
            <v>7473.9925288461536</v>
          </cell>
          <cell r="J326">
            <v>8079.9919230769228</v>
          </cell>
          <cell r="K326">
            <v>9089.9909134615391</v>
          </cell>
          <cell r="L326">
            <v>9089.9909134615391</v>
          </cell>
          <cell r="M326">
            <v>8079.9919230769228</v>
          </cell>
          <cell r="N326">
            <v>8887.9911153846151</v>
          </cell>
          <cell r="O326">
            <v>8281.9917211538468</v>
          </cell>
          <cell r="P326">
            <v>8483.991519230769</v>
          </cell>
          <cell r="R326">
            <v>103827.89621153846</v>
          </cell>
        </row>
        <row r="327">
          <cell r="C327">
            <v>544693</v>
          </cell>
          <cell r="D327" t="str">
            <v xml:space="preserve">ETIC 63X75 CRF MACARONI BOULETTE 2022 </v>
          </cell>
          <cell r="E327">
            <v>12928.000135384615</v>
          </cell>
          <cell r="F327">
            <v>12120.000126923076</v>
          </cell>
          <cell r="G327">
            <v>12928.000135384615</v>
          </cell>
          <cell r="H327">
            <v>11312.000118461538</v>
          </cell>
          <cell r="I327">
            <v>10908.00011423077</v>
          </cell>
          <cell r="J327">
            <v>11514.000120576922</v>
          </cell>
          <cell r="K327">
            <v>12726.00013326923</v>
          </cell>
          <cell r="L327">
            <v>11312.000118461538</v>
          </cell>
          <cell r="M327">
            <v>10908.00011423077</v>
          </cell>
          <cell r="N327">
            <v>11312.000118461538</v>
          </cell>
          <cell r="O327">
            <v>11110.000116346155</v>
          </cell>
          <cell r="P327">
            <v>12726.00013326923</v>
          </cell>
          <cell r="R327">
            <v>141804.00148500002</v>
          </cell>
        </row>
        <row r="328">
          <cell r="C328">
            <v>544694</v>
          </cell>
          <cell r="D328" t="str">
            <v xml:space="preserve">ETIC 63X75 CRF FARFALLE POULET CEPE 2022 </v>
          </cell>
          <cell r="E328">
            <v>16727.866182307691</v>
          </cell>
          <cell r="F328">
            <v>14483.884133461539</v>
          </cell>
          <cell r="G328">
            <v>16319.869446153845</v>
          </cell>
          <cell r="H328">
            <v>13871.88902923077</v>
          </cell>
          <cell r="I328">
            <v>12647.898820769231</v>
          </cell>
          <cell r="J328">
            <v>13871.88902923077</v>
          </cell>
          <cell r="K328">
            <v>14687.882501538461</v>
          </cell>
          <cell r="L328">
            <v>11831.905348461538</v>
          </cell>
          <cell r="M328">
            <v>12443.900452692307</v>
          </cell>
          <cell r="N328">
            <v>13973.888213269231</v>
          </cell>
          <cell r="O328">
            <v>13871.88902923077</v>
          </cell>
          <cell r="P328">
            <v>17951.85639076923</v>
          </cell>
          <cell r="R328">
            <v>172684.61857711541</v>
          </cell>
        </row>
        <row r="329">
          <cell r="C329">
            <v>590195</v>
          </cell>
          <cell r="D329" t="str">
            <v>ETIQ SU 75X70 MIGNON PORC ECRASE PDT 2024</v>
          </cell>
          <cell r="E329">
            <v>9869.9995028846151</v>
          </cell>
          <cell r="F329">
            <v>3989.9997990384613</v>
          </cell>
          <cell r="H329">
            <v>3044.9998466346156</v>
          </cell>
          <cell r="I329">
            <v>3044.9998466346156</v>
          </cell>
          <cell r="J329">
            <v>3779.9998096153845</v>
          </cell>
          <cell r="K329">
            <v>6299.9996826923079</v>
          </cell>
          <cell r="L329">
            <v>7139.9996403846153</v>
          </cell>
          <cell r="M329">
            <v>4199.9997884615386</v>
          </cell>
          <cell r="N329">
            <v>4619.9997673076923</v>
          </cell>
          <cell r="O329">
            <v>4409.9997778846155</v>
          </cell>
          <cell r="P329">
            <v>4619.9997673076923</v>
          </cell>
          <cell r="R329">
            <v>55019.997228846158</v>
          </cell>
        </row>
        <row r="330">
          <cell r="C330">
            <v>590196</v>
          </cell>
          <cell r="D330" t="str">
            <v>ETIQ SU 75X70 AIG POULET TAG 2024</v>
          </cell>
          <cell r="E330">
            <v>8399.9995769230773</v>
          </cell>
          <cell r="F330">
            <v>8399.9995769230773</v>
          </cell>
          <cell r="H330">
            <v>7559.999619230769</v>
          </cell>
          <cell r="I330">
            <v>6719.9996615384616</v>
          </cell>
          <cell r="J330">
            <v>7559.999619230769</v>
          </cell>
          <cell r="K330">
            <v>9239.9995346153846</v>
          </cell>
          <cell r="L330">
            <v>9869.9995028846151</v>
          </cell>
          <cell r="M330">
            <v>7559.999619230769</v>
          </cell>
          <cell r="N330">
            <v>8399.9995769230773</v>
          </cell>
          <cell r="O330">
            <v>8399.9995769230773</v>
          </cell>
          <cell r="P330">
            <v>8399.9995769230773</v>
          </cell>
          <cell r="R330">
            <v>90509.995441346153</v>
          </cell>
        </row>
        <row r="331">
          <cell r="C331">
            <v>590199</v>
          </cell>
          <cell r="D331" t="str">
            <v>ETIQUETTES THERMIQUE NEUTRE 100 X 100 NEUTRE BLANCHE</v>
          </cell>
          <cell r="E331">
            <v>0.20200000000000001</v>
          </cell>
          <cell r="F331">
            <v>0.18179999999999999</v>
          </cell>
          <cell r="G331">
            <v>0.22220000000000001</v>
          </cell>
          <cell r="H331">
            <v>0.36359999999999998</v>
          </cell>
          <cell r="I331">
            <v>0.18179999999999999</v>
          </cell>
          <cell r="J331">
            <v>0.39389999999999997</v>
          </cell>
          <cell r="K331">
            <v>0.18179999999999999</v>
          </cell>
          <cell r="L331">
            <v>0.1313</v>
          </cell>
          <cell r="M331">
            <v>0.16159999999999999</v>
          </cell>
          <cell r="N331">
            <v>0.21210000000000001</v>
          </cell>
          <cell r="O331">
            <v>0.18179999999999999</v>
          </cell>
          <cell r="P331">
            <v>0.19189999999999999</v>
          </cell>
          <cell r="R331">
            <v>2.6057999999999999</v>
          </cell>
        </row>
        <row r="332">
          <cell r="C332">
            <v>590200</v>
          </cell>
          <cell r="D332" t="str">
            <v>ETIQUETTE NEUTRE BLANCHE THERMIQUE 20X40</v>
          </cell>
          <cell r="E332">
            <v>293.76004608</v>
          </cell>
          <cell r="F332">
            <v>293.76004608</v>
          </cell>
          <cell r="H332">
            <v>293.76004608</v>
          </cell>
          <cell r="K332">
            <v>8555.7613693440417</v>
          </cell>
          <cell r="L332">
            <v>856.79314526315784</v>
          </cell>
          <cell r="M332">
            <v>28112.312016972031</v>
          </cell>
          <cell r="N332">
            <v>293.76004608</v>
          </cell>
          <cell r="P332">
            <v>293.76004608</v>
          </cell>
          <cell r="R332">
            <v>38993.666761979235</v>
          </cell>
        </row>
        <row r="333">
          <cell r="C333">
            <v>590212</v>
          </cell>
          <cell r="D333" t="str">
            <v>ETI AUCHAN NEUTRE 84X63</v>
          </cell>
          <cell r="E333">
            <v>25.708777542030134</v>
          </cell>
          <cell r="F333">
            <v>25.749177464314037</v>
          </cell>
          <cell r="G333">
            <v>24.698778542823156</v>
          </cell>
          <cell r="H333">
            <v>26.839976465107057</v>
          </cell>
          <cell r="I333">
            <v>25.99357710666138</v>
          </cell>
          <cell r="J333">
            <v>39.712210925852496</v>
          </cell>
          <cell r="K333">
            <v>26.676376745836638</v>
          </cell>
          <cell r="L333">
            <v>23.951379188937352</v>
          </cell>
          <cell r="M333">
            <v>26.836976740483742</v>
          </cell>
          <cell r="N333">
            <v>67.323195890563042</v>
          </cell>
          <cell r="O333">
            <v>26.110777388977002</v>
          </cell>
          <cell r="P333">
            <v>25.829977387390958</v>
          </cell>
          <cell r="R333">
            <v>365.431181388977</v>
          </cell>
        </row>
        <row r="334">
          <cell r="C334">
            <v>590250</v>
          </cell>
          <cell r="D334" t="str">
            <v>ETIQ NEUTRE FOND GRIS THERMIQUE FESTIF 2018 -  65x100</v>
          </cell>
          <cell r="K334">
            <v>8504.9995762848303</v>
          </cell>
          <cell r="L334">
            <v>856.8001368421053</v>
          </cell>
          <cell r="M334">
            <v>27525.004169172931</v>
          </cell>
          <cell r="R334">
            <v>36886.803882299864</v>
          </cell>
        </row>
        <row r="335">
          <cell r="C335">
            <v>590259</v>
          </cell>
          <cell r="D335" t="str">
            <v>Sticker VPF 35x35 PORC FRANCE</v>
          </cell>
          <cell r="E335">
            <v>10589.199523192308</v>
          </cell>
          <cell r="F335">
            <v>6465.2000000915941</v>
          </cell>
          <cell r="G335">
            <v>18799.799561246036</v>
          </cell>
          <cell r="H335">
            <v>15897.199745388976</v>
          </cell>
          <cell r="I335">
            <v>16285.399550888382</v>
          </cell>
          <cell r="J335">
            <v>31427.399207260707</v>
          </cell>
          <cell r="K335">
            <v>16486.199618537074</v>
          </cell>
          <cell r="L335">
            <v>11615.999635865979</v>
          </cell>
          <cell r="M335">
            <v>9957.1997510650272</v>
          </cell>
          <cell r="N335">
            <v>64142.398621658605</v>
          </cell>
          <cell r="O335">
            <v>10907.899695067903</v>
          </cell>
          <cell r="P335">
            <v>17000.199386023989</v>
          </cell>
          <cell r="R335">
            <v>229574.09429628658</v>
          </cell>
        </row>
        <row r="336">
          <cell r="C336">
            <v>590260</v>
          </cell>
          <cell r="D336" t="str">
            <v>Sticker BOEUF FRANCE</v>
          </cell>
          <cell r="E336">
            <v>28517.998563653848</v>
          </cell>
          <cell r="F336">
            <v>27530.998613365384</v>
          </cell>
          <cell r="G336">
            <v>27635.998608076923</v>
          </cell>
          <cell r="H336">
            <v>28517.998563653848</v>
          </cell>
          <cell r="I336">
            <v>26039.998688461539</v>
          </cell>
          <cell r="J336">
            <v>38720.998344711537</v>
          </cell>
          <cell r="K336">
            <v>30155.998481153845</v>
          </cell>
          <cell r="L336">
            <v>28517.998563653848</v>
          </cell>
          <cell r="M336">
            <v>27005.998639807691</v>
          </cell>
          <cell r="N336">
            <v>44397.998660961537</v>
          </cell>
          <cell r="O336">
            <v>28937.998542500001</v>
          </cell>
          <cell r="P336">
            <v>31815.998557307692</v>
          </cell>
          <cell r="R336">
            <v>367795.98282730771</v>
          </cell>
        </row>
        <row r="337">
          <cell r="C337">
            <v>590261</v>
          </cell>
          <cell r="D337" t="str">
            <v>Sticker VVF 35x35 VEAU FRANCE</v>
          </cell>
          <cell r="E337">
            <v>2729.9998624999998</v>
          </cell>
          <cell r="F337">
            <v>2519.999873076923</v>
          </cell>
          <cell r="G337">
            <v>2519.999873076923</v>
          </cell>
          <cell r="H337">
            <v>2519.999873076923</v>
          </cell>
          <cell r="I337">
            <v>2519.999873076923</v>
          </cell>
          <cell r="J337">
            <v>2729.9998624999998</v>
          </cell>
          <cell r="K337">
            <v>2729.9998624999998</v>
          </cell>
          <cell r="L337">
            <v>2729.9998624999998</v>
          </cell>
          <cell r="M337">
            <v>2729.9998624999998</v>
          </cell>
          <cell r="N337">
            <v>2729.9998624999998</v>
          </cell>
          <cell r="O337">
            <v>2729.9998624999998</v>
          </cell>
          <cell r="P337">
            <v>2729.9998624999998</v>
          </cell>
          <cell r="R337">
            <v>31919.998392307698</v>
          </cell>
        </row>
        <row r="338">
          <cell r="C338">
            <v>590262</v>
          </cell>
          <cell r="D338" t="str">
            <v>Sticker Poulet France 35x35</v>
          </cell>
          <cell r="E338">
            <v>35069.998233653845</v>
          </cell>
          <cell r="F338">
            <v>27005.998639807691</v>
          </cell>
          <cell r="G338">
            <v>23729.998804807692</v>
          </cell>
          <cell r="H338">
            <v>24317.998775192307</v>
          </cell>
          <cell r="I338">
            <v>28349.998572115386</v>
          </cell>
          <cell r="J338">
            <v>46846.797743730771</v>
          </cell>
          <cell r="K338">
            <v>33641.998305576926</v>
          </cell>
          <cell r="L338">
            <v>25829.99869903846</v>
          </cell>
          <cell r="M338">
            <v>21965.998893653847</v>
          </cell>
          <cell r="N338">
            <v>51643.999284867168</v>
          </cell>
          <cell r="O338">
            <v>30274.798499730769</v>
          </cell>
          <cell r="P338">
            <v>34019.998286538459</v>
          </cell>
          <cell r="R338">
            <v>382697.5827387133</v>
          </cell>
        </row>
        <row r="339">
          <cell r="C339">
            <v>590263</v>
          </cell>
          <cell r="D339" t="str">
            <v>Etiq_Lechef_ronde_80_Nutriscore_B</v>
          </cell>
          <cell r="E339">
            <v>3.08</v>
          </cell>
          <cell r="F339">
            <v>5.4219999999999997</v>
          </cell>
          <cell r="G339">
            <v>5.1820000000000004</v>
          </cell>
          <cell r="H339">
            <v>6.4640000000000004</v>
          </cell>
          <cell r="I339">
            <v>3.96</v>
          </cell>
          <cell r="J339">
            <v>6.6319999999999997</v>
          </cell>
          <cell r="K339">
            <v>4.8575999999999997</v>
          </cell>
          <cell r="L339">
            <v>2.92</v>
          </cell>
          <cell r="M339">
            <v>2.36</v>
          </cell>
          <cell r="N339">
            <v>3.04</v>
          </cell>
          <cell r="O339">
            <v>2.9</v>
          </cell>
          <cell r="P339">
            <v>3.04</v>
          </cell>
          <cell r="R339">
            <v>49.857599999999998</v>
          </cell>
        </row>
        <row r="340">
          <cell r="C340">
            <v>590264</v>
          </cell>
          <cell r="D340" t="str">
            <v>Etiq_Lechef_ronde_80_Neutre</v>
          </cell>
          <cell r="F340">
            <v>4.6459999999999999</v>
          </cell>
          <cell r="G340">
            <v>7.4740000000000002</v>
          </cell>
          <cell r="H340">
            <v>7.6760000000000002</v>
          </cell>
          <cell r="I340">
            <v>8.6052</v>
          </cell>
          <cell r="J340">
            <v>8.484</v>
          </cell>
          <cell r="K340">
            <v>6.3428000000000004</v>
          </cell>
          <cell r="L340">
            <v>2.8279999999999998</v>
          </cell>
          <cell r="M340">
            <v>2.222</v>
          </cell>
          <cell r="N340">
            <v>3.03</v>
          </cell>
          <cell r="O340">
            <v>2.8279999999999998</v>
          </cell>
          <cell r="P340">
            <v>3.03</v>
          </cell>
          <cell r="R340">
            <v>57.166000000000004</v>
          </cell>
        </row>
        <row r="341">
          <cell r="C341">
            <v>590265</v>
          </cell>
          <cell r="D341" t="str">
            <v>ETIQ SU 75X70 PAUP VEAU ECRASE PDT 2021</v>
          </cell>
          <cell r="E341">
            <v>3295.9110092307692</v>
          </cell>
          <cell r="F341">
            <v>3295.9110092307692</v>
          </cell>
          <cell r="G341">
            <v>3089.9165711538462</v>
          </cell>
          <cell r="H341">
            <v>3089.9165711538462</v>
          </cell>
          <cell r="I341">
            <v>2883.9221330769233</v>
          </cell>
          <cell r="J341">
            <v>3295.9110092307692</v>
          </cell>
          <cell r="K341">
            <v>5561.8498280769227</v>
          </cell>
          <cell r="L341">
            <v>6591.8220184615384</v>
          </cell>
          <cell r="M341">
            <v>3295.9110092307692</v>
          </cell>
          <cell r="N341">
            <v>3501.9054473076922</v>
          </cell>
          <cell r="O341">
            <v>3501.9054473076922</v>
          </cell>
          <cell r="P341">
            <v>3501.9054473076922</v>
          </cell>
          <cell r="R341">
            <v>44906.787500769227</v>
          </cell>
        </row>
        <row r="342">
          <cell r="C342">
            <v>590266</v>
          </cell>
          <cell r="D342" t="str">
            <v>ETIQ SU 75X70 SAUMON OSEILLE RIZ 2021</v>
          </cell>
          <cell r="E342">
            <v>10907.989096153846</v>
          </cell>
          <cell r="F342">
            <v>7675.9923269230767</v>
          </cell>
          <cell r="G342">
            <v>7675.9923269230767</v>
          </cell>
          <cell r="H342">
            <v>7271.9927307692305</v>
          </cell>
          <cell r="I342">
            <v>6665.9933365384613</v>
          </cell>
          <cell r="J342">
            <v>7473.9925288461536</v>
          </cell>
          <cell r="K342">
            <v>9291.9907115384613</v>
          </cell>
          <cell r="L342">
            <v>9695.9903076923074</v>
          </cell>
          <cell r="M342">
            <v>7271.9927307692305</v>
          </cell>
          <cell r="N342">
            <v>8079.9919230769228</v>
          </cell>
          <cell r="O342">
            <v>8079.9919230769228</v>
          </cell>
          <cell r="P342">
            <v>8079.9919230769228</v>
          </cell>
          <cell r="R342">
            <v>98171.9018653846</v>
          </cell>
        </row>
        <row r="343">
          <cell r="C343">
            <v>590267</v>
          </cell>
          <cell r="D343" t="str">
            <v>ETIQ SU 75X70 ROGNON PORC TAG 2021</v>
          </cell>
          <cell r="E343">
            <v>2883.9221330769233</v>
          </cell>
          <cell r="F343">
            <v>2801.5243578461536</v>
          </cell>
          <cell r="G343">
            <v>2719.1265826153845</v>
          </cell>
          <cell r="H343">
            <v>2471.9332569230769</v>
          </cell>
          <cell r="I343">
            <v>2265.9388188461539</v>
          </cell>
          <cell r="J343">
            <v>3089.9165711538462</v>
          </cell>
          <cell r="K343">
            <v>5767.8442661538465</v>
          </cell>
          <cell r="L343">
            <v>6797.8164565384614</v>
          </cell>
          <cell r="M343">
            <v>3089.9165711538462</v>
          </cell>
          <cell r="N343">
            <v>3501.9054473076922</v>
          </cell>
          <cell r="O343">
            <v>3501.9054473076922</v>
          </cell>
          <cell r="P343">
            <v>3501.9054473076922</v>
          </cell>
          <cell r="R343">
            <v>42393.655356230767</v>
          </cell>
        </row>
        <row r="344">
          <cell r="C344">
            <v>590268</v>
          </cell>
          <cell r="D344" t="str">
            <v>ETIQ SU 75X70 CABILLAUD RIZ 2021</v>
          </cell>
          <cell r="E344">
            <v>5251.9947499999998</v>
          </cell>
          <cell r="F344">
            <v>5251.9947499999998</v>
          </cell>
          <cell r="G344">
            <v>4847.9951538461537</v>
          </cell>
          <cell r="H344">
            <v>5049.9949519230768</v>
          </cell>
          <cell r="I344">
            <v>4847.9951538461537</v>
          </cell>
          <cell r="J344">
            <v>5049.9949519230768</v>
          </cell>
          <cell r="K344">
            <v>6867.9931346153844</v>
          </cell>
          <cell r="L344">
            <v>7271.9927307692305</v>
          </cell>
          <cell r="M344">
            <v>5049.9949519230768</v>
          </cell>
          <cell r="N344">
            <v>5453.9945480769229</v>
          </cell>
          <cell r="O344">
            <v>4847.9951538461537</v>
          </cell>
          <cell r="P344">
            <v>5251.9947499999998</v>
          </cell>
          <cell r="R344">
            <v>65043.934980769234</v>
          </cell>
        </row>
        <row r="345">
          <cell r="C345">
            <v>590269</v>
          </cell>
          <cell r="D345" t="str">
            <v>ETIQ SU 75X70 BOURG TAG 2021</v>
          </cell>
          <cell r="E345">
            <v>3295.9110092307692</v>
          </cell>
          <cell r="F345">
            <v>3213.513234</v>
          </cell>
          <cell r="G345">
            <v>2883.9221330769233</v>
          </cell>
          <cell r="H345">
            <v>2595.5299197692307</v>
          </cell>
          <cell r="I345">
            <v>2883.9221330769233</v>
          </cell>
          <cell r="J345">
            <v>4737.8720757692308</v>
          </cell>
          <cell r="K345">
            <v>6179.8331423076925</v>
          </cell>
          <cell r="L345">
            <v>7003.8108946153843</v>
          </cell>
          <cell r="M345">
            <v>3707.8998853846156</v>
          </cell>
          <cell r="N345">
            <v>4531.8776376923079</v>
          </cell>
          <cell r="O345">
            <v>4325.8831996153849</v>
          </cell>
          <cell r="P345">
            <v>4325.8831996153849</v>
          </cell>
          <cell r="R345">
            <v>49685.858464153833</v>
          </cell>
        </row>
        <row r="346">
          <cell r="C346">
            <v>590270</v>
          </cell>
          <cell r="D346" t="str">
            <v>ETIQ SU 75X70 BLANQ RIZ 3 COUL 2021</v>
          </cell>
          <cell r="E346">
            <v>7003.8108946153843</v>
          </cell>
          <cell r="F346">
            <v>6179.8331423076925</v>
          </cell>
          <cell r="G346">
            <v>5850.2420413846157</v>
          </cell>
          <cell r="H346">
            <v>5438.2531652307689</v>
          </cell>
          <cell r="I346">
            <v>5149.8609519230768</v>
          </cell>
          <cell r="J346">
            <v>7415.7997707692311</v>
          </cell>
          <cell r="K346">
            <v>9475.7441515384617</v>
          </cell>
          <cell r="L346">
            <v>9475.7441515384617</v>
          </cell>
          <cell r="M346">
            <v>7209.8053326923073</v>
          </cell>
          <cell r="N346">
            <v>7621.7942088461541</v>
          </cell>
          <cell r="O346">
            <v>7415.7997707692311</v>
          </cell>
          <cell r="P346">
            <v>7415.7997707692311</v>
          </cell>
          <cell r="R346">
            <v>85652.487352384618</v>
          </cell>
        </row>
        <row r="347">
          <cell r="C347">
            <v>590271</v>
          </cell>
          <cell r="D347" t="str">
            <v>ETIQ SU 75X70 LANGUE ECRASE PDT 2021</v>
          </cell>
          <cell r="E347">
            <v>7003.8108946153843</v>
          </cell>
          <cell r="F347">
            <v>6385.8275803846154</v>
          </cell>
          <cell r="G347">
            <v>6385.8275803846154</v>
          </cell>
          <cell r="H347">
            <v>6179.8331423076925</v>
          </cell>
          <cell r="I347">
            <v>7003.8108946153843</v>
          </cell>
          <cell r="J347">
            <v>9887.7330276923076</v>
          </cell>
          <cell r="K347">
            <v>10299.721903846154</v>
          </cell>
          <cell r="L347">
            <v>10711.710779999999</v>
          </cell>
          <cell r="M347">
            <v>9063.7552753846157</v>
          </cell>
          <cell r="N347">
            <v>7209.8053326923073</v>
          </cell>
          <cell r="O347">
            <v>7209.8053326923073</v>
          </cell>
          <cell r="P347">
            <v>7209.8053326923073</v>
          </cell>
          <cell r="R347">
            <v>94551.447077307705</v>
          </cell>
        </row>
        <row r="348">
          <cell r="C348">
            <v>590277</v>
          </cell>
          <cell r="D348" t="str">
            <v>ETIQ CRF PAELLA POELON 1KG2 DIAM 80 MM</v>
          </cell>
          <cell r="E348">
            <v>22.24738762886598</v>
          </cell>
          <cell r="F348">
            <v>17.097529381443298</v>
          </cell>
          <cell r="G348">
            <v>13.595625773195877</v>
          </cell>
          <cell r="H348">
            <v>14.625597422680412</v>
          </cell>
          <cell r="I348">
            <v>16.479546391752578</v>
          </cell>
          <cell r="J348">
            <v>12.771648453608247</v>
          </cell>
          <cell r="K348">
            <v>14.007614432989691</v>
          </cell>
          <cell r="L348">
            <v>11.12369381443299</v>
          </cell>
          <cell r="M348">
            <v>12.771648453608247</v>
          </cell>
          <cell r="N348">
            <v>12.359659793814433</v>
          </cell>
          <cell r="O348">
            <v>12.771648453608247</v>
          </cell>
          <cell r="P348">
            <v>11.535682474226805</v>
          </cell>
          <cell r="R348">
            <v>171.38728247422679</v>
          </cell>
        </row>
        <row r="349">
          <cell r="C349">
            <v>590278</v>
          </cell>
          <cell r="D349" t="str">
            <v>ETIQ CRF COUSCOUS POELON 1KG2 DIAM 80</v>
          </cell>
          <cell r="E349">
            <v>19.776</v>
          </cell>
          <cell r="F349">
            <v>13.596</v>
          </cell>
          <cell r="G349">
            <v>12.772</v>
          </cell>
          <cell r="H349">
            <v>13.183999999999999</v>
          </cell>
          <cell r="I349">
            <v>13.183999999999999</v>
          </cell>
          <cell r="J349">
            <v>10.917999999999999</v>
          </cell>
          <cell r="K349">
            <v>12.36</v>
          </cell>
          <cell r="L349">
            <v>10.917999999999999</v>
          </cell>
          <cell r="M349">
            <v>11.536</v>
          </cell>
          <cell r="N349">
            <v>11.948</v>
          </cell>
          <cell r="O349">
            <v>12.772</v>
          </cell>
          <cell r="P349">
            <v>11.124000000000001</v>
          </cell>
          <cell r="R349">
            <v>154.08799999999999</v>
          </cell>
        </row>
        <row r="350">
          <cell r="C350">
            <v>590279</v>
          </cell>
          <cell r="D350" t="str">
            <v>ETIQ LECHEF 40x80 2022 NEUTRE ENTREE CASS</v>
          </cell>
          <cell r="L350">
            <v>0.78779999999999994</v>
          </cell>
          <cell r="M350">
            <v>229.85579999999999</v>
          </cell>
          <cell r="R350">
            <v>230.64359999999999</v>
          </cell>
        </row>
        <row r="351">
          <cell r="C351">
            <v>590285</v>
          </cell>
          <cell r="D351" t="str">
            <v>ETI INTERMARCHE NEUTRE 63X98 -  2023</v>
          </cell>
          <cell r="E351">
            <v>46.459971923076921</v>
          </cell>
          <cell r="F351">
            <v>46.055972307692308</v>
          </cell>
          <cell r="G351">
            <v>46.257972115384618</v>
          </cell>
          <cell r="H351">
            <v>47.065972500000001</v>
          </cell>
          <cell r="I351">
            <v>46.459972692307694</v>
          </cell>
          <cell r="J351">
            <v>66.861962692307699</v>
          </cell>
          <cell r="K351">
            <v>59.347559653846155</v>
          </cell>
          <cell r="L351">
            <v>47.267971538461538</v>
          </cell>
          <cell r="M351">
            <v>45.086372846153843</v>
          </cell>
          <cell r="N351">
            <v>48.479970961538463</v>
          </cell>
          <cell r="O351">
            <v>46.257972307692306</v>
          </cell>
          <cell r="P351">
            <v>46.863971923076924</v>
          </cell>
          <cell r="R351">
            <v>592.46564346153855</v>
          </cell>
        </row>
        <row r="352">
          <cell r="C352">
            <v>590288</v>
          </cell>
          <cell r="D352" t="str">
            <v>STICKER AUCHAN 3 EUROS</v>
          </cell>
          <cell r="E352">
            <v>7139.9996403846153</v>
          </cell>
          <cell r="F352">
            <v>7139.9996403846153</v>
          </cell>
          <cell r="G352">
            <v>6719.9996615384616</v>
          </cell>
          <cell r="H352">
            <v>7139.9996403846153</v>
          </cell>
          <cell r="I352">
            <v>8819.9995557692309</v>
          </cell>
          <cell r="J352">
            <v>7559.999619230769</v>
          </cell>
          <cell r="K352">
            <v>7139.9996403846153</v>
          </cell>
          <cell r="L352">
            <v>6929.9996509615385</v>
          </cell>
          <cell r="M352">
            <v>6719.9996615384616</v>
          </cell>
          <cell r="N352">
            <v>21419.998921153845</v>
          </cell>
          <cell r="O352">
            <v>6719.9996615384616</v>
          </cell>
          <cell r="P352">
            <v>7349.9996298076921</v>
          </cell>
          <cell r="R352">
            <v>100799.99492307691</v>
          </cell>
        </row>
        <row r="353">
          <cell r="C353">
            <v>590289</v>
          </cell>
          <cell r="D353" t="str">
            <v>STICKERS CRF 4 EUROS 40X40</v>
          </cell>
          <cell r="E353">
            <v>60059.996975000002</v>
          </cell>
          <cell r="F353">
            <v>52079.997376923078</v>
          </cell>
          <cell r="G353">
            <v>59639.996996153845</v>
          </cell>
          <cell r="H353">
            <v>49559.997503846156</v>
          </cell>
          <cell r="I353">
            <v>53969.997281730772</v>
          </cell>
          <cell r="J353">
            <v>52499.997355769228</v>
          </cell>
          <cell r="K353">
            <v>57119.997123076922</v>
          </cell>
          <cell r="L353">
            <v>50189.997472115385</v>
          </cell>
          <cell r="M353">
            <v>47669.997599038463</v>
          </cell>
          <cell r="N353">
            <v>50504.997456249999</v>
          </cell>
          <cell r="O353">
            <v>49769.997493269228</v>
          </cell>
          <cell r="P353">
            <v>60689.996943269231</v>
          </cell>
          <cell r="R353">
            <v>643754.9675764424</v>
          </cell>
        </row>
        <row r="354">
          <cell r="C354">
            <v>590290</v>
          </cell>
          <cell r="D354" t="str">
            <v>ETIQ LECHEF 53X105MM 2024 NUTRI B</v>
          </cell>
          <cell r="E354">
            <v>102.47399884615385</v>
          </cell>
          <cell r="F354">
            <v>97.176191538461538</v>
          </cell>
          <cell r="G354">
            <v>89.899198846153851</v>
          </cell>
          <cell r="H354">
            <v>94.30279869230769</v>
          </cell>
          <cell r="I354">
            <v>93.805198846153843</v>
          </cell>
          <cell r="J354">
            <v>123.65298346153845</v>
          </cell>
          <cell r="K354">
            <v>101.57039873076923</v>
          </cell>
          <cell r="L354">
            <v>87.513199038461536</v>
          </cell>
          <cell r="M354">
            <v>84.371199230769236</v>
          </cell>
          <cell r="N354">
            <v>157.68835546153846</v>
          </cell>
          <cell r="O354">
            <v>91.63979676923077</v>
          </cell>
          <cell r="P354">
            <v>102.24919384615384</v>
          </cell>
          <cell r="R354">
            <v>1226.3425133076921</v>
          </cell>
        </row>
        <row r="355">
          <cell r="C355">
            <v>590291</v>
          </cell>
          <cell r="D355" t="str">
            <v>ETIQ LECHEF 53x105 MM 2024 NUTRI C</v>
          </cell>
          <cell r="E355">
            <v>33.917593500000002</v>
          </cell>
          <cell r="F355">
            <v>17.011596000000001</v>
          </cell>
          <cell r="G355">
            <v>23.969195653846153</v>
          </cell>
          <cell r="H355">
            <v>23.743195269230768</v>
          </cell>
          <cell r="I355">
            <v>34.909996153846151</v>
          </cell>
          <cell r="J355">
            <v>45.926187865384613</v>
          </cell>
          <cell r="K355">
            <v>37.510796076923079</v>
          </cell>
          <cell r="L355">
            <v>28.157596384615385</v>
          </cell>
          <cell r="M355">
            <v>23.428793769230769</v>
          </cell>
          <cell r="N355">
            <v>60.633160269230771</v>
          </cell>
          <cell r="O355">
            <v>28.117595423076924</v>
          </cell>
          <cell r="P355">
            <v>34.385993653846157</v>
          </cell>
          <cell r="R355">
            <v>391.71170001923076</v>
          </cell>
        </row>
        <row r="356">
          <cell r="C356">
            <v>590295</v>
          </cell>
          <cell r="D356" t="str">
            <v>ETIQ 110X110 MM LECHEF NUTRI B 2024</v>
          </cell>
          <cell r="E356">
            <v>7.6987949999999996</v>
          </cell>
          <cell r="F356">
            <v>7.875</v>
          </cell>
          <cell r="G356">
            <v>32.973997422680412</v>
          </cell>
          <cell r="H356">
            <v>7.636597731958763</v>
          </cell>
          <cell r="I356">
            <v>9.2649974226804126</v>
          </cell>
          <cell r="J356">
            <v>69.117674845360824</v>
          </cell>
          <cell r="K356">
            <v>11.529</v>
          </cell>
          <cell r="L356">
            <v>7.6859999999999999</v>
          </cell>
          <cell r="M356">
            <v>9.4499999999999993</v>
          </cell>
          <cell r="N356">
            <v>56.547558556701034</v>
          </cell>
          <cell r="O356">
            <v>12.471599922680412</v>
          </cell>
          <cell r="P356">
            <v>22.813994845360824</v>
          </cell>
          <cell r="R356">
            <v>255.06521574742266</v>
          </cell>
        </row>
        <row r="357">
          <cell r="C357">
            <v>590296</v>
          </cell>
          <cell r="D357" t="str">
            <v>ETIQ 110X110 MM LECHEF NUTRI C 2024</v>
          </cell>
          <cell r="E357">
            <v>3.15</v>
          </cell>
          <cell r="G357">
            <v>3.15</v>
          </cell>
          <cell r="I357">
            <v>3.15</v>
          </cell>
          <cell r="J357">
            <v>16.234799381443299</v>
          </cell>
          <cell r="K357">
            <v>3.15</v>
          </cell>
          <cell r="L357">
            <v>4.41</v>
          </cell>
          <cell r="M357">
            <v>4.7249999999999996</v>
          </cell>
          <cell r="N357">
            <v>34.651195979381441</v>
          </cell>
          <cell r="O357">
            <v>9.4500000000000001E-2</v>
          </cell>
          <cell r="P357">
            <v>14.805</v>
          </cell>
          <cell r="R357">
            <v>87.520495360824725</v>
          </cell>
        </row>
        <row r="358">
          <cell r="C358">
            <v>590297</v>
          </cell>
          <cell r="D358" t="str">
            <v>ETIQ 110X110 LOTTE AMERICAINE 700G FESTIF 2024</v>
          </cell>
          <cell r="M358">
            <v>6.7409999999999997</v>
          </cell>
          <cell r="R358">
            <v>6.7409999999999997</v>
          </cell>
        </row>
        <row r="359">
          <cell r="C359">
            <v>590298</v>
          </cell>
          <cell r="D359" t="str">
            <v>ETIQ 110X110 BLANQ LOTTE CREVETTE 700G FESTIF 2024</v>
          </cell>
          <cell r="L359">
            <v>0.126</v>
          </cell>
          <cell r="M359">
            <v>6.93</v>
          </cell>
          <cell r="R359">
            <v>7.056</v>
          </cell>
        </row>
        <row r="360">
          <cell r="C360">
            <v>590299</v>
          </cell>
          <cell r="D360" t="str">
            <v>ETIQ 110X110 CHEVREUIL GV 700G FESTIF 2024</v>
          </cell>
          <cell r="J360">
            <v>7.056</v>
          </cell>
          <cell r="K360">
            <v>13.387499999999999</v>
          </cell>
          <cell r="R360">
            <v>20.4435</v>
          </cell>
        </row>
        <row r="361">
          <cell r="C361">
            <v>590330</v>
          </cell>
          <cell r="D361" t="str">
            <v>ETIQ 110X110 CAILLE FARCIE CEPE 700G FESTIF 2024</v>
          </cell>
          <cell r="M361">
            <v>2.0790000000000002</v>
          </cell>
          <cell r="R361">
            <v>2.0790000000000002</v>
          </cell>
        </row>
        <row r="362">
          <cell r="C362">
            <v>590331</v>
          </cell>
          <cell r="D362" t="str">
            <v>ETIQ 110X110 CERF BIERE 700G FESTIF 2024</v>
          </cell>
          <cell r="M362">
            <v>0.56699999999999995</v>
          </cell>
          <cell r="R362">
            <v>0.56699999999999995</v>
          </cell>
        </row>
        <row r="363">
          <cell r="C363">
            <v>590400</v>
          </cell>
          <cell r="D363" t="str">
            <v>ETIQ NAV ST JACQUES LEG GIROLLES 110X110 BQT 700G</v>
          </cell>
          <cell r="E363">
            <v>5.67</v>
          </cell>
          <cell r="L363">
            <v>0.126</v>
          </cell>
          <cell r="M363">
            <v>9.8279999999999994</v>
          </cell>
          <cell r="R363">
            <v>15.623999999999999</v>
          </cell>
        </row>
        <row r="364">
          <cell r="C364">
            <v>590401</v>
          </cell>
          <cell r="D364" t="str">
            <v>ETIQ SAUMON BBL CHABLIS 110X110 BQT 700G</v>
          </cell>
          <cell r="E364">
            <v>2.4569999999999999</v>
          </cell>
          <cell r="L364">
            <v>0.252</v>
          </cell>
          <cell r="M364">
            <v>5.67</v>
          </cell>
          <cell r="R364">
            <v>8.3789999999999996</v>
          </cell>
        </row>
        <row r="365">
          <cell r="C365">
            <v>590402</v>
          </cell>
          <cell r="D365" t="str">
            <v>ETIQ BLANQ POISSON 110X110 BQT 700G</v>
          </cell>
          <cell r="E365">
            <v>5.04</v>
          </cell>
          <cell r="H365">
            <v>2.835</v>
          </cell>
          <cell r="R365">
            <v>7.875</v>
          </cell>
        </row>
        <row r="366">
          <cell r="C366">
            <v>590404</v>
          </cell>
          <cell r="D366" t="str">
            <v>ETIQ VOLAILLE CEPES TAG 110X110 BQT 700G</v>
          </cell>
          <cell r="P366">
            <v>8.9459999999999997</v>
          </cell>
          <cell r="R366">
            <v>8.9459999999999997</v>
          </cell>
        </row>
        <row r="367">
          <cell r="C367">
            <v>590405</v>
          </cell>
          <cell r="D367" t="str">
            <v>ETIQ POULARDE MONBAZILLAC 110X110 BQT 700G</v>
          </cell>
          <cell r="P367">
            <v>2.6145</v>
          </cell>
          <cell r="R367">
            <v>2.6145</v>
          </cell>
        </row>
        <row r="368">
          <cell r="C368">
            <v>590406</v>
          </cell>
          <cell r="D368" t="str">
            <v>ETIQ CANARD MORILLES 110X110 BQT 700G</v>
          </cell>
          <cell r="K368">
            <v>3.78</v>
          </cell>
          <cell r="M368">
            <v>10.395</v>
          </cell>
          <cell r="P368">
            <v>4.41</v>
          </cell>
          <cell r="R368">
            <v>18.585000000000001</v>
          </cell>
        </row>
        <row r="369">
          <cell r="C369">
            <v>590407</v>
          </cell>
          <cell r="D369" t="str">
            <v>ETIQ BOEUF MORILLES 110X110 BQT 700G</v>
          </cell>
          <cell r="M369">
            <v>2.835</v>
          </cell>
          <cell r="P369">
            <v>1.4490000000000001</v>
          </cell>
          <cell r="R369">
            <v>4.2839999999999998</v>
          </cell>
        </row>
        <row r="370">
          <cell r="C370">
            <v>590408</v>
          </cell>
          <cell r="D370" t="str">
            <v>ETIQ VEAU GIROLLES 110X110 BQT 700G</v>
          </cell>
          <cell r="L370">
            <v>0.1575</v>
          </cell>
          <cell r="M370">
            <v>2.9609999999999999</v>
          </cell>
          <cell r="P370">
            <v>0.75600000000000001</v>
          </cell>
          <cell r="R370">
            <v>3.8745000000000003</v>
          </cell>
        </row>
        <row r="371">
          <cell r="C371">
            <v>590409</v>
          </cell>
          <cell r="D371" t="str">
            <v>ETIQ MIGNON PORC FG PRUNEAU 110X110 BQT 700G</v>
          </cell>
          <cell r="M371">
            <v>4.3470000000000004</v>
          </cell>
          <cell r="P371">
            <v>3.339</v>
          </cell>
          <cell r="R371">
            <v>7.6859999999999999</v>
          </cell>
        </row>
        <row r="372">
          <cell r="C372">
            <v>590410</v>
          </cell>
          <cell r="D372" t="str">
            <v>ETIQ LAPIN CEPES 110X110 BQT 700G</v>
          </cell>
          <cell r="P372">
            <v>4.83</v>
          </cell>
          <cell r="R372">
            <v>4.83</v>
          </cell>
        </row>
        <row r="373">
          <cell r="C373">
            <v>590411</v>
          </cell>
          <cell r="D373" t="str">
            <v>ETIQ NAVARIN AGNEAU 110X110 BQT 700G</v>
          </cell>
          <cell r="P373">
            <v>9.4499999999999993</v>
          </cell>
          <cell r="R373">
            <v>9.4499999999999993</v>
          </cell>
        </row>
        <row r="374">
          <cell r="C374">
            <v>590600</v>
          </cell>
          <cell r="D374" t="str">
            <v>ETIQ ITM 63X98 NEUTRE 2025 NUTRI B</v>
          </cell>
          <cell r="E374">
            <v>7.14</v>
          </cell>
          <cell r="F374">
            <v>6.93</v>
          </cell>
          <cell r="G374">
            <v>6.72</v>
          </cell>
          <cell r="H374">
            <v>6.51</v>
          </cell>
          <cell r="I374">
            <v>6.3</v>
          </cell>
          <cell r="J374">
            <v>7.14</v>
          </cell>
          <cell r="K374">
            <v>7.56</v>
          </cell>
          <cell r="L374">
            <v>7.56</v>
          </cell>
          <cell r="M374">
            <v>6.51</v>
          </cell>
          <cell r="N374">
            <v>7.35</v>
          </cell>
          <cell r="O374">
            <v>7.14</v>
          </cell>
          <cell r="P374">
            <v>7.14</v>
          </cell>
          <cell r="R374">
            <v>84</v>
          </cell>
        </row>
        <row r="375">
          <cell r="C375">
            <v>590601</v>
          </cell>
          <cell r="D375" t="str">
            <v>ETIQ ITM 63X98 NEUTRE 2025 NUTRI C</v>
          </cell>
          <cell r="E375">
            <v>12.494999999999999</v>
          </cell>
          <cell r="F375">
            <v>12.1275</v>
          </cell>
          <cell r="G375">
            <v>11.76</v>
          </cell>
          <cell r="H375">
            <v>11.3925</v>
          </cell>
          <cell r="I375">
            <v>11.025</v>
          </cell>
          <cell r="J375">
            <v>11.865</v>
          </cell>
          <cell r="K375">
            <v>12.6</v>
          </cell>
          <cell r="L375">
            <v>12.6</v>
          </cell>
          <cell r="M375">
            <v>11.3925</v>
          </cell>
          <cell r="N375">
            <v>12.862500000000001</v>
          </cell>
          <cell r="O375">
            <v>12.6525</v>
          </cell>
          <cell r="P375">
            <v>12.6525</v>
          </cell>
          <cell r="R375">
            <v>145.42499999999998</v>
          </cell>
        </row>
        <row r="376">
          <cell r="C376">
            <v>590602</v>
          </cell>
          <cell r="D376" t="str">
            <v>ETIQ ITM 63X98 SAUCISSE PUREE 2025 PRIX</v>
          </cell>
          <cell r="E376">
            <v>7.14</v>
          </cell>
          <cell r="F376">
            <v>6.93</v>
          </cell>
          <cell r="G376">
            <v>6.72</v>
          </cell>
          <cell r="H376">
            <v>6.51</v>
          </cell>
          <cell r="I376">
            <v>6.3</v>
          </cell>
          <cell r="J376">
            <v>7.14</v>
          </cell>
          <cell r="K376">
            <v>7.56</v>
          </cell>
          <cell r="L376">
            <v>7.56</v>
          </cell>
          <cell r="M376">
            <v>6.51</v>
          </cell>
          <cell r="N376">
            <v>7.35</v>
          </cell>
          <cell r="O376">
            <v>7.14</v>
          </cell>
          <cell r="P376">
            <v>7.14</v>
          </cell>
          <cell r="R376">
            <v>84</v>
          </cell>
        </row>
        <row r="377">
          <cell r="C377">
            <v>338450</v>
          </cell>
          <cell r="D377" t="str">
            <v>TOPINAMBOUR SURG 10X10</v>
          </cell>
          <cell r="M377">
            <v>581.14758500000005</v>
          </cell>
          <cell r="R377">
            <v>581.14758500000005</v>
          </cell>
        </row>
        <row r="378">
          <cell r="C378">
            <v>338075</v>
          </cell>
          <cell r="D378" t="str">
            <v>FIBRE DE LIN VEGETALE EMULSIFIANTE (HiI SMOOTH)</v>
          </cell>
          <cell r="E378">
            <v>92.068452940591172</v>
          </cell>
          <cell r="F378">
            <v>76.218857649458641</v>
          </cell>
          <cell r="G378">
            <v>82.216921834535384</v>
          </cell>
          <cell r="H378">
            <v>71.368195672823845</v>
          </cell>
          <cell r="I378">
            <v>96.421968704361618</v>
          </cell>
          <cell r="J378">
            <v>201.5939744919923</v>
          </cell>
          <cell r="K378">
            <v>216.74911904410527</v>
          </cell>
          <cell r="L378">
            <v>111.33043346474456</v>
          </cell>
          <cell r="M378">
            <v>178.76312093269382</v>
          </cell>
          <cell r="N378">
            <v>109.69372023577905</v>
          </cell>
          <cell r="O378">
            <v>96.406040986610407</v>
          </cell>
          <cell r="P378">
            <v>142.26070755976821</v>
          </cell>
          <cell r="R378">
            <v>1475.0915135174641</v>
          </cell>
        </row>
        <row r="379">
          <cell r="C379">
            <v>338247</v>
          </cell>
          <cell r="D379" t="str">
            <v>ANANAS MORCEAUX POIDS NETS EGOUTES BOITE ou POCHE</v>
          </cell>
          <cell r="E379">
            <v>162.68784764102563</v>
          </cell>
          <cell r="F379">
            <v>568.06567342783501</v>
          </cell>
          <cell r="G379">
            <v>757.30581003025554</v>
          </cell>
          <cell r="H379">
            <v>561.17605343642617</v>
          </cell>
          <cell r="I379">
            <v>309.96229160242046</v>
          </cell>
          <cell r="J379">
            <v>639.74907596096955</v>
          </cell>
          <cell r="K379">
            <v>538.95804724226809</v>
          </cell>
          <cell r="L379">
            <v>96.577724000000003</v>
          </cell>
          <cell r="M379">
            <v>44.264790166666664</v>
          </cell>
          <cell r="N379">
            <v>1003.0999493344711</v>
          </cell>
          <cell r="O379">
            <v>113.70335184879725</v>
          </cell>
          <cell r="P379">
            <v>362.0469627990438</v>
          </cell>
          <cell r="R379">
            <v>5157.5975774901799</v>
          </cell>
        </row>
        <row r="380">
          <cell r="C380">
            <v>340395</v>
          </cell>
          <cell r="D380" t="str">
            <v>CORNICHONS RONDELLES 40/60</v>
          </cell>
          <cell r="E380">
            <v>3941.5390901410256</v>
          </cell>
          <cell r="F380">
            <v>3330.7178476068375</v>
          </cell>
          <cell r="G380">
            <v>3244.8977186239317</v>
          </cell>
          <cell r="H380">
            <v>3311.6764690435898</v>
          </cell>
          <cell r="I380">
            <v>5623.14206917094</v>
          </cell>
          <cell r="J380">
            <v>5002.4021476794869</v>
          </cell>
          <cell r="K380">
            <v>4541.3995252948716</v>
          </cell>
          <cell r="L380">
            <v>4170.5307623512817</v>
          </cell>
          <cell r="M380">
            <v>4700.4291328662393</v>
          </cell>
          <cell r="N380">
            <v>4067.9689787294874</v>
          </cell>
          <cell r="O380">
            <v>5008.2040866025645</v>
          </cell>
          <cell r="P380">
            <v>4660.180545588034</v>
          </cell>
          <cell r="R380">
            <v>51603.08837369828</v>
          </cell>
        </row>
        <row r="381">
          <cell r="C381">
            <v>360800</v>
          </cell>
          <cell r="D381" t="str">
            <v>CAPRES VINAIGRE CAPUCINES 5/1 2.4KG</v>
          </cell>
          <cell r="E381">
            <v>847.2550540769231</v>
          </cell>
          <cell r="F381">
            <v>630.94933684615387</v>
          </cell>
          <cell r="G381">
            <v>621.81322071153841</v>
          </cell>
          <cell r="H381">
            <v>653.11792121923077</v>
          </cell>
          <cell r="I381">
            <v>986.73648515384616</v>
          </cell>
          <cell r="J381">
            <v>808.62440246153847</v>
          </cell>
          <cell r="K381">
            <v>985.8152654153846</v>
          </cell>
          <cell r="L381">
            <v>669.81140174615382</v>
          </cell>
          <cell r="M381">
            <v>1027.9603168346155</v>
          </cell>
          <cell r="N381">
            <v>822.9292463615385</v>
          </cell>
          <cell r="O381">
            <v>891.80643519230773</v>
          </cell>
          <cell r="P381">
            <v>785.96797221923077</v>
          </cell>
          <cell r="R381">
            <v>9732.7870582384621</v>
          </cell>
        </row>
        <row r="382">
          <cell r="C382">
            <v>438094</v>
          </cell>
          <cell r="D382" t="str">
            <v>COUVERCLE ANTIVOL CARTON</v>
          </cell>
          <cell r="E382">
            <v>3.9</v>
          </cell>
          <cell r="F382">
            <v>2.9</v>
          </cell>
          <cell r="G382">
            <v>3.2</v>
          </cell>
          <cell r="H382">
            <v>1.3</v>
          </cell>
          <cell r="I382">
            <v>3.4</v>
          </cell>
          <cell r="J382">
            <v>5.9</v>
          </cell>
          <cell r="K382">
            <v>5</v>
          </cell>
          <cell r="N382">
            <v>1.5</v>
          </cell>
          <cell r="O382">
            <v>1.45</v>
          </cell>
          <cell r="P382">
            <v>1.4</v>
          </cell>
          <cell r="R382">
            <v>29.95</v>
          </cell>
        </row>
        <row r="383">
          <cell r="C383">
            <v>340371</v>
          </cell>
          <cell r="D383" t="str">
            <v>POIVRE VERT SAUMURE</v>
          </cell>
          <cell r="E383">
            <v>8.1928078431372544</v>
          </cell>
          <cell r="F383">
            <v>24.578423529411765</v>
          </cell>
          <cell r="G383">
            <v>24.578423529411765</v>
          </cell>
          <cell r="H383">
            <v>44.377709150326794</v>
          </cell>
          <cell r="I383">
            <v>39.598571241830065</v>
          </cell>
          <cell r="J383">
            <v>40.964039215686277</v>
          </cell>
          <cell r="K383">
            <v>47.791379084967318</v>
          </cell>
          <cell r="N383">
            <v>25.943891503267974</v>
          </cell>
          <cell r="O383">
            <v>20.482019607843139</v>
          </cell>
          <cell r="P383">
            <v>20.482019607843139</v>
          </cell>
          <cell r="R383">
            <v>296.98928431372553</v>
          </cell>
        </row>
        <row r="384">
          <cell r="C384">
            <v>338463</v>
          </cell>
          <cell r="D384" t="str">
            <v>CREME D'ISIGNY AOP 35% MG</v>
          </cell>
          <cell r="E384">
            <v>2071.8431695679992</v>
          </cell>
          <cell r="F384">
            <v>2075.0772668130971</v>
          </cell>
          <cell r="G384">
            <v>1676.8965900408496</v>
          </cell>
          <cell r="H384">
            <v>2544.7870128123427</v>
          </cell>
          <cell r="I384">
            <v>2517.0014513785823</v>
          </cell>
          <cell r="J384">
            <v>2568.3661255623429</v>
          </cell>
          <cell r="K384">
            <v>3382.6058876439165</v>
          </cell>
          <cell r="L384">
            <v>651.55974827863247</v>
          </cell>
          <cell r="M384">
            <v>4945.2602192613622</v>
          </cell>
          <cell r="N384">
            <v>1215.981932319633</v>
          </cell>
          <cell r="O384">
            <v>1211.4302692640774</v>
          </cell>
          <cell r="P384">
            <v>1139.3238386039468</v>
          </cell>
          <cell r="R384">
            <v>26000.133511546785</v>
          </cell>
        </row>
        <row r="385">
          <cell r="C385">
            <v>338417</v>
          </cell>
          <cell r="D385" t="str">
            <v>MORUE BITS &amp; PIECES</v>
          </cell>
          <cell r="E385">
            <v>352.38369115384614</v>
          </cell>
          <cell r="F385">
            <v>285.26298807692308</v>
          </cell>
          <cell r="G385">
            <v>268.48281230769231</v>
          </cell>
          <cell r="H385">
            <v>260.0927244230769</v>
          </cell>
          <cell r="I385">
            <v>226.5323728846154</v>
          </cell>
          <cell r="J385">
            <v>285.26298807692308</v>
          </cell>
          <cell r="K385">
            <v>260.0927244230769</v>
          </cell>
          <cell r="L385">
            <v>268.48281230769231</v>
          </cell>
          <cell r="M385">
            <v>276.87290019230767</v>
          </cell>
          <cell r="N385">
            <v>302.04316384615385</v>
          </cell>
          <cell r="O385">
            <v>285.26298807692308</v>
          </cell>
          <cell r="P385">
            <v>285.26298807692308</v>
          </cell>
          <cell r="R385">
            <v>3356.0351538461537</v>
          </cell>
        </row>
        <row r="386">
          <cell r="C386">
            <v>338419</v>
          </cell>
          <cell r="D386" t="str">
            <v>MOULE DECORTIQUEES CHILI PACIFIQUE CUITE SURG</v>
          </cell>
          <cell r="E386">
            <v>49.923530461538462</v>
          </cell>
          <cell r="F386">
            <v>49.923530461538462</v>
          </cell>
          <cell r="G386">
            <v>44.250402000000001</v>
          </cell>
          <cell r="H386">
            <v>49.923530461538462</v>
          </cell>
          <cell r="I386">
            <v>49.923530461538462</v>
          </cell>
          <cell r="J386">
            <v>48.221591923076922</v>
          </cell>
          <cell r="K386">
            <v>56.731284615384617</v>
          </cell>
          <cell r="L386">
            <v>53.894720384615383</v>
          </cell>
          <cell r="M386">
            <v>51.058156153846156</v>
          </cell>
          <cell r="N386">
            <v>56.731284615384617</v>
          </cell>
          <cell r="O386">
            <v>52.760094692307689</v>
          </cell>
          <cell r="P386">
            <v>54.462033230769229</v>
          </cell>
          <cell r="R386">
            <v>617.80368946153828</v>
          </cell>
        </row>
        <row r="387">
          <cell r="C387">
            <v>447778</v>
          </cell>
          <cell r="D387" t="str">
            <v>ETUI PICARD FAJITAS POULET A PLAT 2019</v>
          </cell>
          <cell r="E387">
            <v>33.329954166666667</v>
          </cell>
          <cell r="F387">
            <v>21.81597</v>
          </cell>
          <cell r="I387">
            <v>15.149979166666666</v>
          </cell>
          <cell r="J387">
            <v>18.785974166666666</v>
          </cell>
          <cell r="K387">
            <v>12.119983333333334</v>
          </cell>
          <cell r="O387">
            <v>18.179974999999999</v>
          </cell>
          <cell r="P387">
            <v>7.2719899999999997</v>
          </cell>
          <cell r="R387">
            <v>126.65382583333333</v>
          </cell>
        </row>
        <row r="388">
          <cell r="C388">
            <v>340868</v>
          </cell>
          <cell r="D388" t="str">
            <v>CHAIR DE TOURTEAUX ISSUE DE CHAIR BLANCHE SURG</v>
          </cell>
          <cell r="M388">
            <v>60.117750000000001</v>
          </cell>
          <cell r="R388">
            <v>60.117750000000001</v>
          </cell>
        </row>
        <row r="389">
          <cell r="C389">
            <v>343904</v>
          </cell>
          <cell r="D389" t="str">
            <v>MORUE 7.5KG SEL 2%</v>
          </cell>
          <cell r="E389">
            <v>610.8153611538462</v>
          </cell>
          <cell r="F389">
            <v>494.46957807692309</v>
          </cell>
          <cell r="G389">
            <v>465.38313230769234</v>
          </cell>
          <cell r="H389">
            <v>450.8399094230769</v>
          </cell>
          <cell r="I389">
            <v>392.6670178846154</v>
          </cell>
          <cell r="J389">
            <v>494.46957807692309</v>
          </cell>
          <cell r="K389">
            <v>450.8399094230769</v>
          </cell>
          <cell r="L389">
            <v>465.38313230769234</v>
          </cell>
          <cell r="M389">
            <v>479.92635519230771</v>
          </cell>
          <cell r="N389">
            <v>523.55602384615383</v>
          </cell>
          <cell r="O389">
            <v>494.46957807692309</v>
          </cell>
          <cell r="P389">
            <v>494.46957807692309</v>
          </cell>
          <cell r="R389">
            <v>5817.2891538461545</v>
          </cell>
        </row>
        <row r="390">
          <cell r="C390">
            <v>339427</v>
          </cell>
          <cell r="D390" t="str">
            <v>BOEUF SAUTE 45G+/-10G COLLIER FRANCE VBF SURG</v>
          </cell>
          <cell r="E390">
            <v>1178.9048734967321</v>
          </cell>
          <cell r="F390">
            <v>1111.4623997189542</v>
          </cell>
          <cell r="G390">
            <v>263.24882477777777</v>
          </cell>
          <cell r="H390">
            <v>263.24882477777777</v>
          </cell>
          <cell r="I390">
            <v>565.03166555555561</v>
          </cell>
          <cell r="J390">
            <v>4547.6348764705881</v>
          </cell>
          <cell r="K390">
            <v>860.70776888888884</v>
          </cell>
          <cell r="L390">
            <v>1118.6021783333333</v>
          </cell>
          <cell r="M390">
            <v>1199.3855683333334</v>
          </cell>
          <cell r="N390">
            <v>1352.7762939215686</v>
          </cell>
          <cell r="O390">
            <v>1217.8650800326798</v>
          </cell>
          <cell r="P390">
            <v>1256.404887254902</v>
          </cell>
          <cell r="R390">
            <v>14935.273241562092</v>
          </cell>
        </row>
        <row r="391">
          <cell r="C391">
            <v>361033</v>
          </cell>
          <cell r="D391" t="str">
            <v>AGNEAU SAUTE 60/70 EPAULE IQF</v>
          </cell>
          <cell r="E391">
            <v>623.86231986111113</v>
          </cell>
          <cell r="F391">
            <v>567.4897578888889</v>
          </cell>
          <cell r="G391">
            <v>537.05394505555557</v>
          </cell>
          <cell r="H391">
            <v>623.12739433333331</v>
          </cell>
          <cell r="I391">
            <v>647.18207438888885</v>
          </cell>
          <cell r="J391">
            <v>850.41020077777773</v>
          </cell>
          <cell r="K391">
            <v>616.33404352777779</v>
          </cell>
          <cell r="L391">
            <v>559.96148155555557</v>
          </cell>
          <cell r="M391">
            <v>341.42593822222221</v>
          </cell>
          <cell r="N391">
            <v>503.58891958333334</v>
          </cell>
          <cell r="O391">
            <v>555.46241786111113</v>
          </cell>
          <cell r="P391">
            <v>6656.4288395833337</v>
          </cell>
          <cell r="R391">
            <v>13082.327332638888</v>
          </cell>
        </row>
        <row r="392">
          <cell r="C392">
            <v>343033</v>
          </cell>
          <cell r="D392" t="str">
            <v>CRUMBLE DE CHEVRE IQF SURG UE</v>
          </cell>
          <cell r="M392">
            <v>256.5</v>
          </cell>
          <cell r="R392">
            <v>256.5</v>
          </cell>
        </row>
        <row r="393">
          <cell r="C393">
            <v>350001</v>
          </cell>
          <cell r="D393" t="str">
            <v xml:space="preserve">BEURRE DOUX 82 % BIO </v>
          </cell>
          <cell r="E393">
            <v>26.769128055555555</v>
          </cell>
          <cell r="F393">
            <v>26.769128055555555</v>
          </cell>
          <cell r="G393">
            <v>26.769128055555555</v>
          </cell>
          <cell r="H393">
            <v>26.769128055555555</v>
          </cell>
          <cell r="I393">
            <v>26.769128055555555</v>
          </cell>
          <cell r="J393">
            <v>26.769128055555555</v>
          </cell>
          <cell r="K393">
            <v>26.769128055555555</v>
          </cell>
          <cell r="L393">
            <v>26.769128055555555</v>
          </cell>
          <cell r="M393">
            <v>22.936597500000001</v>
          </cell>
          <cell r="N393">
            <v>26.769128055555555</v>
          </cell>
          <cell r="O393">
            <v>26.769128055555555</v>
          </cell>
          <cell r="P393">
            <v>26.769128055555555</v>
          </cell>
          <cell r="R393">
            <v>317.39700611111101</v>
          </cell>
        </row>
        <row r="394">
          <cell r="C394">
            <v>343162</v>
          </cell>
          <cell r="D394" t="str">
            <v>VIN ROUGE COTEAUX BOURGUIGNONS AOC</v>
          </cell>
          <cell r="E394">
            <v>2171.7811694275561</v>
          </cell>
          <cell r="F394">
            <v>849.19100472167395</v>
          </cell>
          <cell r="G394">
            <v>1950.8204956060008</v>
          </cell>
          <cell r="H394">
            <v>396.77704941176472</v>
          </cell>
          <cell r="I394">
            <v>330.64754117647061</v>
          </cell>
          <cell r="J394">
            <v>2683.6822117647057</v>
          </cell>
          <cell r="K394">
            <v>661.29508235294122</v>
          </cell>
          <cell r="N394">
            <v>456.3768592156863</v>
          </cell>
          <cell r="O394">
            <v>456.3768592156863</v>
          </cell>
          <cell r="P394">
            <v>456.3768592156863</v>
          </cell>
          <cell r="R394">
            <v>10413.325132108172</v>
          </cell>
        </row>
        <row r="395">
          <cell r="C395">
            <v>338182</v>
          </cell>
          <cell r="D395" t="str">
            <v>PDT LAMELLE FRANCE POMME DE TERRE PAST</v>
          </cell>
          <cell r="E395">
            <v>5264.0318424999996</v>
          </cell>
          <cell r="F395">
            <v>4356.3697623076923</v>
          </cell>
          <cell r="G395">
            <v>3752.6399855769232</v>
          </cell>
          <cell r="H395">
            <v>4040.1417997115386</v>
          </cell>
          <cell r="I395">
            <v>3995.6087481730769</v>
          </cell>
          <cell r="J395">
            <v>4798.7959199999996</v>
          </cell>
          <cell r="K395">
            <v>14115.107963822382</v>
          </cell>
          <cell r="L395">
            <v>9696.5687531833446</v>
          </cell>
          <cell r="M395">
            <v>15223.308271392565</v>
          </cell>
          <cell r="N395">
            <v>8158.0820659531773</v>
          </cell>
          <cell r="O395">
            <v>6843.9336969397991</v>
          </cell>
          <cell r="P395">
            <v>5502.9681613874027</v>
          </cell>
          <cell r="R395">
            <v>85747.556970947888</v>
          </cell>
        </row>
        <row r="396">
          <cell r="C396">
            <v>338362</v>
          </cell>
          <cell r="D396" t="str">
            <v xml:space="preserve">HUILE TOURNESOL NON HYDROGENEE </v>
          </cell>
          <cell r="E396">
            <v>4812.8489646319404</v>
          </cell>
          <cell r="F396">
            <v>4090.1505174129334</v>
          </cell>
          <cell r="G396">
            <v>4636.6402194859447</v>
          </cell>
          <cell r="H396">
            <v>3994.525912035499</v>
          </cell>
          <cell r="I396">
            <v>4438.4520215784905</v>
          </cell>
          <cell r="J396">
            <v>6301.5724695506624</v>
          </cell>
          <cell r="K396">
            <v>5310.2361388665095</v>
          </cell>
          <cell r="L396">
            <v>3769.3970631662955</v>
          </cell>
          <cell r="M396">
            <v>3663.4081794044068</v>
          </cell>
          <cell r="N396">
            <v>5534.8206048097245</v>
          </cell>
          <cell r="O396">
            <v>4506.7193909803946</v>
          </cell>
          <cell r="P396">
            <v>4930.5356996627806</v>
          </cell>
          <cell r="R396">
            <v>55989.307181585595</v>
          </cell>
        </row>
        <row r="397">
          <cell r="C397">
            <v>360439</v>
          </cell>
          <cell r="D397" t="str">
            <v>TORTELLONI TRICOLORE 3 FROMAGES PATES FARCIES SURG</v>
          </cell>
          <cell r="E397">
            <v>1482.672238846154</v>
          </cell>
          <cell r="F397">
            <v>1160.3521869230769</v>
          </cell>
          <cell r="G397">
            <v>1514.9042440384615</v>
          </cell>
          <cell r="H397">
            <v>1166.7985879615385</v>
          </cell>
          <cell r="I397">
            <v>2088.6339364615383</v>
          </cell>
          <cell r="J397">
            <v>1579.3682544230769</v>
          </cell>
          <cell r="K397">
            <v>1627.7162622115384</v>
          </cell>
          <cell r="L397">
            <v>1276.3874056153845</v>
          </cell>
          <cell r="M397">
            <v>1082.9953744615384</v>
          </cell>
          <cell r="N397">
            <v>1115.2273796538461</v>
          </cell>
          <cell r="O397">
            <v>1082.9953744615384</v>
          </cell>
          <cell r="P397">
            <v>1437.5474315769231</v>
          </cell>
          <cell r="R397">
            <v>16615.598676634614</v>
          </cell>
        </row>
        <row r="398">
          <cell r="C398">
            <v>360446</v>
          </cell>
          <cell r="D398" t="str">
            <v>TORTELLI AUX BOLETS SURG</v>
          </cell>
          <cell r="L398">
            <v>108.14997578947369</v>
          </cell>
          <cell r="M398">
            <v>3283.1242650375939</v>
          </cell>
          <cell r="R398">
            <v>3391.2742408270674</v>
          </cell>
        </row>
        <row r="399">
          <cell r="C399">
            <v>345849</v>
          </cell>
          <cell r="D399" t="str">
            <v>PORC JAMBON TALONS CUIT SUPERIEUR FRAIS 5KG VPF</v>
          </cell>
          <cell r="E399">
            <v>372.87407692307693</v>
          </cell>
          <cell r="F399">
            <v>335.58666923076925</v>
          </cell>
          <cell r="G399">
            <v>372.87407692307693</v>
          </cell>
          <cell r="H399">
            <v>335.58666923076925</v>
          </cell>
          <cell r="I399">
            <v>328.12918769230771</v>
          </cell>
          <cell r="J399">
            <v>638.56738923869943</v>
          </cell>
          <cell r="K399">
            <v>350.50163230769232</v>
          </cell>
          <cell r="L399">
            <v>343.04415076923078</v>
          </cell>
          <cell r="M399">
            <v>320.67170615384617</v>
          </cell>
          <cell r="N399">
            <v>658.14555966693104</v>
          </cell>
          <cell r="O399">
            <v>328.12918769230771</v>
          </cell>
          <cell r="P399">
            <v>417.61896615384615</v>
          </cell>
          <cell r="R399">
            <v>4801.7292719825546</v>
          </cell>
        </row>
        <row r="400">
          <cell r="C400">
            <v>339451</v>
          </cell>
          <cell r="D400" t="str">
            <v>MORCEAUX DE FOIE GRAS DE CANARD CUIT (R035) CHUTE</v>
          </cell>
          <cell r="E400">
            <v>223.51509826086956</v>
          </cell>
          <cell r="J400">
            <v>163.34869444444445</v>
          </cell>
          <cell r="K400">
            <v>146.23176597722363</v>
          </cell>
          <cell r="L400">
            <v>1260.4035706275931</v>
          </cell>
          <cell r="M400">
            <v>878.82357950334449</v>
          </cell>
          <cell r="P400">
            <v>377.07062196014493</v>
          </cell>
          <cell r="R400">
            <v>3049.3933307736202</v>
          </cell>
        </row>
        <row r="401">
          <cell r="C401">
            <v>346118</v>
          </cell>
          <cell r="D401" t="str">
            <v>CREVETTE ENTIÈRE CRUE ELEVAGE 40/50 CGL</v>
          </cell>
          <cell r="E401">
            <v>2243.9999561538461</v>
          </cell>
          <cell r="F401">
            <v>1883.1999601923078</v>
          </cell>
          <cell r="G401">
            <v>2656.7199624999998</v>
          </cell>
          <cell r="H401">
            <v>1786.3999590384615</v>
          </cell>
          <cell r="I401">
            <v>1900.7999596153845</v>
          </cell>
          <cell r="J401">
            <v>2873.199960769231</v>
          </cell>
          <cell r="K401">
            <v>1711.5999567307692</v>
          </cell>
          <cell r="L401">
            <v>1466.9599648076924</v>
          </cell>
          <cell r="M401">
            <v>1561.119961923077</v>
          </cell>
          <cell r="N401">
            <v>1593.679961</v>
          </cell>
          <cell r="O401">
            <v>1596.3199613461538</v>
          </cell>
          <cell r="P401">
            <v>2299.4399549999998</v>
          </cell>
          <cell r="R401">
            <v>23573.439519076921</v>
          </cell>
        </row>
        <row r="402">
          <cell r="C402">
            <v>338291</v>
          </cell>
          <cell r="D402" t="str">
            <v>PDT FLOCONS S/PALME</v>
          </cell>
          <cell r="E402">
            <v>193.85478000000001</v>
          </cell>
          <cell r="F402">
            <v>156.93006</v>
          </cell>
          <cell r="G402">
            <v>147.69888</v>
          </cell>
          <cell r="H402">
            <v>143.08329000000001</v>
          </cell>
          <cell r="I402">
            <v>124.62093</v>
          </cell>
          <cell r="J402">
            <v>156.93006</v>
          </cell>
          <cell r="K402">
            <v>143.08329000000001</v>
          </cell>
          <cell r="L402">
            <v>149.9491087037037</v>
          </cell>
          <cell r="M402">
            <v>467.34648851851853</v>
          </cell>
          <cell r="N402">
            <v>166.16123999999999</v>
          </cell>
          <cell r="O402">
            <v>156.93006</v>
          </cell>
          <cell r="P402">
            <v>183.93280444444446</v>
          </cell>
          <cell r="R402">
            <v>2190.5209916666668</v>
          </cell>
        </row>
        <row r="403">
          <cell r="C403">
            <v>347213</v>
          </cell>
          <cell r="D403" t="str">
            <v>BOEUF SAUTE PALERON FR 40G CGL</v>
          </cell>
          <cell r="E403">
            <v>1497.3178399572651</v>
          </cell>
          <cell r="F403">
            <v>1401.0935733333333</v>
          </cell>
          <cell r="G403">
            <v>1016.1965068376069</v>
          </cell>
          <cell r="H403">
            <v>984.25545837606842</v>
          </cell>
          <cell r="I403">
            <v>1016.1965068376069</v>
          </cell>
          <cell r="J403">
            <v>3660.2828961538462</v>
          </cell>
          <cell r="K403">
            <v>4168.3811495726495</v>
          </cell>
          <cell r="L403">
            <v>2517.6762324786323</v>
          </cell>
          <cell r="M403">
            <v>2899.6827879102566</v>
          </cell>
          <cell r="N403">
            <v>2156.7975643162395</v>
          </cell>
          <cell r="O403">
            <v>2133.9825297008547</v>
          </cell>
          <cell r="P403">
            <v>2959.0399385786327</v>
          </cell>
          <cell r="R403">
            <v>26410.902984052991</v>
          </cell>
        </row>
        <row r="404">
          <cell r="C404">
            <v>360385</v>
          </cell>
          <cell r="D404" t="str">
            <v xml:space="preserve">RIZ ROUGE </v>
          </cell>
          <cell r="E404">
            <v>1006.4119503280543</v>
          </cell>
          <cell r="F404">
            <v>315.69453183257917</v>
          </cell>
          <cell r="G404">
            <v>311.83225767873301</v>
          </cell>
          <cell r="H404">
            <v>324.86356792760182</v>
          </cell>
          <cell r="I404">
            <v>375.06153686651584</v>
          </cell>
          <cell r="J404">
            <v>654.05673419683262</v>
          </cell>
          <cell r="K404">
            <v>678.1959476583711</v>
          </cell>
          <cell r="L404">
            <v>142.42135942307692</v>
          </cell>
          <cell r="M404">
            <v>115.86822461538462</v>
          </cell>
          <cell r="N404">
            <v>335.00590260180996</v>
          </cell>
          <cell r="O404">
            <v>332.59198125565609</v>
          </cell>
          <cell r="P404">
            <v>332.59198125565609</v>
          </cell>
          <cell r="R404">
            <v>4924.5959756402708</v>
          </cell>
        </row>
        <row r="405">
          <cell r="C405">
            <v>338363</v>
          </cell>
          <cell r="D405" t="str">
            <v>HUILE D'OLIVE EXTRA</v>
          </cell>
          <cell r="E405">
            <v>1379.6480785143328</v>
          </cell>
          <cell r="F405">
            <v>1611.051313832884</v>
          </cell>
          <cell r="G405">
            <v>1846.8872148952421</v>
          </cell>
          <cell r="H405">
            <v>1750.7553557115059</v>
          </cell>
          <cell r="I405">
            <v>1569.4842405792101</v>
          </cell>
          <cell r="J405">
            <v>1877.6960677549725</v>
          </cell>
          <cell r="K405">
            <v>1555.3901263388623</v>
          </cell>
          <cell r="L405">
            <v>1008.3655306225813</v>
          </cell>
          <cell r="M405">
            <v>1006.3830243669553</v>
          </cell>
          <cell r="N405">
            <v>1190.7724368519066</v>
          </cell>
          <cell r="O405">
            <v>1394.2218799556915</v>
          </cell>
          <cell r="P405">
            <v>1342.1435035645145</v>
          </cell>
          <cell r="R405">
            <v>17532.798772988659</v>
          </cell>
        </row>
        <row r="406">
          <cell r="C406">
            <v>338369</v>
          </cell>
          <cell r="D406" t="str">
            <v>HUILE DE COLZA</v>
          </cell>
          <cell r="E406">
            <v>38.136000000000003</v>
          </cell>
          <cell r="F406">
            <v>9.5340000000000007</v>
          </cell>
          <cell r="G406">
            <v>42.187950000000001</v>
          </cell>
          <cell r="H406">
            <v>8.5806000000000004</v>
          </cell>
          <cell r="I406">
            <v>7.1505000000000001</v>
          </cell>
          <cell r="J406">
            <v>28.602</v>
          </cell>
          <cell r="K406">
            <v>14.301</v>
          </cell>
          <cell r="N406">
            <v>6.4354500000000003</v>
          </cell>
          <cell r="O406">
            <v>6.4354500000000003</v>
          </cell>
          <cell r="P406">
            <v>6.4354500000000003</v>
          </cell>
          <cell r="R406">
            <v>167.79839999999999</v>
          </cell>
        </row>
        <row r="407">
          <cell r="C407">
            <v>339439</v>
          </cell>
          <cell r="D407" t="str">
            <v>CANARD GRAISSE FONDUE CONGE</v>
          </cell>
          <cell r="E407">
            <v>606.00190980392154</v>
          </cell>
          <cell r="F407">
            <v>1596.3395215686276</v>
          </cell>
          <cell r="G407">
            <v>1153.007105882353</v>
          </cell>
          <cell r="H407">
            <v>2236.9847311111112</v>
          </cell>
          <cell r="I407">
            <v>2278.7883543790849</v>
          </cell>
          <cell r="J407">
            <v>2121.178096862745</v>
          </cell>
          <cell r="K407">
            <v>2463.6244692810455</v>
          </cell>
          <cell r="N407">
            <v>1305.7295393464053</v>
          </cell>
          <cell r="O407">
            <v>1027.339117254902</v>
          </cell>
          <cell r="P407">
            <v>1027.339117254902</v>
          </cell>
          <cell r="R407">
            <v>15816.331962745096</v>
          </cell>
        </row>
        <row r="408">
          <cell r="C408">
            <v>338246</v>
          </cell>
          <cell r="D408" t="str">
            <v>PUREE PIMENTS ROUGE (EA00177)</v>
          </cell>
          <cell r="E408">
            <v>75.362479785728723</v>
          </cell>
          <cell r="F408">
            <v>28.337804381443298</v>
          </cell>
          <cell r="G408">
            <v>28.521649686239353</v>
          </cell>
          <cell r="H408">
            <v>24.240772422680411</v>
          </cell>
          <cell r="I408">
            <v>27.313546391752578</v>
          </cell>
          <cell r="J408">
            <v>28.484718289728647</v>
          </cell>
          <cell r="K408">
            <v>23.21651443298969</v>
          </cell>
          <cell r="L408">
            <v>18.43664381443299</v>
          </cell>
          <cell r="M408">
            <v>21.167998453608249</v>
          </cell>
          <cell r="N408">
            <v>45.353772817605076</v>
          </cell>
          <cell r="O408">
            <v>102.1049939470723</v>
          </cell>
          <cell r="P408">
            <v>24.608458561183326</v>
          </cell>
          <cell r="R408">
            <v>447.14935298446466</v>
          </cell>
        </row>
        <row r="409">
          <cell r="C409">
            <v>338856</v>
          </cell>
          <cell r="D409" t="str">
            <v>BOULETTES DE VOLAILLE 20G SURG</v>
          </cell>
          <cell r="E409">
            <v>1064.1919147377857</v>
          </cell>
          <cell r="F409">
            <v>1062.6399082048408</v>
          </cell>
          <cell r="G409">
            <v>1367.3918808247422</v>
          </cell>
          <cell r="H409">
            <v>1143.9358903563425</v>
          </cell>
          <cell r="I409">
            <v>988.22391588973551</v>
          </cell>
          <cell r="J409">
            <v>1207.0398938570147</v>
          </cell>
          <cell r="K409">
            <v>1313.7918912595248</v>
          </cell>
          <cell r="L409">
            <v>1286.9918899551772</v>
          </cell>
          <cell r="M409">
            <v>797.63194455356347</v>
          </cell>
          <cell r="N409">
            <v>1154.1919047377858</v>
          </cell>
          <cell r="O409">
            <v>1394.5678814825189</v>
          </cell>
          <cell r="P409">
            <v>1481.7918756073509</v>
          </cell>
          <cell r="R409">
            <v>14262.390791466381</v>
          </cell>
        </row>
        <row r="410">
          <cell r="C410">
            <v>338857</v>
          </cell>
          <cell r="D410" t="str">
            <v>TSUKUNE BOULETTES  25G SURG</v>
          </cell>
          <cell r="J410">
            <v>126</v>
          </cell>
          <cell r="N410">
            <v>995.88000371134024</v>
          </cell>
          <cell r="O410">
            <v>9</v>
          </cell>
          <cell r="R410">
            <v>1130.8800037113401</v>
          </cell>
        </row>
        <row r="411">
          <cell r="C411">
            <v>338860</v>
          </cell>
          <cell r="D411" t="str">
            <v>BOULETTE BOEUF VBF 25G SURG</v>
          </cell>
          <cell r="E411">
            <v>969.60001230769228</v>
          </cell>
          <cell r="F411">
            <v>909.00001153846154</v>
          </cell>
          <cell r="G411">
            <v>969.60001230769228</v>
          </cell>
          <cell r="H411">
            <v>848.40001076923079</v>
          </cell>
          <cell r="I411">
            <v>818.10001038461542</v>
          </cell>
          <cell r="J411">
            <v>863.55001096153842</v>
          </cell>
          <cell r="K411">
            <v>954.45001211538465</v>
          </cell>
          <cell r="L411">
            <v>848.40001076923079</v>
          </cell>
          <cell r="M411">
            <v>818.10001038461542</v>
          </cell>
          <cell r="N411">
            <v>848.40001076923079</v>
          </cell>
          <cell r="O411">
            <v>833.25001057692305</v>
          </cell>
          <cell r="P411">
            <v>954.45001211538465</v>
          </cell>
          <cell r="R411">
            <v>10635.300135000001</v>
          </cell>
        </row>
        <row r="412">
          <cell r="C412">
            <v>338470</v>
          </cell>
          <cell r="D412" t="str">
            <v xml:space="preserve">MOUTARDE GRAINE BLANCHE </v>
          </cell>
          <cell r="E412">
            <v>368.8921775</v>
          </cell>
          <cell r="F412">
            <v>322.12888483333336</v>
          </cell>
          <cell r="G412">
            <v>313.85942791666668</v>
          </cell>
          <cell r="H412">
            <v>321.29897065</v>
          </cell>
          <cell r="I412">
            <v>564.41664933333334</v>
          </cell>
          <cell r="J412">
            <v>463.81185125000002</v>
          </cell>
          <cell r="K412">
            <v>409.83697115000001</v>
          </cell>
          <cell r="L412">
            <v>388.53189250000003</v>
          </cell>
          <cell r="M412">
            <v>442.75847206666668</v>
          </cell>
          <cell r="N412">
            <v>397.10311625000003</v>
          </cell>
          <cell r="O412">
            <v>497.40614749999997</v>
          </cell>
          <cell r="P412">
            <v>422.46456666666666</v>
          </cell>
          <cell r="R412">
            <v>4912.5091276166668</v>
          </cell>
        </row>
        <row r="413">
          <cell r="C413">
            <v>460459</v>
          </cell>
          <cell r="D413" t="str">
            <v>BARQ CASSOLETTE 130*120*38 PP CO NATUREL TRANSP</v>
          </cell>
          <cell r="L413">
            <v>803.39982321026037</v>
          </cell>
          <cell r="M413">
            <v>269015.34089668351</v>
          </cell>
          <cell r="R413">
            <v>269818.74071989377</v>
          </cell>
        </row>
        <row r="414">
          <cell r="C414">
            <v>340382</v>
          </cell>
          <cell r="D414" t="str">
            <v>YAOURT POUDRE</v>
          </cell>
          <cell r="F414">
            <v>112.20685953177258</v>
          </cell>
          <cell r="J414">
            <v>137.85829586939283</v>
          </cell>
          <cell r="K414">
            <v>259.74741176470587</v>
          </cell>
          <cell r="N414">
            <v>226.70020200582698</v>
          </cell>
          <cell r="O414">
            <v>0.64787692307692313</v>
          </cell>
          <cell r="P414">
            <v>10.528</v>
          </cell>
          <cell r="R414">
            <v>747.68864609477532</v>
          </cell>
        </row>
        <row r="415">
          <cell r="C415">
            <v>343161</v>
          </cell>
          <cell r="D415" t="str">
            <v>VIN ROUGE DE BUZET</v>
          </cell>
          <cell r="E415">
            <v>1778.2193358119657</v>
          </cell>
          <cell r="F415">
            <v>1468.2753658888889</v>
          </cell>
          <cell r="G415">
            <v>2516.7671444188036</v>
          </cell>
          <cell r="H415">
            <v>1129.1122046880341</v>
          </cell>
          <cell r="I415">
            <v>1910.2337029743589</v>
          </cell>
          <cell r="J415">
            <v>8653.8377035769226</v>
          </cell>
          <cell r="K415">
            <v>7351.2306704235798</v>
          </cell>
          <cell r="L415">
            <v>5156.5424015170938</v>
          </cell>
          <cell r="M415">
            <v>4988.569773538462</v>
          </cell>
          <cell r="N415">
            <v>5178.0750302136748</v>
          </cell>
          <cell r="O415">
            <v>4552.9312926282055</v>
          </cell>
          <cell r="P415">
            <v>4830.1325310670936</v>
          </cell>
          <cell r="R415">
            <v>49513.927156747086</v>
          </cell>
        </row>
        <row r="416">
          <cell r="C416">
            <v>340578</v>
          </cell>
          <cell r="D416" t="str">
            <v>NOUILLES NODDLE SANS OEUFS QUICK COOKING</v>
          </cell>
          <cell r="E416">
            <v>2561.7235329578407</v>
          </cell>
          <cell r="F416">
            <v>1157.694985781126</v>
          </cell>
          <cell r="G416">
            <v>1954.9092733452574</v>
          </cell>
          <cell r="H416">
            <v>1118.8203157295798</v>
          </cell>
          <cell r="I416">
            <v>2163.5388197726961</v>
          </cell>
          <cell r="J416">
            <v>9486.8173826245438</v>
          </cell>
          <cell r="K416">
            <v>1183.6114324821569</v>
          </cell>
          <cell r="L416">
            <v>1285.8632966229184</v>
          </cell>
          <cell r="M416">
            <v>1092.6442744647106</v>
          </cell>
          <cell r="N416">
            <v>22567.394363912947</v>
          </cell>
          <cell r="O416">
            <v>1129.9190155363945</v>
          </cell>
          <cell r="P416">
            <v>3141.1545543170791</v>
          </cell>
          <cell r="R416">
            <v>48844.091247547251</v>
          </cell>
        </row>
        <row r="417">
          <cell r="C417">
            <v>338250</v>
          </cell>
          <cell r="D417" t="str">
            <v>BAMBOU POUSSE 1.8 KG</v>
          </cell>
          <cell r="E417">
            <v>57.679501999999999</v>
          </cell>
          <cell r="F417">
            <v>209.7404855652174</v>
          </cell>
          <cell r="G417">
            <v>345.32220695652171</v>
          </cell>
          <cell r="H417">
            <v>53.325571391304351</v>
          </cell>
          <cell r="I417">
            <v>345.32220695652171</v>
          </cell>
          <cell r="J417">
            <v>1104.6512714558494</v>
          </cell>
          <cell r="K417">
            <v>48.971640782608695</v>
          </cell>
          <cell r="L417">
            <v>42.351110173913042</v>
          </cell>
          <cell r="M417">
            <v>32.671848956521742</v>
          </cell>
          <cell r="N417">
            <v>1789.9639220376512</v>
          </cell>
          <cell r="O417">
            <v>86.619781739130431</v>
          </cell>
          <cell r="P417">
            <v>463.48036886956521</v>
          </cell>
          <cell r="R417">
            <v>4580.0999168848057</v>
          </cell>
        </row>
        <row r="418">
          <cell r="C418">
            <v>338240</v>
          </cell>
          <cell r="D418" t="str">
            <v>FROMAGE PARMESAN RAPE</v>
          </cell>
          <cell r="E418">
            <v>323.47108903846151</v>
          </cell>
          <cell r="F418">
            <v>252.59356266923078</v>
          </cell>
          <cell r="G418">
            <v>256.17445782307692</v>
          </cell>
          <cell r="H418">
            <v>268.07188820769233</v>
          </cell>
          <cell r="I418">
            <v>268.57560305384618</v>
          </cell>
          <cell r="J418">
            <v>288.21081461538461</v>
          </cell>
          <cell r="K418">
            <v>282.34694747692305</v>
          </cell>
          <cell r="L418">
            <v>252.935985158547</v>
          </cell>
          <cell r="M418">
            <v>281.36475404102566</v>
          </cell>
          <cell r="N418">
            <v>272.92221747692309</v>
          </cell>
          <cell r="O418">
            <v>249.98571728461539</v>
          </cell>
          <cell r="P418">
            <v>279.73296333162392</v>
          </cell>
          <cell r="R418">
            <v>3276.3860001773505</v>
          </cell>
        </row>
        <row r="419">
          <cell r="C419">
            <v>339434</v>
          </cell>
          <cell r="D419" t="str">
            <v>CANETTE CUISSE VF CALIBRE 150/200</v>
          </cell>
          <cell r="E419">
            <v>3333.33</v>
          </cell>
          <cell r="F419">
            <v>8888.8799999999992</v>
          </cell>
          <cell r="G419">
            <v>6666.66</v>
          </cell>
          <cell r="H419">
            <v>12814.802</v>
          </cell>
          <cell r="I419">
            <v>12851.839</v>
          </cell>
          <cell r="J419">
            <v>15811.099</v>
          </cell>
          <cell r="K419">
            <v>16442.060000000001</v>
          </cell>
          <cell r="L419">
            <v>8510</v>
          </cell>
          <cell r="M419">
            <v>5494.5</v>
          </cell>
          <cell r="N419">
            <v>7481.4740000000002</v>
          </cell>
          <cell r="O419">
            <v>5888.8829999999998</v>
          </cell>
          <cell r="P419">
            <v>8774.8829999999998</v>
          </cell>
          <cell r="R419">
            <v>112958.41</v>
          </cell>
        </row>
        <row r="420">
          <cell r="C420">
            <v>360377</v>
          </cell>
          <cell r="D420" t="str">
            <v>GELATINE BOVINE 250 BLOOM 20MESH</v>
          </cell>
          <cell r="E420">
            <v>244.02103480570975</v>
          </cell>
          <cell r="F420">
            <v>236.52944622799365</v>
          </cell>
          <cell r="G420">
            <v>276.58482027432592</v>
          </cell>
          <cell r="H420">
            <v>244.08940599762093</v>
          </cell>
          <cell r="I420">
            <v>247.06556395281524</v>
          </cell>
          <cell r="J420">
            <v>477.18935536584723</v>
          </cell>
          <cell r="K420">
            <v>484.82075065323818</v>
          </cell>
          <cell r="L420">
            <v>256.75533138158352</v>
          </cell>
          <cell r="M420">
            <v>423.42893667154016</v>
          </cell>
          <cell r="N420">
            <v>278.66157442355274</v>
          </cell>
          <cell r="O420">
            <v>242.86588990814829</v>
          </cell>
          <cell r="P420">
            <v>356.45559560224689</v>
          </cell>
          <cell r="R420">
            <v>3768.4677052646225</v>
          </cell>
        </row>
        <row r="421">
          <cell r="C421">
            <v>340397</v>
          </cell>
          <cell r="D421" t="str">
            <v>COURGETTE 1/4 ROND FRAIS</v>
          </cell>
          <cell r="E421">
            <v>701.01713565217392</v>
          </cell>
          <cell r="F421">
            <v>719.46495652173917</v>
          </cell>
          <cell r="G421">
            <v>1060.7496086956521</v>
          </cell>
          <cell r="H421">
            <v>807.09209521739126</v>
          </cell>
          <cell r="I421">
            <v>654.89758608695649</v>
          </cell>
          <cell r="J421">
            <v>871.65945913043481</v>
          </cell>
          <cell r="K421">
            <v>950.06269521739125</v>
          </cell>
          <cell r="L421">
            <v>963.89856086956524</v>
          </cell>
          <cell r="M421">
            <v>469.49700043478259</v>
          </cell>
          <cell r="N421">
            <v>807.09209652173911</v>
          </cell>
          <cell r="O421">
            <v>1079.1974321739131</v>
          </cell>
          <cell r="P421">
            <v>1116.0930647826087</v>
          </cell>
          <cell r="R421">
            <v>10200.721691304348</v>
          </cell>
        </row>
        <row r="422">
          <cell r="C422">
            <v>340405</v>
          </cell>
          <cell r="D422" t="str">
            <v>NAVET 1/4 ROND FRAIS</v>
          </cell>
          <cell r="E422">
            <v>391.38942608695652</v>
          </cell>
          <cell r="F422">
            <v>401.68914782608698</v>
          </cell>
          <cell r="G422">
            <v>592.23400000000004</v>
          </cell>
          <cell r="H422">
            <v>450.61282608695655</v>
          </cell>
          <cell r="I422">
            <v>365.64012173913045</v>
          </cell>
          <cell r="J422">
            <v>486.66185217391302</v>
          </cell>
          <cell r="K422">
            <v>530.43566956521738</v>
          </cell>
          <cell r="L422">
            <v>538.16046086956521</v>
          </cell>
          <cell r="M422">
            <v>262.12791826086959</v>
          </cell>
          <cell r="N422">
            <v>450.61282608695655</v>
          </cell>
          <cell r="O422">
            <v>602.53372173913044</v>
          </cell>
          <cell r="P422">
            <v>623.13316521739125</v>
          </cell>
          <cell r="R422">
            <v>5695.2311356521741</v>
          </cell>
        </row>
        <row r="423">
          <cell r="C423">
            <v>347203</v>
          </cell>
          <cell r="D423" t="str">
            <v xml:space="preserve">OIGNON QUARTIER FRAIS </v>
          </cell>
          <cell r="E423">
            <v>350.5085634782609</v>
          </cell>
          <cell r="F423">
            <v>359.73247304347825</v>
          </cell>
          <cell r="G423">
            <v>530.37480000000005</v>
          </cell>
          <cell r="H423">
            <v>403.54604347826086</v>
          </cell>
          <cell r="I423">
            <v>327.4487895652174</v>
          </cell>
          <cell r="J423">
            <v>435.82972695652177</v>
          </cell>
          <cell r="K423">
            <v>475.03134260869564</v>
          </cell>
          <cell r="L423">
            <v>481.94927478260871</v>
          </cell>
          <cell r="M423">
            <v>234.74849843478262</v>
          </cell>
          <cell r="N423">
            <v>403.54604347826086</v>
          </cell>
          <cell r="O423">
            <v>539.5987095652174</v>
          </cell>
          <cell r="P423">
            <v>558.04652869565223</v>
          </cell>
          <cell r="R423">
            <v>5100.360794086957</v>
          </cell>
        </row>
        <row r="424">
          <cell r="C424">
            <v>348565</v>
          </cell>
          <cell r="D424" t="str">
            <v xml:space="preserve">CHOU CHINOIS EMINCES </v>
          </cell>
          <cell r="J424">
            <v>230.43400843642613</v>
          </cell>
          <cell r="N424">
            <v>459.46023858313509</v>
          </cell>
          <cell r="O424">
            <v>2.8718813461538462</v>
          </cell>
          <cell r="P424">
            <v>65.788994000000002</v>
          </cell>
          <cell r="R424">
            <v>758.55512236571508</v>
          </cell>
        </row>
        <row r="425">
          <cell r="C425">
            <v>360414</v>
          </cell>
          <cell r="D425" t="str">
            <v>PATATE DOUCE CUBE 20X20X20 IQF</v>
          </cell>
          <cell r="L425">
            <v>43.423808796296299</v>
          </cell>
          <cell r="M425">
            <v>6079.3332314814816</v>
          </cell>
          <cell r="P425">
            <v>521.08570555555559</v>
          </cell>
          <cell r="R425">
            <v>6643.8427458333335</v>
          </cell>
        </row>
        <row r="426">
          <cell r="C426">
            <v>338625</v>
          </cell>
          <cell r="D426" t="str">
            <v>PORC FILET MIGNON 50/60 IQF VPF</v>
          </cell>
          <cell r="E426">
            <v>3956.7794214957266</v>
          </cell>
          <cell r="F426">
            <v>1017.8083218717949</v>
          </cell>
          <cell r="G426">
            <v>438.52153777777778</v>
          </cell>
          <cell r="H426">
            <v>813.67658566239311</v>
          </cell>
          <cell r="I426">
            <v>813.67658566239311</v>
          </cell>
          <cell r="J426">
            <v>991.93555994871792</v>
          </cell>
          <cell r="K426">
            <v>1324.3347799145299</v>
          </cell>
          <cell r="L426">
            <v>1405.8997507179488</v>
          </cell>
          <cell r="M426">
            <v>955.97677623931622</v>
          </cell>
          <cell r="N426">
            <v>1117.3526845299145</v>
          </cell>
          <cell r="O426">
            <v>1069.5538457179487</v>
          </cell>
          <cell r="P426">
            <v>1117.3526845299145</v>
          </cell>
          <cell r="R426">
            <v>15022.868534068377</v>
          </cell>
        </row>
        <row r="427">
          <cell r="C427">
            <v>339468</v>
          </cell>
          <cell r="D427" t="str">
            <v>PORC EPAULE 4D VPF 40/60 CGL</v>
          </cell>
          <cell r="E427">
            <v>862.21004080952378</v>
          </cell>
          <cell r="F427">
            <v>3153.0762432566275</v>
          </cell>
          <cell r="G427">
            <v>3259.171919328056</v>
          </cell>
          <cell r="H427">
            <v>3220.1994949352602</v>
          </cell>
          <cell r="I427">
            <v>908.63994714285718</v>
          </cell>
          <cell r="J427">
            <v>3584.9813626215823</v>
          </cell>
          <cell r="K427">
            <v>3632.5668614624446</v>
          </cell>
          <cell r="L427">
            <v>689.77847108928574</v>
          </cell>
          <cell r="M427">
            <v>414.50799894047617</v>
          </cell>
          <cell r="N427">
            <v>1498.9406738630953</v>
          </cell>
          <cell r="O427">
            <v>862.21004080952378</v>
          </cell>
          <cell r="P427">
            <v>888.733959827381</v>
          </cell>
          <cell r="R427">
            <v>22975.017014086116</v>
          </cell>
        </row>
        <row r="428">
          <cell r="C428">
            <v>360432</v>
          </cell>
          <cell r="D428" t="str">
            <v>PORC EPAULE 4D LANIERES IQF VPF</v>
          </cell>
          <cell r="E428">
            <v>513.3982722541806</v>
          </cell>
          <cell r="F428">
            <v>283.0934648695652</v>
          </cell>
          <cell r="G428">
            <v>2270.3986233586957</v>
          </cell>
          <cell r="H428">
            <v>258.66624537792643</v>
          </cell>
          <cell r="I428">
            <v>2240.192450535953</v>
          </cell>
          <cell r="J428">
            <v>4136.8161875510032</v>
          </cell>
          <cell r="K428">
            <v>280.34264910618731</v>
          </cell>
          <cell r="L428">
            <v>434.35897539464884</v>
          </cell>
          <cell r="M428">
            <v>116.46380985953178</v>
          </cell>
          <cell r="N428">
            <v>11046.316252210703</v>
          </cell>
          <cell r="O428">
            <v>300.93286846446489</v>
          </cell>
          <cell r="P428">
            <v>3062.6787746764212</v>
          </cell>
          <cell r="R428">
            <v>24943.658573659279</v>
          </cell>
        </row>
        <row r="429">
          <cell r="C429">
            <v>360465</v>
          </cell>
          <cell r="D429" t="str">
            <v xml:space="preserve">PORC FILET MIGNON DE PORC 100/120 SURG </v>
          </cell>
          <cell r="E429">
            <v>1931.4983721739131</v>
          </cell>
          <cell r="M429">
            <v>5344.3074010304344</v>
          </cell>
          <cell r="P429">
            <v>1486.9041403000001</v>
          </cell>
          <cell r="R429">
            <v>8762.7099135043463</v>
          </cell>
        </row>
        <row r="430">
          <cell r="C430">
            <v>360466</v>
          </cell>
          <cell r="D430" t="str">
            <v>PORC JOUE DE PORC SURG</v>
          </cell>
          <cell r="E430">
            <v>267.51940677777776</v>
          </cell>
          <cell r="F430">
            <v>267.51940677777776</v>
          </cell>
          <cell r="G430">
            <v>267.51940677777776</v>
          </cell>
          <cell r="H430">
            <v>267.51940677777776</v>
          </cell>
          <cell r="I430">
            <v>267.51940677777776</v>
          </cell>
          <cell r="J430">
            <v>420.38763922222222</v>
          </cell>
          <cell r="K430">
            <v>267.51940677777776</v>
          </cell>
          <cell r="L430">
            <v>152.86823244444443</v>
          </cell>
          <cell r="M430">
            <v>248.41087772222221</v>
          </cell>
          <cell r="N430">
            <v>229.30234866666666</v>
          </cell>
          <cell r="O430">
            <v>267.51940677777776</v>
          </cell>
          <cell r="R430">
            <v>2923.6049455000002</v>
          </cell>
        </row>
        <row r="431">
          <cell r="C431">
            <v>360468</v>
          </cell>
          <cell r="D431" t="str">
            <v>SAUCISSE PORC VPF FUMEE CUITE CLEAN LABEL 15MM TRANCHE IQF 5KG</v>
          </cell>
          <cell r="E431">
            <v>7117.5879557642029</v>
          </cell>
          <cell r="F431">
            <v>7411.1324378508862</v>
          </cell>
          <cell r="G431">
            <v>6967.8535731882312</v>
          </cell>
          <cell r="H431">
            <v>7749.954907291728</v>
          </cell>
          <cell r="I431">
            <v>8679.5766104899631</v>
          </cell>
          <cell r="J431">
            <v>8688.5704951372245</v>
          </cell>
          <cell r="K431">
            <v>9158.8066549195828</v>
          </cell>
          <cell r="L431">
            <v>6124.4696635399596</v>
          </cell>
          <cell r="M431">
            <v>3537.6554597991012</v>
          </cell>
          <cell r="N431">
            <v>6727.6787531336522</v>
          </cell>
          <cell r="O431">
            <v>6273.4314928536851</v>
          </cell>
          <cell r="P431">
            <v>6658.128720453914</v>
          </cell>
          <cell r="R431">
            <v>85094.846724422139</v>
          </cell>
        </row>
        <row r="432">
          <cell r="C432">
            <v>440369</v>
          </cell>
          <cell r="D432" t="str">
            <v>FILM  EBMM009XFS 400X1000</v>
          </cell>
          <cell r="E432">
            <v>660</v>
          </cell>
          <cell r="F432">
            <v>432</v>
          </cell>
          <cell r="I432">
            <v>300</v>
          </cell>
          <cell r="J432">
            <v>372</v>
          </cell>
          <cell r="K432">
            <v>240</v>
          </cell>
          <cell r="L432">
            <v>134</v>
          </cell>
          <cell r="M432">
            <v>8821.0400723148141</v>
          </cell>
          <cell r="O432">
            <v>360</v>
          </cell>
          <cell r="P432">
            <v>804</v>
          </cell>
          <cell r="R432">
            <v>12123.040072314814</v>
          </cell>
        </row>
        <row r="433">
          <cell r="C433">
            <v>338181</v>
          </cell>
          <cell r="D433" t="str">
            <v xml:space="preserve">CREVETTE QUEUS PDTO CRUES 41/50 IQF DEVEINEES </v>
          </cell>
          <cell r="E433">
            <v>1974.560267247826</v>
          </cell>
          <cell r="H433">
            <v>1352.523609869281</v>
          </cell>
          <cell r="J433">
            <v>3895.9090713441283</v>
          </cell>
          <cell r="L433">
            <v>13.608400124999999</v>
          </cell>
          <cell r="N433">
            <v>7315.2666148750559</v>
          </cell>
          <cell r="R433">
            <v>14551.867963461291</v>
          </cell>
        </row>
        <row r="434">
          <cell r="C434">
            <v>340423</v>
          </cell>
          <cell r="D434" t="str">
            <v>CALAMAR ANNEAUX 60 UP LOLIGOT SPP SURGELES</v>
          </cell>
          <cell r="E434">
            <v>629.31017978191915</v>
          </cell>
          <cell r="F434">
            <v>610.49491208961138</v>
          </cell>
          <cell r="G434">
            <v>1507.1992611495361</v>
          </cell>
          <cell r="H434">
            <v>669.53701227597151</v>
          </cell>
          <cell r="I434">
            <v>671.4636713124504</v>
          </cell>
          <cell r="J434">
            <v>1716.5580999639692</v>
          </cell>
          <cell r="K434">
            <v>626.6222843973037</v>
          </cell>
          <cell r="L434">
            <v>586.62752701427439</v>
          </cell>
          <cell r="M434">
            <v>566.53979674861216</v>
          </cell>
          <cell r="N434">
            <v>621.0742953592387</v>
          </cell>
          <cell r="O434">
            <v>601.68667789849326</v>
          </cell>
          <cell r="P434">
            <v>1300.5112732120815</v>
          </cell>
          <cell r="R434">
            <v>10107.624991203462</v>
          </cell>
        </row>
        <row r="435">
          <cell r="C435">
            <v>338230</v>
          </cell>
          <cell r="D435" t="str">
            <v xml:space="preserve">BEURRE DOUX 82 % </v>
          </cell>
          <cell r="E435">
            <v>3096.3385087282372</v>
          </cell>
          <cell r="F435">
            <v>2802.5474794828219</v>
          </cell>
          <cell r="G435">
            <v>2683.8688937732209</v>
          </cell>
          <cell r="H435">
            <v>2902.7878701897166</v>
          </cell>
          <cell r="I435">
            <v>3041.317758810841</v>
          </cell>
          <cell r="J435">
            <v>4310.6499799890598</v>
          </cell>
          <cell r="K435">
            <v>5098.5234685547975</v>
          </cell>
          <cell r="L435">
            <v>2996.0596204241579</v>
          </cell>
          <cell r="M435">
            <v>7265.7664306554925</v>
          </cell>
          <cell r="N435">
            <v>2499.6641618709173</v>
          </cell>
          <cell r="O435">
            <v>2335.7530332322508</v>
          </cell>
          <cell r="P435">
            <v>2842.9562438026451</v>
          </cell>
          <cell r="R435">
            <v>41876.233449514162</v>
          </cell>
        </row>
        <row r="436">
          <cell r="C436">
            <v>338234</v>
          </cell>
          <cell r="D436" t="str">
            <v>FROMAGE EMMENTAL RAPE</v>
          </cell>
          <cell r="E436">
            <v>1411.3240778295626</v>
          </cell>
          <cell r="F436">
            <v>324.43313661538463</v>
          </cell>
          <cell r="G436">
            <v>359.55407069230768</v>
          </cell>
          <cell r="H436">
            <v>342.33435892307693</v>
          </cell>
          <cell r="I436">
            <v>329.63276192307694</v>
          </cell>
          <cell r="J436">
            <v>331.83855161538463</v>
          </cell>
          <cell r="K436">
            <v>337.52899907692307</v>
          </cell>
          <cell r="L436">
            <v>324.69162211538463</v>
          </cell>
          <cell r="M436">
            <v>336.23822269230772</v>
          </cell>
          <cell r="N436">
            <v>378.10300823076921</v>
          </cell>
          <cell r="O436">
            <v>2521.635599766717</v>
          </cell>
          <cell r="P436">
            <v>390.57827430769231</v>
          </cell>
          <cell r="R436">
            <v>7387.8926837885865</v>
          </cell>
        </row>
        <row r="437">
          <cell r="C437">
            <v>336823</v>
          </cell>
          <cell r="D437" t="str">
            <v>AMANDE HACHEE 2-4MM</v>
          </cell>
          <cell r="L437">
            <v>4.5535615740740738</v>
          </cell>
          <cell r="M437">
            <v>432.42830925925927</v>
          </cell>
          <cell r="P437">
            <v>35.999983333333333</v>
          </cell>
          <cell r="R437">
            <v>472.98185416666666</v>
          </cell>
        </row>
        <row r="438">
          <cell r="C438">
            <v>347200</v>
          </cell>
          <cell r="D438" t="str">
            <v xml:space="preserve">RAISIN GOLDEN CHOISE AFS </v>
          </cell>
          <cell r="E438">
            <v>636.98178442850735</v>
          </cell>
          <cell r="F438">
            <v>565.3917550763714</v>
          </cell>
          <cell r="G438">
            <v>674.85574611816014</v>
          </cell>
          <cell r="H438">
            <v>589.43569726950659</v>
          </cell>
          <cell r="I438">
            <v>536.15239765579418</v>
          </cell>
          <cell r="J438">
            <v>629.56270946803784</v>
          </cell>
          <cell r="K438">
            <v>640.67877912233212</v>
          </cell>
          <cell r="L438">
            <v>622.98219238777028</v>
          </cell>
          <cell r="M438">
            <v>451.83955314238182</v>
          </cell>
          <cell r="N438">
            <v>583.29283140075165</v>
          </cell>
          <cell r="O438">
            <v>681.47644303287586</v>
          </cell>
          <cell r="P438">
            <v>688.16020998601869</v>
          </cell>
          <cell r="R438">
            <v>7300.8100990885087</v>
          </cell>
        </row>
        <row r="439">
          <cell r="C439">
            <v>438196</v>
          </cell>
          <cell r="D439" t="str">
            <v>CASSOLETTE RONDE NOIRE MAT DIAM 96 H33 GRES VITRIFIES</v>
          </cell>
          <cell r="L439">
            <v>803.39982321026037</v>
          </cell>
          <cell r="M439">
            <v>269015.34089668351</v>
          </cell>
          <cell r="R439">
            <v>269818.74071989377</v>
          </cell>
        </row>
        <row r="440">
          <cell r="C440">
            <v>338066</v>
          </cell>
          <cell r="D440" t="str">
            <v>SEL DE GUERANDE MOULU TRADITION 10 KG MARIN GRIS</v>
          </cell>
          <cell r="E440">
            <v>5.3347724999999997</v>
          </cell>
          <cell r="F440">
            <v>5.3347724999999997</v>
          </cell>
          <cell r="G440">
            <v>5.3347724999999997</v>
          </cell>
          <cell r="H440">
            <v>5.3347724999999997</v>
          </cell>
          <cell r="I440">
            <v>5.3347724999999997</v>
          </cell>
          <cell r="J440">
            <v>5.3347724999999997</v>
          </cell>
          <cell r="K440">
            <v>5.3347724999999997</v>
          </cell>
          <cell r="L440">
            <v>5.3347724999999997</v>
          </cell>
          <cell r="M440">
            <v>4.5709941666666669</v>
          </cell>
          <cell r="N440">
            <v>5.3347724999999997</v>
          </cell>
          <cell r="O440">
            <v>5.3347724999999997</v>
          </cell>
          <cell r="P440">
            <v>5.3347724999999997</v>
          </cell>
          <cell r="R440">
            <v>63.253491666666662</v>
          </cell>
        </row>
        <row r="441">
          <cell r="C441">
            <v>338068</v>
          </cell>
          <cell r="D441" t="str">
            <v>SEL FIN</v>
          </cell>
          <cell r="E441">
            <v>1822.9266400046845</v>
          </cell>
          <cell r="F441">
            <v>1634.3970892335903</v>
          </cell>
          <cell r="G441">
            <v>1648.7369509423322</v>
          </cell>
          <cell r="H441">
            <v>1664.2386904876607</v>
          </cell>
          <cell r="I441">
            <v>1816.4215062830021</v>
          </cell>
          <cell r="J441">
            <v>3045.1394275850657</v>
          </cell>
          <cell r="K441">
            <v>2813.740348687179</v>
          </cell>
          <cell r="L441">
            <v>1391.3981986615809</v>
          </cell>
          <cell r="M441">
            <v>2083.3750603792755</v>
          </cell>
          <cell r="N441">
            <v>2552.4685432940037</v>
          </cell>
          <cell r="O441">
            <v>1583.8099909407879</v>
          </cell>
          <cell r="P441">
            <v>1906.0782222202943</v>
          </cell>
          <cell r="R441">
            <v>23962.730668719454</v>
          </cell>
        </row>
        <row r="442">
          <cell r="C442">
            <v>338310</v>
          </cell>
          <cell r="D442" t="str">
            <v>OIGNON NON BLANCHI CUBE 10*10 IQF (LOI10003)</v>
          </cell>
          <cell r="E442">
            <v>8571.5214823612223</v>
          </cell>
          <cell r="F442">
            <v>6379.3373766614468</v>
          </cell>
          <cell r="G442">
            <v>5346.1034824495664</v>
          </cell>
          <cell r="H442">
            <v>5588.6744145579269</v>
          </cell>
          <cell r="I442">
            <v>6625.2922778534312</v>
          </cell>
          <cell r="J442">
            <v>10201.072552147045</v>
          </cell>
          <cell r="K442">
            <v>8257.711356672331</v>
          </cell>
          <cell r="L442">
            <v>3711.8349393834546</v>
          </cell>
          <cell r="M442">
            <v>4310.2416327428791</v>
          </cell>
          <cell r="N442">
            <v>9184.2984127980344</v>
          </cell>
          <cell r="O442">
            <v>7075.1094104055483</v>
          </cell>
          <cell r="P442">
            <v>5836.6829878266544</v>
          </cell>
          <cell r="R442">
            <v>81087.880325859544</v>
          </cell>
        </row>
        <row r="443">
          <cell r="C443">
            <v>338479</v>
          </cell>
          <cell r="D443" t="str">
            <v>POIS CASSES VERTS</v>
          </cell>
          <cell r="E443">
            <v>287.6874311111111</v>
          </cell>
          <cell r="F443">
            <v>287.6874311111111</v>
          </cell>
          <cell r="G443">
            <v>287.6874311111111</v>
          </cell>
          <cell r="H443">
            <v>246.58922666666666</v>
          </cell>
          <cell r="I443">
            <v>246.58922666666666</v>
          </cell>
          <cell r="J443">
            <v>213.7106631111111</v>
          </cell>
          <cell r="K443">
            <v>328.78563555555553</v>
          </cell>
          <cell r="L443">
            <v>267.13832888888891</v>
          </cell>
          <cell r="M443">
            <v>267.13832888888891</v>
          </cell>
          <cell r="N443">
            <v>287.6874311111111</v>
          </cell>
          <cell r="O443">
            <v>267.13832888888891</v>
          </cell>
          <cell r="P443">
            <v>287.6874311111111</v>
          </cell>
          <cell r="R443">
            <v>3275.5268942222215</v>
          </cell>
        </row>
        <row r="444">
          <cell r="C444">
            <v>340380</v>
          </cell>
          <cell r="D444" t="str">
            <v>POMME DE TERRE 10X10X10 CUBE SURG BLANCHI FRANCE</v>
          </cell>
          <cell r="E444">
            <v>644.07009208333329</v>
          </cell>
          <cell r="F444">
            <v>644.07009208333329</v>
          </cell>
          <cell r="G444">
            <v>644.07009208333329</v>
          </cell>
          <cell r="H444">
            <v>601.88988972222228</v>
          </cell>
          <cell r="I444">
            <v>590.38923450000004</v>
          </cell>
          <cell r="J444">
            <v>601.1320859444445</v>
          </cell>
          <cell r="K444">
            <v>743.7535705555556</v>
          </cell>
          <cell r="L444">
            <v>670.92722069444449</v>
          </cell>
          <cell r="M444">
            <v>664.00678777777773</v>
          </cell>
          <cell r="N444">
            <v>644.07009208333329</v>
          </cell>
          <cell r="O444">
            <v>644.07009208333329</v>
          </cell>
          <cell r="P444">
            <v>644.07009208333329</v>
          </cell>
          <cell r="R444">
            <v>7736.5193416944439</v>
          </cell>
        </row>
        <row r="445">
          <cell r="C445">
            <v>340386</v>
          </cell>
          <cell r="D445" t="str">
            <v>CAROTTE 10*10 BLANCHI CUBE SURG (LCA49012)</v>
          </cell>
          <cell r="E445">
            <v>374.07613222222221</v>
          </cell>
          <cell r="F445">
            <v>374.07613222222221</v>
          </cell>
          <cell r="G445">
            <v>374.07613222222221</v>
          </cell>
          <cell r="H445">
            <v>340.06921111111109</v>
          </cell>
          <cell r="I445">
            <v>340.06921111111109</v>
          </cell>
          <cell r="J445">
            <v>340.06921111111109</v>
          </cell>
          <cell r="K445">
            <v>455.69274288888892</v>
          </cell>
          <cell r="L445">
            <v>421.68582177777779</v>
          </cell>
          <cell r="M445">
            <v>448.89135866666669</v>
          </cell>
          <cell r="N445">
            <v>360.47336377777776</v>
          </cell>
          <cell r="O445">
            <v>353.67197955555554</v>
          </cell>
          <cell r="P445">
            <v>374.07613222222221</v>
          </cell>
          <cell r="R445">
            <v>4556.9274288888892</v>
          </cell>
        </row>
        <row r="446">
          <cell r="C446">
            <v>340396</v>
          </cell>
          <cell r="D446" t="str">
            <v>COURGETTE CUBE 10*10 NON BLANCHI SURG (LCR10003)</v>
          </cell>
          <cell r="E446">
            <v>1099.4940370752508</v>
          </cell>
          <cell r="F446">
            <v>1047.4955883795988</v>
          </cell>
          <cell r="G446">
            <v>639.37691136956516</v>
          </cell>
          <cell r="H446">
            <v>652.30737829264217</v>
          </cell>
          <cell r="I446">
            <v>643.1135340148644</v>
          </cell>
          <cell r="J446">
            <v>626.04655025195098</v>
          </cell>
          <cell r="K446">
            <v>739.79238433704938</v>
          </cell>
          <cell r="L446">
            <v>594.59010427164628</v>
          </cell>
          <cell r="M446">
            <v>851.28173125938315</v>
          </cell>
          <cell r="N446">
            <v>829.01912955685623</v>
          </cell>
          <cell r="O446">
            <v>669.17230149331101</v>
          </cell>
          <cell r="P446">
            <v>683.45113130936454</v>
          </cell>
          <cell r="R446">
            <v>9075.1407816114825</v>
          </cell>
        </row>
        <row r="447">
          <cell r="C447">
            <v>340856</v>
          </cell>
          <cell r="D447" t="str">
            <v>OIGNON 10X10 SURGELE IQF BIO origine france</v>
          </cell>
          <cell r="E447">
            <v>8.353534166666666</v>
          </cell>
          <cell r="F447">
            <v>8.353534166666666</v>
          </cell>
          <cell r="G447">
            <v>8.353534166666666</v>
          </cell>
          <cell r="H447">
            <v>8.353534166666666</v>
          </cell>
          <cell r="I447">
            <v>8.353534166666666</v>
          </cell>
          <cell r="J447">
            <v>8.353534166666666</v>
          </cell>
          <cell r="K447">
            <v>8.353534166666666</v>
          </cell>
          <cell r="L447">
            <v>8.353534166666666</v>
          </cell>
          <cell r="M447">
            <v>8.353534166666666</v>
          </cell>
          <cell r="N447">
            <v>8.353534166666666</v>
          </cell>
          <cell r="O447">
            <v>8.353534166666666</v>
          </cell>
          <cell r="P447">
            <v>8.353534166666666</v>
          </cell>
          <cell r="R447">
            <v>100.24240999999996</v>
          </cell>
        </row>
        <row r="448">
          <cell r="C448">
            <v>340997</v>
          </cell>
          <cell r="D448" t="str">
            <v>AMIDON DE RIZ BIO</v>
          </cell>
          <cell r="E448">
            <v>19.893394444444443</v>
          </cell>
          <cell r="F448">
            <v>19.893394444444443</v>
          </cell>
          <cell r="G448">
            <v>19.893394444444443</v>
          </cell>
          <cell r="H448">
            <v>18.386861111111113</v>
          </cell>
          <cell r="I448">
            <v>18.264346277777779</v>
          </cell>
          <cell r="J448">
            <v>16.814089944444444</v>
          </cell>
          <cell r="K448">
            <v>22.012501944444445</v>
          </cell>
          <cell r="L448">
            <v>18.527553611111109</v>
          </cell>
          <cell r="M448">
            <v>18.873933999999998</v>
          </cell>
          <cell r="N448">
            <v>19.893394444444443</v>
          </cell>
          <cell r="O448">
            <v>19.140127777777778</v>
          </cell>
          <cell r="P448">
            <v>19.893394444444443</v>
          </cell>
          <cell r="R448">
            <v>231.48638688888892</v>
          </cell>
        </row>
        <row r="449">
          <cell r="C449">
            <v>340998</v>
          </cell>
          <cell r="D449" t="str">
            <v>POUDRE DE LAIT ECREME BIO</v>
          </cell>
          <cell r="E449">
            <v>15.17322361111111</v>
          </cell>
          <cell r="F449">
            <v>15.17322361111111</v>
          </cell>
          <cell r="G449">
            <v>15.17322361111111</v>
          </cell>
          <cell r="H449">
            <v>15.17322361111111</v>
          </cell>
          <cell r="I449">
            <v>15.17322361111111</v>
          </cell>
          <cell r="J449">
            <v>15.17322361111111</v>
          </cell>
          <cell r="K449">
            <v>15.17322361111111</v>
          </cell>
          <cell r="L449">
            <v>15.17322361111111</v>
          </cell>
          <cell r="M449">
            <v>13.379708333333333</v>
          </cell>
          <cell r="N449">
            <v>15.17322361111111</v>
          </cell>
          <cell r="O449">
            <v>15.17322361111111</v>
          </cell>
          <cell r="P449">
            <v>15.17322361111111</v>
          </cell>
          <cell r="R449">
            <v>180.28516805555552</v>
          </cell>
        </row>
        <row r="450">
          <cell r="C450">
            <v>350002</v>
          </cell>
          <cell r="D450" t="str">
            <v>CAROTTE CUBE 10X10 BIO SURGELEES origine france</v>
          </cell>
          <cell r="E450">
            <v>283.8913675</v>
          </cell>
          <cell r="F450">
            <v>283.8913675</v>
          </cell>
          <cell r="G450">
            <v>283.8913675</v>
          </cell>
          <cell r="H450">
            <v>283.8913675</v>
          </cell>
          <cell r="I450">
            <v>283.8913675</v>
          </cell>
          <cell r="J450">
            <v>283.8913675</v>
          </cell>
          <cell r="K450">
            <v>283.8913675</v>
          </cell>
          <cell r="L450">
            <v>283.8913675</v>
          </cell>
          <cell r="M450">
            <v>283.8913675</v>
          </cell>
          <cell r="N450">
            <v>283.8913675</v>
          </cell>
          <cell r="O450">
            <v>283.8913675</v>
          </cell>
          <cell r="P450">
            <v>283.8913675</v>
          </cell>
          <cell r="R450">
            <v>3406.6964099999991</v>
          </cell>
        </row>
        <row r="451">
          <cell r="C451">
            <v>350013</v>
          </cell>
          <cell r="D451" t="str">
            <v>BROCOLIS BIO SURGELES fleurettes origine france</v>
          </cell>
          <cell r="E451">
            <v>451.42181333333332</v>
          </cell>
          <cell r="F451">
            <v>451.42181333333332</v>
          </cell>
          <cell r="G451">
            <v>451.42181333333332</v>
          </cell>
          <cell r="H451">
            <v>451.42181333333332</v>
          </cell>
          <cell r="I451">
            <v>451.42181333333332</v>
          </cell>
          <cell r="J451">
            <v>451.42181333333332</v>
          </cell>
          <cell r="K451">
            <v>451.42181333333332</v>
          </cell>
          <cell r="L451">
            <v>451.42181333333332</v>
          </cell>
          <cell r="M451">
            <v>338.56635999999997</v>
          </cell>
          <cell r="N451">
            <v>451.42181333333332</v>
          </cell>
          <cell r="O451">
            <v>451.42181333333332</v>
          </cell>
          <cell r="P451">
            <v>451.42181333333332</v>
          </cell>
          <cell r="R451">
            <v>5304.206306666666</v>
          </cell>
        </row>
        <row r="452">
          <cell r="C452">
            <v>350023</v>
          </cell>
          <cell r="D452" t="str">
            <v>POMMES DE TERRE CUBE BIO SURGELEES  IQF  origine france</v>
          </cell>
          <cell r="E452">
            <v>112.13190583333333</v>
          </cell>
          <cell r="F452">
            <v>112.13190583333333</v>
          </cell>
          <cell r="G452">
            <v>112.13190583333333</v>
          </cell>
          <cell r="H452">
            <v>112.13190583333333</v>
          </cell>
          <cell r="I452">
            <v>112.13190583333333</v>
          </cell>
          <cell r="J452">
            <v>112.13190583333333</v>
          </cell>
          <cell r="K452">
            <v>112.13190583333333</v>
          </cell>
          <cell r="L452">
            <v>112.13190583333333</v>
          </cell>
          <cell r="M452">
            <v>94.839844999999997</v>
          </cell>
          <cell r="N452">
            <v>112.13190583333333</v>
          </cell>
          <cell r="O452">
            <v>112.13190583333333</v>
          </cell>
          <cell r="P452">
            <v>112.13190583333333</v>
          </cell>
          <cell r="R452">
            <v>1328.2908091666666</v>
          </cell>
        </row>
        <row r="453">
          <cell r="C453">
            <v>445687</v>
          </cell>
          <cell r="D453" t="str">
            <v>FILM PP WIPACK L410 PUREE</v>
          </cell>
          <cell r="E453">
            <v>593.82396000000006</v>
          </cell>
          <cell r="F453">
            <v>593.82396000000006</v>
          </cell>
          <cell r="G453">
            <v>593.82396000000006</v>
          </cell>
          <cell r="H453">
            <v>553.32396000000006</v>
          </cell>
          <cell r="I453">
            <v>549.27395999999999</v>
          </cell>
          <cell r="J453">
            <v>533.07396000000006</v>
          </cell>
          <cell r="K453">
            <v>668.74896000000001</v>
          </cell>
          <cell r="L453">
            <v>597.87396000000001</v>
          </cell>
          <cell r="M453">
            <v>593.75268000000005</v>
          </cell>
          <cell r="N453">
            <v>589.77395999999999</v>
          </cell>
          <cell r="O453">
            <v>577.62396000000001</v>
          </cell>
          <cell r="P453">
            <v>593.82396000000006</v>
          </cell>
          <cell r="R453">
            <v>7038.7412400000003</v>
          </cell>
        </row>
        <row r="454">
          <cell r="C454">
            <v>446590</v>
          </cell>
          <cell r="D454" t="str">
            <v>CARTON PLAT PCB6 PUREE MONOPRIX</v>
          </cell>
          <cell r="E454">
            <v>3030.0000333333332</v>
          </cell>
          <cell r="F454">
            <v>3030.0000333333332</v>
          </cell>
          <cell r="G454">
            <v>3030.0000333333332</v>
          </cell>
          <cell r="H454">
            <v>2828.0000311111112</v>
          </cell>
          <cell r="I454">
            <v>2807.8000308888891</v>
          </cell>
          <cell r="J454">
            <v>2727.0000300000002</v>
          </cell>
          <cell r="K454">
            <v>3403.7000374444447</v>
          </cell>
          <cell r="L454">
            <v>3050.2000335555554</v>
          </cell>
          <cell r="M454">
            <v>3019.9000332222222</v>
          </cell>
          <cell r="N454">
            <v>3009.8000331111111</v>
          </cell>
          <cell r="O454">
            <v>2949.2000324444443</v>
          </cell>
          <cell r="P454">
            <v>3030.0000333333332</v>
          </cell>
          <cell r="R454">
            <v>35915.600395111105</v>
          </cell>
        </row>
        <row r="455">
          <cell r="C455">
            <v>491500</v>
          </cell>
          <cell r="D455" t="str">
            <v>ETUI MNP P 180G PDT PUREE</v>
          </cell>
          <cell r="E455">
            <v>3672.0005883333333</v>
          </cell>
          <cell r="F455">
            <v>3672.0005883333333</v>
          </cell>
          <cell r="G455">
            <v>3672.0005883333333</v>
          </cell>
          <cell r="H455">
            <v>3366.0005393055558</v>
          </cell>
          <cell r="I455">
            <v>3304.8005294999998</v>
          </cell>
          <cell r="J455">
            <v>3427.2005491111113</v>
          </cell>
          <cell r="K455">
            <v>4284.0006863888893</v>
          </cell>
          <cell r="L455">
            <v>3978.0006373611113</v>
          </cell>
          <cell r="M455">
            <v>3794.4006079444443</v>
          </cell>
          <cell r="N455">
            <v>3672.0005883333333</v>
          </cell>
          <cell r="O455">
            <v>3672.0005883333333</v>
          </cell>
          <cell r="P455">
            <v>3672.0005883333333</v>
          </cell>
          <cell r="R455">
            <v>44186.407079611119</v>
          </cell>
        </row>
        <row r="456">
          <cell r="C456">
            <v>491501</v>
          </cell>
          <cell r="D456" t="str">
            <v>ETUI MNP P POIS CASSES PUREE</v>
          </cell>
          <cell r="E456">
            <v>4284.0006863888893</v>
          </cell>
          <cell r="F456">
            <v>4284.0006863888893</v>
          </cell>
          <cell r="G456">
            <v>4284.0006863888893</v>
          </cell>
          <cell r="H456">
            <v>3672.0005883333333</v>
          </cell>
          <cell r="I456">
            <v>3672.0005883333333</v>
          </cell>
          <cell r="J456">
            <v>3182.4005098888888</v>
          </cell>
          <cell r="K456">
            <v>4896.0007844444444</v>
          </cell>
          <cell r="L456">
            <v>3978.0006373611113</v>
          </cell>
          <cell r="M456">
            <v>3978.0006373611113</v>
          </cell>
          <cell r="N456">
            <v>4284.0006863888893</v>
          </cell>
          <cell r="O456">
            <v>3978.0006373611113</v>
          </cell>
          <cell r="P456">
            <v>4284.0006863888893</v>
          </cell>
          <cell r="R456">
            <v>48776.407815027786</v>
          </cell>
        </row>
        <row r="457">
          <cell r="C457">
            <v>491503</v>
          </cell>
          <cell r="D457" t="str">
            <v>ETUI MNP P 180G CAROTTE PUREE</v>
          </cell>
          <cell r="E457">
            <v>3366.0005393055558</v>
          </cell>
          <cell r="F457">
            <v>3366.0005393055558</v>
          </cell>
          <cell r="G457">
            <v>3366.0005393055558</v>
          </cell>
          <cell r="H457">
            <v>3060.0004902777778</v>
          </cell>
          <cell r="I457">
            <v>3060.0004902777778</v>
          </cell>
          <cell r="J457">
            <v>3060.0004902777778</v>
          </cell>
          <cell r="K457">
            <v>4100.4006569722224</v>
          </cell>
          <cell r="L457">
            <v>3794.4006079444443</v>
          </cell>
          <cell r="M457">
            <v>4039.2006471666668</v>
          </cell>
          <cell r="N457">
            <v>3243.6005196944443</v>
          </cell>
          <cell r="O457">
            <v>3182.4005098888888</v>
          </cell>
          <cell r="P457">
            <v>3366.0005393055558</v>
          </cell>
          <cell r="R457">
            <v>41004.006569722224</v>
          </cell>
        </row>
        <row r="458">
          <cell r="C458">
            <v>491504</v>
          </cell>
          <cell r="D458" t="str">
            <v>ETUI MNP P 180G COURGETTE PUREE</v>
          </cell>
          <cell r="E458">
            <v>2754.0004412500002</v>
          </cell>
          <cell r="F458">
            <v>2754.0004412500002</v>
          </cell>
          <cell r="G458">
            <v>2754.0004412500002</v>
          </cell>
          <cell r="H458">
            <v>2754.0004412500002</v>
          </cell>
          <cell r="I458">
            <v>2692.8004314444443</v>
          </cell>
          <cell r="J458">
            <v>2570.4004118333332</v>
          </cell>
          <cell r="K458">
            <v>3060.0004902777778</v>
          </cell>
          <cell r="L458">
            <v>2448.0003922222222</v>
          </cell>
          <cell r="M458">
            <v>2815.2004510555557</v>
          </cell>
          <cell r="N458">
            <v>2754.0004412500002</v>
          </cell>
          <cell r="O458">
            <v>2754.0004412500002</v>
          </cell>
          <cell r="P458">
            <v>2754.0004412500002</v>
          </cell>
          <cell r="R458">
            <v>32864.405265583329</v>
          </cell>
        </row>
        <row r="459">
          <cell r="C459">
            <v>446329</v>
          </cell>
          <cell r="D459" t="str">
            <v>BARQUETTE RECTANGLE 159X100 H25</v>
          </cell>
          <cell r="E459">
            <v>18731.999320833333</v>
          </cell>
          <cell r="F459">
            <v>18731.999320833333</v>
          </cell>
          <cell r="G459">
            <v>18731.999320833333</v>
          </cell>
          <cell r="H459">
            <v>17471.99938361111</v>
          </cell>
          <cell r="I459">
            <v>17345.99938988889</v>
          </cell>
          <cell r="J459">
            <v>16841.999414999998</v>
          </cell>
          <cell r="K459">
            <v>21062.999204694446</v>
          </cell>
          <cell r="L459">
            <v>18857.999314555556</v>
          </cell>
          <cell r="M459">
            <v>18692.999286472223</v>
          </cell>
          <cell r="N459">
            <v>18605.999327111113</v>
          </cell>
          <cell r="O459">
            <v>18227.999345944445</v>
          </cell>
          <cell r="P459">
            <v>18731.999320833333</v>
          </cell>
          <cell r="R459">
            <v>222035.99195061109</v>
          </cell>
        </row>
        <row r="460">
          <cell r="C460">
            <v>338255</v>
          </cell>
          <cell r="D460" t="str">
            <v>CAROTTE BLANCHI JULIENNE ORANGE 4X4 SGL (LCA51020) REMOULADE</v>
          </cell>
          <cell r="E460">
            <v>1350.9134690292642</v>
          </cell>
          <cell r="F460">
            <v>731.10385555852838</v>
          </cell>
          <cell r="G460">
            <v>958.31627559866217</v>
          </cell>
          <cell r="H460">
            <v>383.00036052173914</v>
          </cell>
          <cell r="I460">
            <v>947.40916663879602</v>
          </cell>
          <cell r="J460">
            <v>2737.5049294942091</v>
          </cell>
          <cell r="K460">
            <v>412.87734545819399</v>
          </cell>
          <cell r="L460">
            <v>403.08306393076924</v>
          </cell>
          <cell r="M460">
            <v>1064.3134788729637</v>
          </cell>
          <cell r="N460">
            <v>5914.0054759348395</v>
          </cell>
          <cell r="O460">
            <v>405.52938792633779</v>
          </cell>
          <cell r="P460">
            <v>1308.7707954080267</v>
          </cell>
          <cell r="R460">
            <v>16616.827604372327</v>
          </cell>
        </row>
        <row r="461">
          <cell r="C461">
            <v>338473</v>
          </cell>
          <cell r="D461" t="str">
            <v>LOTTE PORTION DU CAP IQF 25G +/-5G</v>
          </cell>
          <cell r="J461">
            <v>76.704287833333339</v>
          </cell>
          <cell r="K461">
            <v>2950.1649166666666</v>
          </cell>
          <cell r="L461">
            <v>42.740158649624057</v>
          </cell>
          <cell r="M461">
            <v>5517.5529426102348</v>
          </cell>
          <cell r="R461">
            <v>8587.162305759859</v>
          </cell>
        </row>
        <row r="462">
          <cell r="C462">
            <v>338483</v>
          </cell>
          <cell r="D462" t="str">
            <v>FILET LOTTE CAP CONGELE 80-100  (POUR POCHE)</v>
          </cell>
          <cell r="M462">
            <v>972.72433249999995</v>
          </cell>
          <cell r="R462">
            <v>972.72433249999995</v>
          </cell>
        </row>
        <row r="463">
          <cell r="C463">
            <v>360418</v>
          </cell>
          <cell r="D463" t="str">
            <v>MERLU BLANC DU CAP DOS MSC 20-30G</v>
          </cell>
          <cell r="E463">
            <v>1294.9209235555556</v>
          </cell>
          <cell r="F463">
            <v>1006.6402711111111</v>
          </cell>
          <cell r="G463">
            <v>188.74505083333332</v>
          </cell>
          <cell r="H463">
            <v>841.64004999999997</v>
          </cell>
          <cell r="I463">
            <v>226.49406099999999</v>
          </cell>
          <cell r="J463">
            <v>226.49406099999999</v>
          </cell>
          <cell r="K463">
            <v>188.74505083333332</v>
          </cell>
          <cell r="L463">
            <v>226.49406099999999</v>
          </cell>
          <cell r="M463">
            <v>201.32805422222222</v>
          </cell>
          <cell r="N463">
            <v>201.32805422222222</v>
          </cell>
          <cell r="O463">
            <v>201.32805422222222</v>
          </cell>
          <cell r="P463">
            <v>201.32805422222222</v>
          </cell>
          <cell r="R463">
            <v>5005.4857462222208</v>
          </cell>
        </row>
        <row r="464">
          <cell r="C464">
            <v>347600</v>
          </cell>
          <cell r="D464" t="str">
            <v xml:space="preserve">VERRINES 40G ST JACQ POMME CAROTTE X12 </v>
          </cell>
          <cell r="M464">
            <v>17100</v>
          </cell>
          <cell r="R464">
            <v>17100</v>
          </cell>
        </row>
        <row r="465">
          <cell r="C465">
            <v>347601</v>
          </cell>
          <cell r="D465" t="str">
            <v>VERRINES 40G FG BLOC POMME SPECULOS X12</v>
          </cell>
          <cell r="M465">
            <v>16500</v>
          </cell>
          <cell r="R465">
            <v>16500</v>
          </cell>
        </row>
        <row r="466">
          <cell r="C466">
            <v>338527</v>
          </cell>
          <cell r="D466" t="str">
            <v>POMME DE TERRE PDT RONDE PELEE PASTEURISE</v>
          </cell>
          <cell r="E466">
            <v>1931.2372165555555</v>
          </cell>
          <cell r="F466">
            <v>1152.6294889999999</v>
          </cell>
          <cell r="G466">
            <v>1268.8812957166667</v>
          </cell>
          <cell r="H466">
            <v>69.663212888888893</v>
          </cell>
          <cell r="I466">
            <v>924.9094288888889</v>
          </cell>
          <cell r="J466">
            <v>7114.0019477222222</v>
          </cell>
          <cell r="K466">
            <v>3372.8078252166665</v>
          </cell>
          <cell r="L466">
            <v>2504.6925293111112</v>
          </cell>
          <cell r="M466">
            <v>3604.0572322500002</v>
          </cell>
          <cell r="N466">
            <v>136.81931425555555</v>
          </cell>
          <cell r="O466">
            <v>1126.052926475</v>
          </cell>
          <cell r="P466">
            <v>8120.0739174944447</v>
          </cell>
          <cell r="R466">
            <v>31325.826335775004</v>
          </cell>
        </row>
        <row r="467">
          <cell r="C467">
            <v>339741</v>
          </cell>
          <cell r="D467" t="str">
            <v xml:space="preserve">TORTILLA BLE 8*15CM 240G COLZA NOUVEAU ZD GLY + GLY </v>
          </cell>
          <cell r="E467">
            <v>39119.951043137255</v>
          </cell>
          <cell r="F467">
            <v>21600</v>
          </cell>
          <cell r="I467">
            <v>15000</v>
          </cell>
          <cell r="J467">
            <v>18600</v>
          </cell>
          <cell r="K467">
            <v>12000</v>
          </cell>
          <cell r="O467">
            <v>30749.898006535946</v>
          </cell>
          <cell r="P467">
            <v>7200</v>
          </cell>
          <cell r="R467">
            <v>144269.84904967321</v>
          </cell>
        </row>
        <row r="468">
          <cell r="C468">
            <v>361007</v>
          </cell>
          <cell r="D468" t="str">
            <v>AROME NATUREL TYPE TRUFFE</v>
          </cell>
          <cell r="L468">
            <v>0.17819842105263159</v>
          </cell>
          <cell r="M468">
            <v>7.6228263157894736</v>
          </cell>
          <cell r="P468">
            <v>0.72599999999999998</v>
          </cell>
          <cell r="R468">
            <v>8.5270247368421046</v>
          </cell>
        </row>
        <row r="469">
          <cell r="C469">
            <v>340534</v>
          </cell>
          <cell r="D469" t="str">
            <v>PORC ROGNONS VPF BLOC 25 SURG</v>
          </cell>
          <cell r="E469">
            <v>2399.9528298589744</v>
          </cell>
          <cell r="F469">
            <v>2220.15644217094</v>
          </cell>
          <cell r="G469">
            <v>2056.8554813440169</v>
          </cell>
          <cell r="H469">
            <v>2078.3108315576924</v>
          </cell>
          <cell r="I469">
            <v>8952.7893886709408</v>
          </cell>
          <cell r="J469">
            <v>8751.9832673290603</v>
          </cell>
          <cell r="K469">
            <v>5009.774458273504</v>
          </cell>
          <cell r="L469">
            <v>3203.9260471794873</v>
          </cell>
          <cell r="M469">
            <v>2503.0398349957263</v>
          </cell>
          <cell r="N469">
            <v>3797.9120181025642</v>
          </cell>
          <cell r="O469">
            <v>3105.1040899358973</v>
          </cell>
          <cell r="P469">
            <v>2989.6361019081196</v>
          </cell>
          <cell r="R469">
            <v>47069.440791326924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ATEURS ACHATS - Matières P"/>
    </sheetNames>
    <sheetDataSet>
      <sheetData sheetId="0" refreshError="1">
        <row r="2">
          <cell r="C2">
            <v>332145</v>
          </cell>
          <cell r="D2" t="str">
            <v>ALCOOL COGNAC COLORE MODIFIE 40%</v>
          </cell>
          <cell r="E2">
            <v>8.27</v>
          </cell>
          <cell r="F2" t="str">
            <v>€</v>
          </cell>
          <cell r="G2">
            <v>200</v>
          </cell>
        </row>
        <row r="3">
          <cell r="C3">
            <v>332283</v>
          </cell>
          <cell r="D3" t="str">
            <v>VEAU SAUTE EPAULE 40G VVF IQF</v>
          </cell>
          <cell r="E3">
            <v>11.940973731634271</v>
          </cell>
          <cell r="F3" t="str">
            <v>€</v>
          </cell>
          <cell r="G3">
            <v>55264.343999999997</v>
          </cell>
        </row>
        <row r="4">
          <cell r="C4">
            <v>336823</v>
          </cell>
          <cell r="D4" t="str">
            <v>AMANDE HACHEE 2-4MM</v>
          </cell>
          <cell r="E4">
            <v>7.95</v>
          </cell>
          <cell r="F4" t="str">
            <v>€</v>
          </cell>
          <cell r="G4">
            <v>650</v>
          </cell>
        </row>
        <row r="5">
          <cell r="C5">
            <v>336864</v>
          </cell>
          <cell r="D5" t="str">
            <v>JUS DE CITRON VERT AV PULPE 9 BRIX BIDON SGL (GJUS160001)</v>
          </cell>
          <cell r="E5">
            <v>6</v>
          </cell>
          <cell r="F5" t="str">
            <v>€</v>
          </cell>
          <cell r="G5">
            <v>300</v>
          </cell>
        </row>
        <row r="6">
          <cell r="C6">
            <v>336874</v>
          </cell>
          <cell r="D6" t="str">
            <v>HARICOT ROUGE POCHE 5/1 (PNE 2.505)</v>
          </cell>
          <cell r="E6">
            <v>3.7712787796481702</v>
          </cell>
          <cell r="F6" t="str">
            <v>€</v>
          </cell>
          <cell r="G6">
            <v>949.89</v>
          </cell>
        </row>
        <row r="7">
          <cell r="C7">
            <v>337391</v>
          </cell>
          <cell r="D7" t="str">
            <v>FUMET POISSON AROME NAT CK00257</v>
          </cell>
          <cell r="E7">
            <v>11.7</v>
          </cell>
          <cell r="F7" t="str">
            <v>€</v>
          </cell>
          <cell r="G7">
            <v>630</v>
          </cell>
        </row>
        <row r="8">
          <cell r="C8">
            <v>338012</v>
          </cell>
          <cell r="D8" t="str">
            <v>AROME NAT CHAMPIGNON CUISINE</v>
          </cell>
          <cell r="E8">
            <v>20.350000000000001</v>
          </cell>
          <cell r="F8" t="str">
            <v>€</v>
          </cell>
          <cell r="G8">
            <v>450</v>
          </cell>
        </row>
        <row r="9">
          <cell r="C9">
            <v>338020</v>
          </cell>
          <cell r="D9" t="str">
            <v>EXTRAIT CULINAIRE SIGNATURE VEAU OF 1207-01</v>
          </cell>
          <cell r="E9">
            <v>23.35</v>
          </cell>
          <cell r="F9" t="str">
            <v>€</v>
          </cell>
          <cell r="G9">
            <v>1405</v>
          </cell>
        </row>
        <row r="10">
          <cell r="C10">
            <v>338022</v>
          </cell>
          <cell r="D10" t="str">
            <v>CARAMEL COLORANT TS</v>
          </cell>
          <cell r="E10">
            <v>2.3939903846153845</v>
          </cell>
          <cell r="F10" t="str">
            <v>€</v>
          </cell>
          <cell r="G10">
            <v>208</v>
          </cell>
        </row>
        <row r="11">
          <cell r="C11">
            <v>338027</v>
          </cell>
          <cell r="D11" t="str">
            <v>EXTRAIT CULINAIRE LEG BRAISES 1441-04</v>
          </cell>
          <cell r="E11">
            <v>13.13</v>
          </cell>
          <cell r="F11" t="str">
            <v>€</v>
          </cell>
          <cell r="G11">
            <v>50</v>
          </cell>
        </row>
        <row r="12">
          <cell r="C12">
            <v>338054</v>
          </cell>
          <cell r="D12" t="str">
            <v>MIX POUR CHILI</v>
          </cell>
          <cell r="E12">
            <v>4.28</v>
          </cell>
          <cell r="F12" t="str">
            <v>€</v>
          </cell>
          <cell r="G12">
            <v>500</v>
          </cell>
        </row>
        <row r="13">
          <cell r="C13">
            <v>338059</v>
          </cell>
          <cell r="D13" t="str">
            <v>PAPRIKA MOULU</v>
          </cell>
          <cell r="E13">
            <v>4.05</v>
          </cell>
          <cell r="F13" t="str">
            <v>€</v>
          </cell>
          <cell r="G13">
            <v>225</v>
          </cell>
        </row>
        <row r="14">
          <cell r="C14">
            <v>338060</v>
          </cell>
          <cell r="D14" t="str">
            <v>PAPRIKA EXTRAIT POUDRE</v>
          </cell>
          <cell r="E14">
            <v>45.9</v>
          </cell>
          <cell r="F14" t="str">
            <v>€</v>
          </cell>
          <cell r="G14">
            <v>30</v>
          </cell>
        </row>
        <row r="15">
          <cell r="C15">
            <v>338068</v>
          </cell>
          <cell r="D15" t="str">
            <v>SEL FIN</v>
          </cell>
          <cell r="E15">
            <v>0.31327567567567566</v>
          </cell>
          <cell r="F15" t="str">
            <v>€</v>
          </cell>
          <cell r="G15">
            <v>12950</v>
          </cell>
        </row>
        <row r="16">
          <cell r="C16">
            <v>338069</v>
          </cell>
          <cell r="D16" t="str">
            <v xml:space="preserve">MIX SAUCE LANGUE  AROME NATUREL DL00560 </v>
          </cell>
          <cell r="E16">
            <v>6.0999995027250664</v>
          </cell>
          <cell r="F16" t="str">
            <v>€</v>
          </cell>
          <cell r="G16">
            <v>4021.92</v>
          </cell>
        </row>
        <row r="17">
          <cell r="C17">
            <v>338070</v>
          </cell>
          <cell r="D17" t="str">
            <v>SUCRE CRISTAL 25KG</v>
          </cell>
          <cell r="E17">
            <v>0.85866666666666669</v>
          </cell>
          <cell r="F17" t="str">
            <v>€</v>
          </cell>
          <cell r="G17">
            <v>2940</v>
          </cell>
        </row>
        <row r="18">
          <cell r="C18">
            <v>338075</v>
          </cell>
          <cell r="D18" t="str">
            <v>FIBRE DE LIN VEGETALE EMULSIFIANTE (HiI SMOOTH)</v>
          </cell>
          <cell r="E18">
            <v>16.329999999999998</v>
          </cell>
          <cell r="F18" t="str">
            <v>€</v>
          </cell>
          <cell r="G18">
            <v>630</v>
          </cell>
        </row>
        <row r="19">
          <cell r="C19">
            <v>338076</v>
          </cell>
          <cell r="D19" t="str">
            <v>MIX TYPE COUSCOUS (DG00087)</v>
          </cell>
          <cell r="E19">
            <v>6.3599999999999994</v>
          </cell>
          <cell r="F19" t="str">
            <v>€</v>
          </cell>
          <cell r="G19">
            <v>4080</v>
          </cell>
        </row>
        <row r="20">
          <cell r="C20">
            <v>338077</v>
          </cell>
          <cell r="D20" t="str">
            <v>MIX GIBIER FOND AROME NATUREL CG00056</v>
          </cell>
          <cell r="E20">
            <v>12.35</v>
          </cell>
          <cell r="F20" t="str">
            <v>€</v>
          </cell>
          <cell r="G20">
            <v>2040</v>
          </cell>
        </row>
        <row r="21">
          <cell r="C21">
            <v>338181</v>
          </cell>
          <cell r="D21" t="str">
            <v xml:space="preserve">CREVETTE QUEUS PDTO CRUES 41/50 IQF DEVEINEES </v>
          </cell>
          <cell r="E21">
            <v>9.6192915553681058</v>
          </cell>
          <cell r="F21" t="str">
            <v>€</v>
          </cell>
          <cell r="G21">
            <v>3414.24</v>
          </cell>
        </row>
        <row r="22">
          <cell r="C22">
            <v>338182</v>
          </cell>
          <cell r="D22" t="str">
            <v>PDT LAMELLE FRANCE POMME DE TERRE PAST</v>
          </cell>
          <cell r="E22">
            <v>1.0273358705994291</v>
          </cell>
          <cell r="F22" t="str">
            <v>€</v>
          </cell>
          <cell r="G22">
            <v>27326</v>
          </cell>
        </row>
        <row r="23">
          <cell r="C23">
            <v>338187</v>
          </cell>
          <cell r="D23" t="str">
            <v>CANNELLE POUDRE</v>
          </cell>
          <cell r="E23">
            <v>18.04111111111111</v>
          </cell>
          <cell r="F23" t="str">
            <v>€</v>
          </cell>
          <cell r="G23">
            <v>81</v>
          </cell>
        </row>
        <row r="24">
          <cell r="C24">
            <v>338188</v>
          </cell>
          <cell r="D24" t="str">
            <v>CARDAMOME POUDRE</v>
          </cell>
          <cell r="E24">
            <v>36.17</v>
          </cell>
          <cell r="F24" t="str">
            <v>€</v>
          </cell>
          <cell r="G24">
            <v>50</v>
          </cell>
        </row>
        <row r="25">
          <cell r="C25">
            <v>338191</v>
          </cell>
          <cell r="D25" t="str">
            <v>CORIANDRE MOULU</v>
          </cell>
          <cell r="E25">
            <v>3.9299999999999997</v>
          </cell>
          <cell r="F25" t="str">
            <v>€</v>
          </cell>
          <cell r="G25">
            <v>460</v>
          </cell>
        </row>
        <row r="26">
          <cell r="C26">
            <v>338192</v>
          </cell>
          <cell r="D26" t="str">
            <v>CUMIN POUDRE</v>
          </cell>
          <cell r="E26">
            <v>10.4</v>
          </cell>
          <cell r="F26" t="str">
            <v>€</v>
          </cell>
          <cell r="G26">
            <v>1050</v>
          </cell>
        </row>
        <row r="27">
          <cell r="C27">
            <v>338193</v>
          </cell>
          <cell r="D27" t="str">
            <v>CURCUMA POUDRE</v>
          </cell>
          <cell r="E27">
            <v>4.8499999999999996</v>
          </cell>
          <cell r="F27" t="str">
            <v>€</v>
          </cell>
          <cell r="G27">
            <v>456</v>
          </cell>
        </row>
        <row r="28">
          <cell r="C28">
            <v>338194</v>
          </cell>
          <cell r="D28" t="str">
            <v>CURRY MADRAS</v>
          </cell>
          <cell r="E28">
            <v>5.19</v>
          </cell>
          <cell r="F28" t="str">
            <v>€</v>
          </cell>
          <cell r="G28">
            <v>180</v>
          </cell>
        </row>
        <row r="29">
          <cell r="C29">
            <v>338199</v>
          </cell>
          <cell r="D29" t="str">
            <v>MIEL SEAU 25 KG ORIGINE FRANCE</v>
          </cell>
          <cell r="E29">
            <v>7.5544444444444441</v>
          </cell>
          <cell r="F29" t="str">
            <v>€</v>
          </cell>
          <cell r="G29">
            <v>1800</v>
          </cell>
        </row>
        <row r="30">
          <cell r="C30">
            <v>338201</v>
          </cell>
          <cell r="D30" t="str">
            <v>MOUTARDE:A L'ANCIENNE S/SO2</v>
          </cell>
          <cell r="E30">
            <v>2.06</v>
          </cell>
          <cell r="F30" t="str">
            <v>€</v>
          </cell>
          <cell r="G30">
            <v>1995</v>
          </cell>
        </row>
        <row r="31">
          <cell r="C31">
            <v>338202</v>
          </cell>
          <cell r="D31" t="str">
            <v>MOUTARDE : FORTE S/SO2</v>
          </cell>
          <cell r="E31">
            <v>1.7602446982055464</v>
          </cell>
          <cell r="F31" t="str">
            <v>€</v>
          </cell>
          <cell r="G31">
            <v>613</v>
          </cell>
        </row>
        <row r="32">
          <cell r="C32">
            <v>338203</v>
          </cell>
          <cell r="D32" t="str">
            <v>MUSCADE POUDRE</v>
          </cell>
          <cell r="E32">
            <v>13.690000000000001</v>
          </cell>
          <cell r="F32" t="str">
            <v>€</v>
          </cell>
          <cell r="G32">
            <v>40</v>
          </cell>
        </row>
        <row r="33">
          <cell r="C33">
            <v>338204</v>
          </cell>
          <cell r="D33" t="str">
            <v>SPAGHETTI QS</v>
          </cell>
          <cell r="E33">
            <v>1.18</v>
          </cell>
          <cell r="F33" t="str">
            <v>€</v>
          </cell>
          <cell r="G33">
            <v>30240</v>
          </cell>
        </row>
        <row r="34">
          <cell r="C34">
            <v>338205</v>
          </cell>
          <cell r="D34" t="str">
            <v>SAUCE POISSON NUOC MAN</v>
          </cell>
          <cell r="E34">
            <v>2.094983277591973</v>
          </cell>
          <cell r="F34" t="str">
            <v>€</v>
          </cell>
          <cell r="G34">
            <v>299</v>
          </cell>
        </row>
        <row r="35">
          <cell r="C35">
            <v>338207</v>
          </cell>
          <cell r="D35" t="str">
            <v>PIMENT POUDRE</v>
          </cell>
          <cell r="E35">
            <v>5</v>
          </cell>
          <cell r="F35" t="str">
            <v>€</v>
          </cell>
          <cell r="G35">
            <v>125</v>
          </cell>
        </row>
        <row r="36">
          <cell r="C36">
            <v>338208</v>
          </cell>
          <cell r="D36" t="str">
            <v>PIMENT POUDRE ESPELETTE</v>
          </cell>
          <cell r="E36">
            <v>72.7</v>
          </cell>
          <cell r="F36" t="str">
            <v>€</v>
          </cell>
          <cell r="G36">
            <v>10</v>
          </cell>
        </row>
        <row r="37">
          <cell r="C37">
            <v>338210</v>
          </cell>
          <cell r="D37" t="str">
            <v>RIZ LONG ETUVE DE CAMARGUE QS SALADE</v>
          </cell>
          <cell r="E37">
            <v>1.701200923787529</v>
          </cell>
          <cell r="F37" t="str">
            <v>€</v>
          </cell>
          <cell r="G37">
            <v>10825</v>
          </cell>
        </row>
        <row r="38">
          <cell r="C38">
            <v>338211</v>
          </cell>
          <cell r="D38" t="str">
            <v>POIVRE BLANC MOULU</v>
          </cell>
          <cell r="E38">
            <v>8.69</v>
          </cell>
          <cell r="F38" t="str">
            <v>€</v>
          </cell>
          <cell r="G38">
            <v>650</v>
          </cell>
        </row>
        <row r="39">
          <cell r="C39">
            <v>338212</v>
          </cell>
          <cell r="D39" t="str">
            <v>POIVRE DE SICHOUAN MOULU</v>
          </cell>
          <cell r="E39">
            <v>45.8675</v>
          </cell>
          <cell r="F39" t="str">
            <v>€</v>
          </cell>
          <cell r="G39">
            <v>40</v>
          </cell>
        </row>
        <row r="40">
          <cell r="C40">
            <v>338215</v>
          </cell>
          <cell r="D40" t="str">
            <v>RAZ EL HANOUT</v>
          </cell>
          <cell r="E40">
            <v>6.11</v>
          </cell>
          <cell r="F40" t="str">
            <v>€</v>
          </cell>
          <cell r="G40">
            <v>20</v>
          </cell>
        </row>
        <row r="41">
          <cell r="C41">
            <v>338217</v>
          </cell>
          <cell r="D41" t="str">
            <v>RIZ LONG BASMATI QS</v>
          </cell>
          <cell r="E41">
            <v>1.8055555555555556</v>
          </cell>
          <cell r="F41" t="str">
            <v>€</v>
          </cell>
          <cell r="G41">
            <v>32400</v>
          </cell>
        </row>
        <row r="42">
          <cell r="C42">
            <v>338218</v>
          </cell>
          <cell r="D42" t="str">
            <v>RIZ SAUVAGE</v>
          </cell>
          <cell r="E42">
            <v>13.507079646017699</v>
          </cell>
          <cell r="F42" t="str">
            <v>€</v>
          </cell>
          <cell r="G42">
            <v>226</v>
          </cell>
        </row>
        <row r="43">
          <cell r="C43">
            <v>338219</v>
          </cell>
          <cell r="D43" t="str">
            <v xml:space="preserve">RIZ LONG ETUVE </v>
          </cell>
          <cell r="E43">
            <v>1.275305944055944</v>
          </cell>
          <cell r="F43" t="str">
            <v>€</v>
          </cell>
          <cell r="G43">
            <v>57200</v>
          </cell>
        </row>
        <row r="44">
          <cell r="C44">
            <v>338220</v>
          </cell>
          <cell r="D44" t="str">
            <v>RIZ ETUVE RISOTTO</v>
          </cell>
          <cell r="E44">
            <v>1.6</v>
          </cell>
          <cell r="F44" t="str">
            <v>€</v>
          </cell>
          <cell r="G44">
            <v>4000</v>
          </cell>
        </row>
        <row r="45">
          <cell r="C45">
            <v>338225</v>
          </cell>
          <cell r="D45" t="str">
            <v>SEMOULE COUSCOUS Qualité Standard</v>
          </cell>
          <cell r="E45">
            <v>1.058999892415277</v>
          </cell>
          <cell r="F45" t="str">
            <v>€</v>
          </cell>
          <cell r="G45">
            <v>46475</v>
          </cell>
        </row>
        <row r="46">
          <cell r="C46">
            <v>338230</v>
          </cell>
          <cell r="D46" t="str">
            <v xml:space="preserve">BEURRE DOUX 82 % </v>
          </cell>
          <cell r="E46">
            <v>8.0935753424657531</v>
          </cell>
          <cell r="F46" t="str">
            <v>€</v>
          </cell>
          <cell r="G46">
            <v>14600</v>
          </cell>
        </row>
        <row r="47">
          <cell r="C47">
            <v>338234</v>
          </cell>
          <cell r="D47" t="str">
            <v>FROMAGE EMMENTAL RAPE</v>
          </cell>
          <cell r="E47">
            <v>6.05</v>
          </cell>
          <cell r="F47" t="str">
            <v>€</v>
          </cell>
          <cell r="G47">
            <v>4000</v>
          </cell>
        </row>
        <row r="48">
          <cell r="C48">
            <v>338235</v>
          </cell>
          <cell r="D48" t="str">
            <v>TAGLIATELLE PLATE 5mm 24cm 7 OEUFS PLEIN AIR</v>
          </cell>
          <cell r="E48">
            <v>3.2060000000000004</v>
          </cell>
          <cell r="F48" t="str">
            <v>€</v>
          </cell>
          <cell r="G48">
            <v>11520</v>
          </cell>
        </row>
        <row r="49">
          <cell r="C49">
            <v>338238</v>
          </cell>
          <cell r="D49" t="str">
            <v>LAIT 1/2 ECREME UHT</v>
          </cell>
          <cell r="E49">
            <v>0.93474999999999997</v>
          </cell>
          <cell r="F49" t="str">
            <v>€</v>
          </cell>
          <cell r="G49">
            <v>6400</v>
          </cell>
        </row>
        <row r="50">
          <cell r="C50">
            <v>338240</v>
          </cell>
          <cell r="D50" t="str">
            <v>FROMAGE PARMESAN RAPE</v>
          </cell>
          <cell r="E50">
            <v>14.55</v>
          </cell>
          <cell r="F50" t="str">
            <v>€</v>
          </cell>
          <cell r="G50">
            <v>1950</v>
          </cell>
        </row>
        <row r="51">
          <cell r="C51">
            <v>338243</v>
          </cell>
          <cell r="D51" t="str">
            <v>AIL PULPE BLANCHI PUREE GALET SURGELE (HAL10005)</v>
          </cell>
          <cell r="E51">
            <v>2.4196984402079726</v>
          </cell>
          <cell r="F51" t="str">
            <v>€</v>
          </cell>
          <cell r="G51">
            <v>17310</v>
          </cell>
        </row>
        <row r="52">
          <cell r="C52">
            <v>338246</v>
          </cell>
          <cell r="D52" t="str">
            <v>PUREE PIMENTS ROUGE (EA00177)</v>
          </cell>
          <cell r="E52">
            <v>8.2663043478260878</v>
          </cell>
          <cell r="F52" t="str">
            <v>€</v>
          </cell>
          <cell r="G52">
            <v>460</v>
          </cell>
        </row>
        <row r="53">
          <cell r="C53">
            <v>338247</v>
          </cell>
          <cell r="D53" t="str">
            <v>ANANAS MORCEAUX POIDS NETS EGOUTES BOITE ou POCHE</v>
          </cell>
          <cell r="E53">
            <v>2.9861246943765281</v>
          </cell>
          <cell r="F53" t="str">
            <v>€</v>
          </cell>
          <cell r="G53">
            <v>2944.8</v>
          </cell>
        </row>
        <row r="54">
          <cell r="C54">
            <v>338250</v>
          </cell>
          <cell r="D54" t="str">
            <v>BAMBOU POUSSE 1.8 KG</v>
          </cell>
          <cell r="E54">
            <v>2.3388007054673721</v>
          </cell>
          <cell r="F54" t="str">
            <v>€</v>
          </cell>
          <cell r="G54">
            <v>907.2</v>
          </cell>
        </row>
        <row r="55">
          <cell r="C55">
            <v>338252</v>
          </cell>
          <cell r="D55" t="str">
            <v>BASILIC FLOCONS</v>
          </cell>
          <cell r="E55">
            <v>3.0942857142857148</v>
          </cell>
          <cell r="F55" t="str">
            <v>€</v>
          </cell>
          <cell r="G55">
            <v>756</v>
          </cell>
        </row>
        <row r="56">
          <cell r="C56">
            <v>338254</v>
          </cell>
          <cell r="D56" t="str">
            <v>CAROTTES 4*4*4 BLANCHI CUBE SGL</v>
          </cell>
          <cell r="E56">
            <v>0.96547528517110259</v>
          </cell>
          <cell r="F56" t="str">
            <v>€</v>
          </cell>
          <cell r="G56">
            <v>5260</v>
          </cell>
        </row>
        <row r="57">
          <cell r="C57">
            <v>338255</v>
          </cell>
          <cell r="D57" t="str">
            <v>CAROTTE BLANCHI JULIENNE ORANGE 4X4 SGL (LCA51020) REMOULADE</v>
          </cell>
          <cell r="E57">
            <v>0.89</v>
          </cell>
          <cell r="F57" t="str">
            <v>€</v>
          </cell>
          <cell r="G57">
            <v>9900</v>
          </cell>
        </row>
        <row r="58">
          <cell r="C58">
            <v>338256</v>
          </cell>
          <cell r="D58" t="str">
            <v>CAROTTE ORANGE BLANCHI RONDELLE LISSE 4-7 SGL (LCA51013)</v>
          </cell>
          <cell r="E58">
            <v>0.8363731003039514</v>
          </cell>
          <cell r="F58" t="str">
            <v>€</v>
          </cell>
          <cell r="G58">
            <v>26320</v>
          </cell>
        </row>
        <row r="59">
          <cell r="C59">
            <v>338259</v>
          </cell>
          <cell r="D59" t="str">
            <v>CAROTTE  JAUNE BLANCHI JULIENNE 4X4 SGL (LCA10019)</v>
          </cell>
          <cell r="E59">
            <v>0.95</v>
          </cell>
          <cell r="F59" t="str">
            <v>€</v>
          </cell>
          <cell r="G59">
            <v>1485</v>
          </cell>
        </row>
        <row r="60">
          <cell r="C60">
            <v>338268</v>
          </cell>
          <cell r="D60" t="str">
            <v>CHAMPIGNON DE PARIS MINIATURE IQF 15/28 SANS SULFITE ORIGINE FRA</v>
          </cell>
          <cell r="E60">
            <v>2.73</v>
          </cell>
          <cell r="F60" t="str">
            <v>€</v>
          </cell>
          <cell r="G60">
            <v>9600</v>
          </cell>
        </row>
        <row r="61">
          <cell r="C61">
            <v>338271</v>
          </cell>
          <cell r="D61" t="str">
            <v>CHAMPIGNONS DE PARIS EMINCES 6MM INF SANS S02 (CCP10044-10810105</v>
          </cell>
          <cell r="E61">
            <v>1.4378032786885246</v>
          </cell>
          <cell r="F61" t="str">
            <v>€</v>
          </cell>
          <cell r="G61">
            <v>43920</v>
          </cell>
        </row>
        <row r="62">
          <cell r="C62">
            <v>338272</v>
          </cell>
          <cell r="D62" t="str">
            <v>CHAMPIGNONS NOIRS BLANCHIS LANIERE 4-6 MM (CCON001)</v>
          </cell>
          <cell r="E62">
            <v>2.0718749999999999</v>
          </cell>
          <cell r="F62" t="str">
            <v>€</v>
          </cell>
          <cell r="G62">
            <v>6720</v>
          </cell>
        </row>
        <row r="63">
          <cell r="C63">
            <v>338273</v>
          </cell>
          <cell r="D63" t="str">
            <v>CIBOULETTE TUBULAIRE SGL</v>
          </cell>
          <cell r="E63">
            <v>3.1883333333333335</v>
          </cell>
          <cell r="F63" t="str">
            <v>€</v>
          </cell>
          <cell r="G63">
            <v>648</v>
          </cell>
        </row>
        <row r="64">
          <cell r="C64">
            <v>338275</v>
          </cell>
          <cell r="D64" t="str">
            <v>JUS DE CITRON CONCENTRE 45 BRIX</v>
          </cell>
          <cell r="E64">
            <v>9.5</v>
          </cell>
          <cell r="F64" t="str">
            <v>€</v>
          </cell>
          <cell r="G64">
            <v>365</v>
          </cell>
        </row>
        <row r="65">
          <cell r="C65">
            <v>338276</v>
          </cell>
          <cell r="D65" t="str">
            <v>CITRON ECORCES CUBE CONFITS EGOUTTES 6X6 MM</v>
          </cell>
          <cell r="E65">
            <v>9.7475000000000005</v>
          </cell>
          <cell r="F65" t="str">
            <v>€</v>
          </cell>
          <cell r="G65">
            <v>1296</v>
          </cell>
        </row>
        <row r="66">
          <cell r="C66">
            <v>338278</v>
          </cell>
          <cell r="D66" t="str">
            <v>CITRON JUS 8° BRIX</v>
          </cell>
          <cell r="E66">
            <v>1.76</v>
          </cell>
          <cell r="F66" t="str">
            <v>€</v>
          </cell>
          <cell r="G66">
            <v>1050</v>
          </cell>
        </row>
        <row r="67">
          <cell r="C67">
            <v>338279</v>
          </cell>
          <cell r="D67" t="str">
            <v>CORIANDRE FLOCON</v>
          </cell>
          <cell r="E67">
            <v>3.0525000000000002</v>
          </cell>
          <cell r="F67" t="str">
            <v>€</v>
          </cell>
          <cell r="G67">
            <v>432</v>
          </cell>
        </row>
        <row r="68">
          <cell r="C68">
            <v>338281</v>
          </cell>
          <cell r="D68" t="str">
            <v>COURGETTE NON BLANCHI CUBE 20X20 MM IQF (LCR10002)</v>
          </cell>
          <cell r="E68">
            <v>0.91857142857142859</v>
          </cell>
          <cell r="F68" t="str">
            <v>€</v>
          </cell>
          <cell r="G68">
            <v>5040</v>
          </cell>
        </row>
        <row r="69">
          <cell r="C69">
            <v>338283</v>
          </cell>
          <cell r="D69" t="str">
            <v>ECHALOTES 4*4 NON BLANCHI CUBE 4X4MM (HEL10004)</v>
          </cell>
          <cell r="E69">
            <v>2.0731658291457289</v>
          </cell>
          <cell r="F69" t="str">
            <v>€</v>
          </cell>
          <cell r="G69">
            <v>17910</v>
          </cell>
        </row>
        <row r="70">
          <cell r="C70">
            <v>338285</v>
          </cell>
          <cell r="D70" t="str">
            <v>EPINARD BRANCHE</v>
          </cell>
          <cell r="E70">
            <v>1.21</v>
          </cell>
          <cell r="F70" t="str">
            <v>€</v>
          </cell>
          <cell r="G70">
            <v>3000</v>
          </cell>
        </row>
        <row r="71">
          <cell r="C71">
            <v>338291</v>
          </cell>
          <cell r="D71" t="str">
            <v>PDT FLOCONS S/PALME</v>
          </cell>
          <cell r="E71">
            <v>3.0459999999999998</v>
          </cell>
          <cell r="F71" t="str">
            <v>€</v>
          </cell>
          <cell r="G71">
            <v>600</v>
          </cell>
        </row>
        <row r="72">
          <cell r="C72">
            <v>338298</v>
          </cell>
          <cell r="D72" t="str">
            <v>PUREE GROSEILLE</v>
          </cell>
          <cell r="E72">
            <v>5.09</v>
          </cell>
          <cell r="F72" t="str">
            <v>€</v>
          </cell>
          <cell r="G72">
            <v>4026</v>
          </cell>
        </row>
        <row r="73">
          <cell r="C73">
            <v>338299</v>
          </cell>
          <cell r="D73" t="str">
            <v>HARISSA 4/4 760G NET</v>
          </cell>
          <cell r="E73">
            <v>2.5885273492286114</v>
          </cell>
          <cell r="F73" t="str">
            <v>€</v>
          </cell>
          <cell r="G73">
            <v>1426</v>
          </cell>
        </row>
        <row r="74">
          <cell r="C74">
            <v>338300</v>
          </cell>
          <cell r="D74" t="str">
            <v>LAURIER POUDRE</v>
          </cell>
          <cell r="E74">
            <v>7.38</v>
          </cell>
          <cell r="F74" t="str">
            <v>€</v>
          </cell>
          <cell r="G74">
            <v>48</v>
          </cell>
        </row>
        <row r="75">
          <cell r="C75">
            <v>338302</v>
          </cell>
          <cell r="D75" t="str">
            <v>LENTILLES VERTES ORIGINE FRANCE</v>
          </cell>
          <cell r="E75">
            <v>2.12</v>
          </cell>
          <cell r="F75" t="str">
            <v>€</v>
          </cell>
          <cell r="G75">
            <v>4200</v>
          </cell>
        </row>
        <row r="76">
          <cell r="C76">
            <v>338305</v>
          </cell>
          <cell r="D76" t="str">
            <v>MENTHE DOUCE 1-8 MM</v>
          </cell>
          <cell r="E76">
            <v>3.2749999999999999</v>
          </cell>
          <cell r="F76" t="str">
            <v>€</v>
          </cell>
          <cell r="G76">
            <v>96</v>
          </cell>
        </row>
        <row r="77">
          <cell r="C77">
            <v>338310</v>
          </cell>
          <cell r="D77" t="str">
            <v>OIGNON NON BLANCHI CUBE 10*10 IQF (LOI10003)</v>
          </cell>
          <cell r="E77">
            <v>0.86144927536231886</v>
          </cell>
          <cell r="F77" t="str">
            <v>€</v>
          </cell>
          <cell r="G77">
            <v>45540</v>
          </cell>
        </row>
        <row r="78">
          <cell r="C78">
            <v>338311</v>
          </cell>
          <cell r="D78" t="str">
            <v>OIGNONS GRELOTS 16-18MM BLANCHI SGL (LOI49002)</v>
          </cell>
          <cell r="E78">
            <v>1.5891061452513966</v>
          </cell>
          <cell r="F78" t="str">
            <v>€</v>
          </cell>
          <cell r="G78">
            <v>7160</v>
          </cell>
        </row>
        <row r="79">
          <cell r="C79">
            <v>338313</v>
          </cell>
          <cell r="D79" t="str">
            <v>OIGNON EMINCE Absence Listéria NON BLANCHI 2-4 MM SGL (LOI5101)</v>
          </cell>
          <cell r="E79">
            <v>0.88752826310380262</v>
          </cell>
          <cell r="F79" t="str">
            <v>€</v>
          </cell>
          <cell r="G79">
            <v>38920</v>
          </cell>
        </row>
        <row r="80">
          <cell r="C80">
            <v>338322</v>
          </cell>
          <cell r="D80" t="str">
            <v>OSEILLE GROS FLOCONS</v>
          </cell>
          <cell r="E80">
            <v>2.9162500000000002</v>
          </cell>
          <cell r="F80" t="str">
            <v>€</v>
          </cell>
          <cell r="G80">
            <v>3360</v>
          </cell>
        </row>
        <row r="81">
          <cell r="C81">
            <v>338325</v>
          </cell>
          <cell r="D81" t="str">
            <v>PERSIL STANDARD</v>
          </cell>
          <cell r="E81">
            <v>2.3270813397129189</v>
          </cell>
          <cell r="F81" t="str">
            <v>€</v>
          </cell>
          <cell r="G81">
            <v>2926</v>
          </cell>
        </row>
        <row r="82">
          <cell r="C82">
            <v>338329</v>
          </cell>
          <cell r="D82" t="str">
            <v>PETITS POIS FIN BLANCHI SGL (LPP49003)</v>
          </cell>
          <cell r="E82">
            <v>1.2558536585365854</v>
          </cell>
          <cell r="F82" t="str">
            <v>€</v>
          </cell>
          <cell r="G82">
            <v>17220</v>
          </cell>
        </row>
        <row r="83">
          <cell r="C83">
            <v>338330</v>
          </cell>
          <cell r="D83" t="str">
            <v>POIVRON ROUGE 10x10 IQF</v>
          </cell>
          <cell r="E83">
            <v>1.7942857142857145</v>
          </cell>
          <cell r="F83" t="str">
            <v>€</v>
          </cell>
          <cell r="G83">
            <v>5040</v>
          </cell>
        </row>
        <row r="84">
          <cell r="C84">
            <v>338331</v>
          </cell>
          <cell r="D84" t="str">
            <v>POIVRON ROUGE 20X20</v>
          </cell>
          <cell r="E84">
            <v>1.79</v>
          </cell>
          <cell r="F84" t="str">
            <v>€</v>
          </cell>
          <cell r="G84">
            <v>720</v>
          </cell>
        </row>
        <row r="85">
          <cell r="C85">
            <v>338336</v>
          </cell>
          <cell r="D85" t="str">
            <v>POIS CHICHE PRÉCUIT IQF (LPF49001)</v>
          </cell>
          <cell r="E85">
            <v>1.3774999999999999</v>
          </cell>
          <cell r="F85" t="str">
            <v>€</v>
          </cell>
          <cell r="G85">
            <v>2880</v>
          </cell>
        </row>
        <row r="86">
          <cell r="C86">
            <v>338337</v>
          </cell>
          <cell r="D86" t="str">
            <v>POIVRON VERT LANIERE - PF NP IQF (LPV10003)</v>
          </cell>
          <cell r="E86">
            <v>1.7</v>
          </cell>
          <cell r="F86" t="str">
            <v>€</v>
          </cell>
          <cell r="G86">
            <v>2520</v>
          </cell>
        </row>
        <row r="87">
          <cell r="C87">
            <v>338338</v>
          </cell>
          <cell r="D87" t="str">
            <v>POIVRON ROUGE LANIERE - PF NP</v>
          </cell>
          <cell r="E87">
            <v>1.7997524752475247</v>
          </cell>
          <cell r="F87" t="str">
            <v>€</v>
          </cell>
          <cell r="G87">
            <v>28280</v>
          </cell>
        </row>
        <row r="88">
          <cell r="C88">
            <v>338339</v>
          </cell>
          <cell r="D88" t="str">
            <v>POIVRON JAUNE LANIERE - PF NP</v>
          </cell>
          <cell r="E88">
            <v>1.8960167130919219</v>
          </cell>
          <cell r="F88" t="str">
            <v>€</v>
          </cell>
          <cell r="G88">
            <v>7180</v>
          </cell>
        </row>
        <row r="89">
          <cell r="C89">
            <v>338341</v>
          </cell>
          <cell r="D89" t="str">
            <v>POMME CUBE 10 X10 IQF</v>
          </cell>
          <cell r="E89">
            <v>2.6300000000000003</v>
          </cell>
          <cell r="F89" t="str">
            <v>€</v>
          </cell>
          <cell r="G89">
            <v>120</v>
          </cell>
        </row>
        <row r="90">
          <cell r="C90">
            <v>338345</v>
          </cell>
          <cell r="D90" t="str">
            <v>PRUNEAUX DENOYAUTES</v>
          </cell>
          <cell r="E90">
            <v>6.2081899441340784</v>
          </cell>
          <cell r="F90" t="str">
            <v>€</v>
          </cell>
          <cell r="G90">
            <v>3580</v>
          </cell>
        </row>
        <row r="91">
          <cell r="C91">
            <v>338348</v>
          </cell>
          <cell r="D91" t="str">
            <v>THYM POINTES SGL</v>
          </cell>
          <cell r="E91">
            <v>6.0960000000000001</v>
          </cell>
          <cell r="F91" t="str">
            <v>€</v>
          </cell>
          <cell r="G91">
            <v>540</v>
          </cell>
        </row>
        <row r="92">
          <cell r="C92">
            <v>338350</v>
          </cell>
          <cell r="D92" t="str">
            <v>TOMATES CUBES 8X8 AROMATISES IQF</v>
          </cell>
          <cell r="E92">
            <v>6.2</v>
          </cell>
          <cell r="F92" t="str">
            <v>€</v>
          </cell>
          <cell r="G92">
            <v>1280</v>
          </cell>
        </row>
        <row r="93">
          <cell r="C93">
            <v>338352</v>
          </cell>
          <cell r="D93" t="str">
            <v>TOMATES CONCASSÉES</v>
          </cell>
          <cell r="E93">
            <v>0.82596952559865977</v>
          </cell>
          <cell r="F93" t="str">
            <v>€</v>
          </cell>
          <cell r="G93">
            <v>109422.33</v>
          </cell>
        </row>
        <row r="94">
          <cell r="C94">
            <v>338353</v>
          </cell>
          <cell r="D94" t="str">
            <v>TOMATE COULIS 10/12 BRIX</v>
          </cell>
          <cell r="E94">
            <v>1.3949223352972684</v>
          </cell>
          <cell r="F94" t="str">
            <v>€</v>
          </cell>
          <cell r="G94">
            <v>11202</v>
          </cell>
        </row>
        <row r="95">
          <cell r="C95">
            <v>338354</v>
          </cell>
          <cell r="D95" t="str">
            <v>TOMATE CONCENTRE 28/30 BRIX</v>
          </cell>
          <cell r="E95">
            <v>1.8634832339024892</v>
          </cell>
          <cell r="F95" t="str">
            <v>€</v>
          </cell>
          <cell r="G95">
            <v>24305</v>
          </cell>
        </row>
        <row r="96">
          <cell r="C96">
            <v>338357</v>
          </cell>
          <cell r="D96" t="str">
            <v>ARMAGNAC MODIFIE SEL POIVRE</v>
          </cell>
          <cell r="E96">
            <v>4.03</v>
          </cell>
          <cell r="F96" t="str">
            <v>€</v>
          </cell>
          <cell r="G96">
            <v>200</v>
          </cell>
        </row>
        <row r="97">
          <cell r="C97">
            <v>338362</v>
          </cell>
          <cell r="D97" t="str">
            <v xml:space="preserve">HUILE TOURNESOL NON HYDROGENEE </v>
          </cell>
          <cell r="E97">
            <v>1.4657142857142857</v>
          </cell>
          <cell r="F97" t="str">
            <v>€</v>
          </cell>
          <cell r="G97">
            <v>31500</v>
          </cell>
        </row>
        <row r="98">
          <cell r="C98">
            <v>338363</v>
          </cell>
          <cell r="D98" t="str">
            <v>HUILE D'OLIVE EXTRA</v>
          </cell>
          <cell r="E98">
            <v>4.1201761198169464</v>
          </cell>
          <cell r="F98" t="str">
            <v>€</v>
          </cell>
          <cell r="G98">
            <v>7211</v>
          </cell>
        </row>
        <row r="99">
          <cell r="C99">
            <v>338364</v>
          </cell>
          <cell r="D99" t="str">
            <v>NOILLY DRY / VERMOUTH</v>
          </cell>
          <cell r="E99">
            <v>2.2000000000000002</v>
          </cell>
          <cell r="F99" t="str">
            <v>€</v>
          </cell>
          <cell r="G99">
            <v>400</v>
          </cell>
        </row>
        <row r="100">
          <cell r="C100">
            <v>338366</v>
          </cell>
          <cell r="D100" t="str">
            <v>CAROTTES DEMI TRONCONS SURG IQF (LCA51015)</v>
          </cell>
          <cell r="E100">
            <v>0.98124787535410762</v>
          </cell>
          <cell r="F100" t="str">
            <v>€</v>
          </cell>
          <cell r="G100">
            <v>14120</v>
          </cell>
        </row>
        <row r="101">
          <cell r="C101">
            <v>338368</v>
          </cell>
          <cell r="D101" t="str">
            <v>PORTO MODIFIÉ SEL &amp; POIVRE</v>
          </cell>
          <cell r="E101">
            <v>3.51</v>
          </cell>
          <cell r="F101" t="str">
            <v>€</v>
          </cell>
          <cell r="G101">
            <v>2840</v>
          </cell>
        </row>
        <row r="102">
          <cell r="C102">
            <v>338369</v>
          </cell>
          <cell r="D102" t="str">
            <v>HUILE DE COLZA</v>
          </cell>
          <cell r="E102">
            <v>1.55</v>
          </cell>
          <cell r="F102" t="str">
            <v>€</v>
          </cell>
          <cell r="G102">
            <v>30</v>
          </cell>
        </row>
        <row r="103">
          <cell r="C103">
            <v>338372</v>
          </cell>
          <cell r="D103" t="str">
            <v>VIN BLANC 11 DEGRES</v>
          </cell>
          <cell r="E103">
            <v>0.76</v>
          </cell>
          <cell r="F103" t="str">
            <v>€</v>
          </cell>
          <cell r="G103">
            <v>19000</v>
          </cell>
        </row>
        <row r="104">
          <cell r="C104">
            <v>338373</v>
          </cell>
          <cell r="D104" t="str">
            <v>VIN ROUGE 11Ø</v>
          </cell>
          <cell r="E104">
            <v>0.71</v>
          </cell>
          <cell r="F104" t="str">
            <v>€</v>
          </cell>
          <cell r="G104">
            <v>20000</v>
          </cell>
        </row>
        <row r="105">
          <cell r="C105">
            <v>338374</v>
          </cell>
          <cell r="D105" t="str">
            <v>VINAIGRE D'ALCOOL BLANC 8°</v>
          </cell>
          <cell r="E105">
            <v>0.64400000000000002</v>
          </cell>
          <cell r="F105" t="str">
            <v>€</v>
          </cell>
          <cell r="G105">
            <v>2000</v>
          </cell>
        </row>
        <row r="106">
          <cell r="C106">
            <v>338377</v>
          </cell>
          <cell r="D106" t="str">
            <v>VINAIGRE DE XÈRES</v>
          </cell>
          <cell r="E106">
            <v>2.5859999999999999</v>
          </cell>
          <cell r="F106" t="str">
            <v>€</v>
          </cell>
          <cell r="G106">
            <v>1400</v>
          </cell>
        </row>
        <row r="107">
          <cell r="C107">
            <v>338378</v>
          </cell>
          <cell r="D107" t="str">
            <v>VIN BLANC CHABLIS 12.5%</v>
          </cell>
          <cell r="E107">
            <v>10.65</v>
          </cell>
          <cell r="F107" t="str">
            <v>€</v>
          </cell>
          <cell r="G107">
            <v>400</v>
          </cell>
        </row>
        <row r="108">
          <cell r="C108">
            <v>338379</v>
          </cell>
          <cell r="D108" t="str">
            <v>VINAIGRE DE RIZ BLAN</v>
          </cell>
          <cell r="E108">
            <v>2.5499999999999998</v>
          </cell>
          <cell r="F108" t="str">
            <v>€</v>
          </cell>
          <cell r="G108">
            <v>580</v>
          </cell>
        </row>
        <row r="109">
          <cell r="C109">
            <v>338392</v>
          </cell>
          <cell r="D109" t="str">
            <v>YUZU JUS EXTRA</v>
          </cell>
          <cell r="E109">
            <v>26.64</v>
          </cell>
          <cell r="F109" t="str">
            <v>€</v>
          </cell>
          <cell r="G109">
            <v>24</v>
          </cell>
        </row>
        <row r="110">
          <cell r="C110">
            <v>338403</v>
          </cell>
          <cell r="D110" t="str">
            <v>CREVETTE DECORTIQUE 41/50 VANAMEI</v>
          </cell>
          <cell r="E110">
            <v>10.617432567432568</v>
          </cell>
          <cell r="F110" t="str">
            <v>€</v>
          </cell>
          <cell r="G110">
            <v>6006</v>
          </cell>
        </row>
        <row r="111">
          <cell r="C111">
            <v>338417</v>
          </cell>
          <cell r="D111" t="str">
            <v>MORUE BITS &amp; PIECES</v>
          </cell>
          <cell r="E111">
            <v>6.85</v>
          </cell>
          <cell r="F111" t="str">
            <v>€</v>
          </cell>
          <cell r="G111">
            <v>2000</v>
          </cell>
        </row>
        <row r="112">
          <cell r="C112">
            <v>338418</v>
          </cell>
          <cell r="D112" t="str">
            <v>MOULES COQUILLES 80/110 ENTIERES FERMEES SURG</v>
          </cell>
          <cell r="E112">
            <v>2.2162790697674417</v>
          </cell>
          <cell r="F112" t="str">
            <v>€</v>
          </cell>
          <cell r="G112">
            <v>10320</v>
          </cell>
        </row>
        <row r="113">
          <cell r="C113">
            <v>338419</v>
          </cell>
          <cell r="D113" t="str">
            <v>MOULE DECORTIQUEES CHILI PACIFIQUE CUITE SURG</v>
          </cell>
          <cell r="E113">
            <v>4.3</v>
          </cell>
          <cell r="F113" t="str">
            <v>€</v>
          </cell>
          <cell r="G113">
            <v>300</v>
          </cell>
        </row>
        <row r="114">
          <cell r="C114">
            <v>338449</v>
          </cell>
          <cell r="D114" t="str">
            <v>MIX PAELLA AROME NATUREL DE00162</v>
          </cell>
          <cell r="E114">
            <v>9.4</v>
          </cell>
          <cell r="F114" t="str">
            <v>€</v>
          </cell>
          <cell r="G114">
            <v>5910</v>
          </cell>
        </row>
        <row r="115">
          <cell r="C115">
            <v>338461</v>
          </cell>
          <cell r="D115" t="str">
            <v>CREME UHT SANS CARRAGHENANE</v>
          </cell>
          <cell r="E115">
            <v>3.4817462932454695</v>
          </cell>
          <cell r="F115" t="str">
            <v>€</v>
          </cell>
          <cell r="G115">
            <v>97120</v>
          </cell>
        </row>
        <row r="116">
          <cell r="C116">
            <v>338463</v>
          </cell>
          <cell r="D116" t="str">
            <v>CREME D'ISIGNY AOP 35% MG</v>
          </cell>
          <cell r="E116">
            <v>5.1444822797181216</v>
          </cell>
          <cell r="F116" t="str">
            <v>€</v>
          </cell>
          <cell r="G116">
            <v>9720.5</v>
          </cell>
        </row>
        <row r="117">
          <cell r="C117">
            <v>338465</v>
          </cell>
          <cell r="D117" t="str">
            <v>PENNE EPAIS 5 OEUFS 270G</v>
          </cell>
          <cell r="E117">
            <v>2.5969171597633136</v>
          </cell>
          <cell r="F117" t="str">
            <v>€</v>
          </cell>
          <cell r="G117">
            <v>3380</v>
          </cell>
        </row>
        <row r="118">
          <cell r="C118">
            <v>338466</v>
          </cell>
          <cell r="D118" t="str">
            <v xml:space="preserve">COQUILLETTE QS 100% ble dur </v>
          </cell>
          <cell r="E118">
            <v>1.226</v>
          </cell>
          <cell r="F118" t="str">
            <v>€</v>
          </cell>
          <cell r="G118">
            <v>4800</v>
          </cell>
        </row>
        <row r="119">
          <cell r="C119">
            <v>338470</v>
          </cell>
          <cell r="D119" t="str">
            <v xml:space="preserve">MOUTARDE GRAINE BLANCHE </v>
          </cell>
          <cell r="E119">
            <v>1.55</v>
          </cell>
          <cell r="F119" t="str">
            <v>€</v>
          </cell>
          <cell r="G119">
            <v>2160</v>
          </cell>
        </row>
        <row r="120">
          <cell r="C120">
            <v>338471</v>
          </cell>
          <cell r="D120" t="str">
            <v>CIBOULE  SURG TUBE IQF (OU CEBETTE/ OIGNONS DE PRINTEMPS)</v>
          </cell>
          <cell r="E120">
            <v>3.8573333333333335</v>
          </cell>
          <cell r="F120" t="str">
            <v>€</v>
          </cell>
          <cell r="G120">
            <v>750</v>
          </cell>
        </row>
        <row r="121">
          <cell r="C121">
            <v>338472</v>
          </cell>
          <cell r="D121" t="str">
            <v>VINAIGRE BALSAMIQUE DE MODENE 6% SANS COLORANT IGP</v>
          </cell>
          <cell r="E121">
            <v>3.3860000000000001</v>
          </cell>
          <cell r="F121" t="str">
            <v>€</v>
          </cell>
          <cell r="G121">
            <v>100</v>
          </cell>
        </row>
        <row r="122">
          <cell r="C122">
            <v>338476</v>
          </cell>
          <cell r="D122" t="str">
            <v>LINGUINE QS HAUTE RESISTANCE 100% BLE DUR FRANCE</v>
          </cell>
          <cell r="E122">
            <v>1.3053356481481482</v>
          </cell>
          <cell r="F122" t="str">
            <v>€</v>
          </cell>
          <cell r="G122">
            <v>1728</v>
          </cell>
        </row>
        <row r="123">
          <cell r="C123">
            <v>338477</v>
          </cell>
          <cell r="D123" t="str">
            <v>COQUILLAGE OU CONCHIGLIE 3 OEUFS FRAIS UE</v>
          </cell>
          <cell r="E123">
            <v>2.2493333333333334</v>
          </cell>
          <cell r="F123" t="str">
            <v>€</v>
          </cell>
          <cell r="G123">
            <v>3780</v>
          </cell>
        </row>
        <row r="124">
          <cell r="C124">
            <v>338479</v>
          </cell>
          <cell r="D124" t="str">
            <v>POIS CASSES VERTS</v>
          </cell>
          <cell r="E124">
            <v>1.24</v>
          </cell>
          <cell r="F124" t="str">
            <v>€</v>
          </cell>
          <cell r="G124">
            <v>1140</v>
          </cell>
        </row>
        <row r="125">
          <cell r="C125">
            <v>338480</v>
          </cell>
          <cell r="D125" t="str">
            <v>FENUGREC TT POUDRE</v>
          </cell>
          <cell r="E125">
            <v>5.05</v>
          </cell>
          <cell r="F125" t="str">
            <v>€</v>
          </cell>
          <cell r="G125">
            <v>40</v>
          </cell>
        </row>
        <row r="126">
          <cell r="C126">
            <v>338502</v>
          </cell>
          <cell r="D126" t="str">
            <v>ROMARIN SURG COUPE</v>
          </cell>
          <cell r="E126">
            <v>0</v>
          </cell>
          <cell r="F126" t="str">
            <v>€</v>
          </cell>
          <cell r="G126">
            <v>2</v>
          </cell>
        </row>
        <row r="127">
          <cell r="C127">
            <v>338523</v>
          </cell>
          <cell r="D127" t="str">
            <v>CHOUX FARCIS CUIT ENVIRON 160G SURG</v>
          </cell>
          <cell r="E127">
            <v>4.310000347093669</v>
          </cell>
          <cell r="F127" t="str">
            <v>€</v>
          </cell>
          <cell r="G127">
            <v>17286.400000000001</v>
          </cell>
        </row>
        <row r="128">
          <cell r="C128">
            <v>338527</v>
          </cell>
          <cell r="D128" t="str">
            <v>POMME DE TERRE PDT RONDE PELEE PASTEURISE</v>
          </cell>
          <cell r="E128">
            <v>1.2350649898124078</v>
          </cell>
          <cell r="F128" t="str">
            <v>€</v>
          </cell>
          <cell r="G128">
            <v>14233</v>
          </cell>
        </row>
        <row r="129">
          <cell r="C129">
            <v>338625</v>
          </cell>
          <cell r="D129" t="str">
            <v>PORC FILET MIGNON 50/60 IQF VPF</v>
          </cell>
          <cell r="E129">
            <v>9.2653299492385788</v>
          </cell>
          <cell r="F129" t="str">
            <v>€</v>
          </cell>
          <cell r="G129">
            <v>9850</v>
          </cell>
        </row>
        <row r="130">
          <cell r="C130">
            <v>338626</v>
          </cell>
          <cell r="D130" t="str">
            <v>SAUMON PORTIONS DE FILET IQF NORVEGE SANS PEAU 80/90 G</v>
          </cell>
          <cell r="E130">
            <v>13.572561813186812</v>
          </cell>
          <cell r="F130" t="str">
            <v>€</v>
          </cell>
          <cell r="G130">
            <v>14560</v>
          </cell>
        </row>
        <row r="131">
          <cell r="C131">
            <v>338856</v>
          </cell>
          <cell r="D131" t="str">
            <v>BOULETTES DE VOLAILLE 20G SURG</v>
          </cell>
          <cell r="E131">
            <v>6.9207801418439718</v>
          </cell>
          <cell r="F131" t="str">
            <v>€</v>
          </cell>
          <cell r="G131">
            <v>7755</v>
          </cell>
        </row>
        <row r="132">
          <cell r="C132">
            <v>338857</v>
          </cell>
          <cell r="D132" t="str">
            <v>TSUKUNE BOULETTES  25G SURG</v>
          </cell>
          <cell r="E132">
            <v>7.05</v>
          </cell>
          <cell r="F132" t="str">
            <v>€</v>
          </cell>
          <cell r="G132">
            <v>230</v>
          </cell>
        </row>
        <row r="133">
          <cell r="C133">
            <v>338860</v>
          </cell>
          <cell r="D133" t="str">
            <v>BOULETTE BOEUF VBF 25G SURG</v>
          </cell>
          <cell r="E133">
            <v>8.9435430463576164</v>
          </cell>
          <cell r="F133" t="str">
            <v>€</v>
          </cell>
          <cell r="G133">
            <v>6040</v>
          </cell>
        </row>
        <row r="134">
          <cell r="C134">
            <v>339418</v>
          </cell>
          <cell r="D134" t="str">
            <v>BOEUF GRAINS DE VIANDE BOVINE VBF SURG CUIT SALE</v>
          </cell>
          <cell r="E134">
            <v>9.0776786833855798</v>
          </cell>
          <cell r="F134" t="str">
            <v>€</v>
          </cell>
          <cell r="G134">
            <v>12760</v>
          </cell>
        </row>
        <row r="135">
          <cell r="C135">
            <v>339421</v>
          </cell>
          <cell r="D135" t="str">
            <v>AGNEAU SOURIS 350 - 450 G</v>
          </cell>
          <cell r="E135">
            <v>10.792961752694362</v>
          </cell>
          <cell r="F135" t="str">
            <v>€</v>
          </cell>
          <cell r="G135">
            <v>18926.928</v>
          </cell>
        </row>
        <row r="136">
          <cell r="C136">
            <v>339424</v>
          </cell>
          <cell r="D136" t="str">
            <v>BOEUF LANGUE CUITE CGL 600 UP</v>
          </cell>
          <cell r="E136">
            <v>6.3999999017786893</v>
          </cell>
          <cell r="F136" t="str">
            <v>€</v>
          </cell>
          <cell r="G136">
            <v>20362.18</v>
          </cell>
        </row>
        <row r="137">
          <cell r="C137">
            <v>339426</v>
          </cell>
          <cell r="D137" t="str">
            <v>BŒUF SAUTE JARRET VBF 45G  CGL</v>
          </cell>
          <cell r="E137">
            <v>10.7026474091838</v>
          </cell>
          <cell r="F137" t="str">
            <v>€</v>
          </cell>
          <cell r="G137">
            <v>17855.57</v>
          </cell>
        </row>
        <row r="138">
          <cell r="C138">
            <v>339427</v>
          </cell>
          <cell r="D138" t="str">
            <v>BOEUF SAUTE 45G+/-10G COLLIER FRANCE VBF SURG</v>
          </cell>
          <cell r="E138">
            <v>10.756971108805509</v>
          </cell>
          <cell r="F138" t="str">
            <v>€</v>
          </cell>
          <cell r="G138">
            <v>7151.66</v>
          </cell>
        </row>
        <row r="139">
          <cell r="C139">
            <v>339434</v>
          </cell>
          <cell r="D139" t="str">
            <v>CANETTE CUISSE VF CALIBRE 150/200</v>
          </cell>
          <cell r="E139">
            <v>4.9929598374746051</v>
          </cell>
          <cell r="F139" t="str">
            <v>€</v>
          </cell>
          <cell r="G139">
            <v>63990</v>
          </cell>
        </row>
        <row r="140">
          <cell r="C140">
            <v>339439</v>
          </cell>
          <cell r="D140" t="str">
            <v>CANARD GRAISSE FONDUE CONGE</v>
          </cell>
          <cell r="E140">
            <v>3.5</v>
          </cell>
          <cell r="F140" t="str">
            <v>€</v>
          </cell>
          <cell r="G140">
            <v>9000</v>
          </cell>
        </row>
        <row r="141">
          <cell r="C141">
            <v>339444</v>
          </cell>
          <cell r="D141" t="str">
            <v>CHEVREUIL SAUTE 40/60 CGL ORIGINE UE</v>
          </cell>
          <cell r="E141">
            <v>8.3702875639025294</v>
          </cell>
          <cell r="F141" t="str">
            <v>€</v>
          </cell>
          <cell r="G141">
            <v>27261.244999999999</v>
          </cell>
        </row>
        <row r="142">
          <cell r="C142">
            <v>339455</v>
          </cell>
          <cell r="D142" t="str">
            <v>LAPIN CUISSE 170-200G CONG FRANCE</v>
          </cell>
          <cell r="E142">
            <v>8</v>
          </cell>
          <cell r="F142" t="str">
            <v>€</v>
          </cell>
          <cell r="G142">
            <v>8597.7950000000001</v>
          </cell>
        </row>
        <row r="143">
          <cell r="C143">
            <v>339460</v>
          </cell>
          <cell r="D143" t="str">
            <v>OMELETTE NATURE BROUILLES SURGELES OEUF FRANCE</v>
          </cell>
          <cell r="E143">
            <v>5.64</v>
          </cell>
          <cell r="F143" t="str">
            <v>€</v>
          </cell>
          <cell r="G143">
            <v>1300</v>
          </cell>
        </row>
        <row r="144">
          <cell r="C144">
            <v>339463</v>
          </cell>
          <cell r="D144" t="str">
            <v>OIE : FILET S/PEAU S/OS A/AIG 35/45g CGL</v>
          </cell>
          <cell r="E144">
            <v>9.18</v>
          </cell>
          <cell r="F144" t="str">
            <v>€</v>
          </cell>
          <cell r="G144">
            <v>1560</v>
          </cell>
        </row>
        <row r="145">
          <cell r="C145">
            <v>339468</v>
          </cell>
          <cell r="D145" t="str">
            <v>PORC EPAULE 4D VPF 40/60 CGL</v>
          </cell>
          <cell r="E145">
            <v>4.8599999999999994</v>
          </cell>
          <cell r="F145" t="str">
            <v>€</v>
          </cell>
          <cell r="G145">
            <v>17570</v>
          </cell>
        </row>
        <row r="146">
          <cell r="C146">
            <v>339475</v>
          </cell>
          <cell r="D146" t="str">
            <v>POULET AIGUILLETTE FRANCE SURG</v>
          </cell>
          <cell r="E146">
            <v>5.9346053772766698</v>
          </cell>
          <cell r="F146" t="str">
            <v>€</v>
          </cell>
          <cell r="G146">
            <v>11530</v>
          </cell>
        </row>
        <row r="147">
          <cell r="C147">
            <v>339478</v>
          </cell>
          <cell r="D147" t="str">
            <v>POULET HDC 130/160 UE surg</v>
          </cell>
          <cell r="E147">
            <v>3.0613207547169812</v>
          </cell>
          <cell r="F147" t="str">
            <v>€</v>
          </cell>
          <cell r="G147">
            <v>37100</v>
          </cell>
        </row>
        <row r="148">
          <cell r="C148">
            <v>339481</v>
          </cell>
          <cell r="D148" t="str">
            <v>POULET VIANDE DE ROUGE DE HDC S/OS S/P FRANCE SURG</v>
          </cell>
          <cell r="E148">
            <v>4.1440000000000001</v>
          </cell>
          <cell r="F148" t="str">
            <v>€</v>
          </cell>
          <cell r="G148">
            <v>13000</v>
          </cell>
        </row>
        <row r="149">
          <cell r="C149">
            <v>339484</v>
          </cell>
          <cell r="D149" t="str">
            <v>SANG DE PORC</v>
          </cell>
          <cell r="E149">
            <v>1.3</v>
          </cell>
          <cell r="F149" t="str">
            <v>€</v>
          </cell>
          <cell r="G149">
            <v>1750</v>
          </cell>
        </row>
        <row r="150">
          <cell r="C150">
            <v>339488</v>
          </cell>
          <cell r="D150" t="str">
            <v>VEAU SAUTE EPAULE/BAS CARRE U E 35/55</v>
          </cell>
          <cell r="E150">
            <v>11.799136757952033</v>
          </cell>
          <cell r="F150" t="str">
            <v>€</v>
          </cell>
          <cell r="G150">
            <v>11758</v>
          </cell>
        </row>
        <row r="151">
          <cell r="C151">
            <v>339491</v>
          </cell>
          <cell r="D151" t="str">
            <v>VEAU:PAUPIETT FARCE PORC 120G</v>
          </cell>
          <cell r="E151">
            <v>8.9621843003412955</v>
          </cell>
          <cell r="F151" t="str">
            <v>€</v>
          </cell>
          <cell r="G151">
            <v>30765</v>
          </cell>
        </row>
        <row r="152">
          <cell r="C152">
            <v>339492</v>
          </cell>
          <cell r="D152" t="str">
            <v>VEAU PAUPIETTE AVEC FICELLE LARDEE 140G IQF</v>
          </cell>
          <cell r="E152">
            <v>12.05</v>
          </cell>
          <cell r="F152" t="str">
            <v>€</v>
          </cell>
          <cell r="G152">
            <v>6090</v>
          </cell>
        </row>
        <row r="153">
          <cell r="C153">
            <v>339688</v>
          </cell>
          <cell r="D153" t="str">
            <v>CHATAIGNE D'EAU EMINCEES SURG DIAMETRE 20-40 MM</v>
          </cell>
          <cell r="E153">
            <v>3.67</v>
          </cell>
          <cell r="F153" t="str">
            <v>€</v>
          </cell>
          <cell r="G153">
            <v>400</v>
          </cell>
        </row>
        <row r="154">
          <cell r="C154">
            <v>339701</v>
          </cell>
          <cell r="D154" t="str">
            <v>CREVETTE DECO CUITE IQF DECORTIQUEE  BLANCHIE 300/500 SURG</v>
          </cell>
          <cell r="E154">
            <v>6.583333333333333</v>
          </cell>
          <cell r="F154" t="str">
            <v>€</v>
          </cell>
          <cell r="G154">
            <v>270</v>
          </cell>
        </row>
        <row r="155">
          <cell r="C155">
            <v>339719</v>
          </cell>
          <cell r="D155" t="str">
            <v>CARAMEL AROMATIQ FO</v>
          </cell>
          <cell r="E155">
            <v>1.7585</v>
          </cell>
          <cell r="F155" t="str">
            <v>€</v>
          </cell>
          <cell r="G155">
            <v>4040</v>
          </cell>
        </row>
        <row r="156">
          <cell r="C156">
            <v>339733</v>
          </cell>
          <cell r="D156" t="str">
            <v>EPICE 5 PARFUMS</v>
          </cell>
          <cell r="E156">
            <v>16.82</v>
          </cell>
          <cell r="F156" t="str">
            <v>€</v>
          </cell>
          <cell r="G156">
            <v>133</v>
          </cell>
        </row>
        <row r="157">
          <cell r="C157">
            <v>339737</v>
          </cell>
          <cell r="D157" t="str">
            <v>HUILE DE SESAME</v>
          </cell>
          <cell r="E157">
            <v>6.02</v>
          </cell>
          <cell r="F157" t="str">
            <v>€</v>
          </cell>
          <cell r="G157">
            <v>4600</v>
          </cell>
        </row>
        <row r="158">
          <cell r="C158">
            <v>339741</v>
          </cell>
          <cell r="D158" t="str">
            <v xml:space="preserve">TORTILLA BLE 8*15CM 240G COLZA NOUVEAU ZD GLY + GLY </v>
          </cell>
          <cell r="E158">
            <v>0.72249999999999992</v>
          </cell>
          <cell r="F158" t="str">
            <v>€</v>
          </cell>
          <cell r="G158">
            <v>76464</v>
          </cell>
        </row>
        <row r="159">
          <cell r="C159">
            <v>339742</v>
          </cell>
          <cell r="D159" t="str">
            <v>SPAETZLE PLAT 7 OEUFS PLEIN AIR</v>
          </cell>
          <cell r="E159">
            <v>3.2919973544973544</v>
          </cell>
          <cell r="F159" t="str">
            <v>€</v>
          </cell>
          <cell r="G159">
            <v>2268</v>
          </cell>
        </row>
        <row r="160">
          <cell r="C160">
            <v>339884</v>
          </cell>
          <cell r="D160" t="str">
            <v>SESAME GRAINE DORE</v>
          </cell>
          <cell r="E160">
            <v>5.28</v>
          </cell>
          <cell r="F160" t="str">
            <v>€</v>
          </cell>
          <cell r="G160">
            <v>50</v>
          </cell>
        </row>
        <row r="161">
          <cell r="C161">
            <v>339895</v>
          </cell>
          <cell r="D161" t="str">
            <v>VIN DE MONBAZILLAC DENATURE</v>
          </cell>
          <cell r="E161">
            <v>5.17</v>
          </cell>
          <cell r="F161" t="str">
            <v>€</v>
          </cell>
          <cell r="G161">
            <v>200</v>
          </cell>
        </row>
        <row r="162">
          <cell r="C162">
            <v>340001</v>
          </cell>
          <cell r="D162" t="str">
            <v xml:space="preserve">AGAR AGAR </v>
          </cell>
          <cell r="E162">
            <v>38.11</v>
          </cell>
          <cell r="F162" t="str">
            <v>€</v>
          </cell>
          <cell r="G162">
            <v>100</v>
          </cell>
        </row>
        <row r="163">
          <cell r="C163">
            <v>340009</v>
          </cell>
          <cell r="D163" t="str">
            <v>LEGUMES COUSCOUS (LME51003)</v>
          </cell>
          <cell r="E163">
            <v>1.0643330434095044</v>
          </cell>
          <cell r="F163" t="str">
            <v>€</v>
          </cell>
          <cell r="G163">
            <v>63235</v>
          </cell>
        </row>
        <row r="164">
          <cell r="C164">
            <v>340012</v>
          </cell>
          <cell r="D164" t="str">
            <v>POIREAUX CUBE 10x10 NON BLANCHI SGL (LPE53009)</v>
          </cell>
          <cell r="E164">
            <v>1.1000000000000001</v>
          </cell>
          <cell r="F164" t="str">
            <v>€</v>
          </cell>
          <cell r="G164">
            <v>2160</v>
          </cell>
        </row>
        <row r="165">
          <cell r="C165">
            <v>340111</v>
          </cell>
          <cell r="D165" t="str">
            <v>POULET HDC 130-160 FRANCE FRAIS</v>
          </cell>
          <cell r="E165">
            <v>2.71</v>
          </cell>
          <cell r="F165" t="str">
            <v>€</v>
          </cell>
          <cell r="G165">
            <v>-180</v>
          </cell>
        </row>
        <row r="166">
          <cell r="C166">
            <v>340112</v>
          </cell>
          <cell r="D166" t="str">
            <v>CANE CANARD FILET 200/280G MAIGRE origine France</v>
          </cell>
          <cell r="E166">
            <v>5.1000004068029323</v>
          </cell>
          <cell r="F166" t="str">
            <v>€</v>
          </cell>
          <cell r="G166">
            <v>9095.3130000000001</v>
          </cell>
        </row>
        <row r="167">
          <cell r="C167">
            <v>340113</v>
          </cell>
          <cell r="D167" t="str">
            <v>POULET HDC 100/130 FRANCE SURG</v>
          </cell>
          <cell r="E167">
            <v>2.9563513115237252</v>
          </cell>
          <cell r="F167" t="str">
            <v>€</v>
          </cell>
          <cell r="G167">
            <v>67860</v>
          </cell>
        </row>
        <row r="168">
          <cell r="C168">
            <v>340282</v>
          </cell>
          <cell r="D168" t="str">
            <v>CITRONNELLE EMINCEE  POUDRE NEIGE SURG</v>
          </cell>
          <cell r="E168">
            <v>5.8644680851063837</v>
          </cell>
          <cell r="F168" t="str">
            <v>€</v>
          </cell>
          <cell r="G168">
            <v>470</v>
          </cell>
        </row>
        <row r="169">
          <cell r="C169">
            <v>340338</v>
          </cell>
          <cell r="D169" t="str">
            <v>COCO POUDRE</v>
          </cell>
          <cell r="E169">
            <v>7.6175796178343953</v>
          </cell>
          <cell r="F169" t="str">
            <v>€</v>
          </cell>
          <cell r="G169">
            <v>2355</v>
          </cell>
        </row>
        <row r="170">
          <cell r="C170">
            <v>340339</v>
          </cell>
          <cell r="D170" t="str">
            <v xml:space="preserve">GINGEMBRE POUDRE </v>
          </cell>
          <cell r="E170">
            <v>8.07</v>
          </cell>
          <cell r="F170" t="str">
            <v>€</v>
          </cell>
          <cell r="G170">
            <v>275</v>
          </cell>
        </row>
        <row r="171">
          <cell r="C171">
            <v>340362</v>
          </cell>
          <cell r="D171" t="str">
            <v>CLOU DE GIROFLE POUDRE</v>
          </cell>
          <cell r="E171">
            <v>8.7299999999999986</v>
          </cell>
          <cell r="F171" t="str">
            <v>€</v>
          </cell>
          <cell r="G171">
            <v>15</v>
          </cell>
        </row>
        <row r="172">
          <cell r="C172">
            <v>340368</v>
          </cell>
          <cell r="D172" t="str">
            <v>MOUTARDE NOIRE GRAIN</v>
          </cell>
          <cell r="E172">
            <v>4.41</v>
          </cell>
          <cell r="F172" t="str">
            <v>€</v>
          </cell>
          <cell r="G172">
            <v>125</v>
          </cell>
        </row>
        <row r="173">
          <cell r="C173">
            <v>340371</v>
          </cell>
          <cell r="D173" t="str">
            <v>POIVRE VERT SAUMURE</v>
          </cell>
          <cell r="E173">
            <v>9.7299999999999986</v>
          </cell>
          <cell r="F173" t="str">
            <v>€</v>
          </cell>
          <cell r="G173">
            <v>120</v>
          </cell>
        </row>
        <row r="174">
          <cell r="C174">
            <v>340380</v>
          </cell>
          <cell r="D174" t="str">
            <v>POMME DE TERRE 10X10X10 CUBE SURG BLANCHI FRANCE</v>
          </cell>
          <cell r="E174">
            <v>1.05</v>
          </cell>
          <cell r="F174" t="str">
            <v>€</v>
          </cell>
          <cell r="G174">
            <v>2880</v>
          </cell>
        </row>
        <row r="175">
          <cell r="C175">
            <v>340381</v>
          </cell>
          <cell r="D175" t="str">
            <v>GOCHUJANG SAUCE LIQUIDE</v>
          </cell>
          <cell r="E175">
            <v>8.5599999999999987</v>
          </cell>
          <cell r="F175" t="str">
            <v>€</v>
          </cell>
          <cell r="G175">
            <v>10</v>
          </cell>
        </row>
        <row r="176">
          <cell r="C176">
            <v>340382</v>
          </cell>
          <cell r="D176" t="str">
            <v>YAOURT POUDRE</v>
          </cell>
          <cell r="E176">
            <v>9.5649999999999995</v>
          </cell>
          <cell r="F176" t="str">
            <v>€</v>
          </cell>
          <cell r="G176">
            <v>200</v>
          </cell>
        </row>
        <row r="177">
          <cell r="C177">
            <v>340384</v>
          </cell>
          <cell r="D177" t="str">
            <v>ABRICOTS SECS n°3</v>
          </cell>
          <cell r="E177">
            <v>8.6013157894736842</v>
          </cell>
          <cell r="F177" t="str">
            <v>€</v>
          </cell>
          <cell r="G177">
            <v>3800</v>
          </cell>
        </row>
        <row r="178">
          <cell r="C178">
            <v>340386</v>
          </cell>
          <cell r="D178" t="str">
            <v>CAROTTE 10*10 BLANCHI CUBE SURG (LCA49012)</v>
          </cell>
          <cell r="E178">
            <v>0.78400000000000003</v>
          </cell>
          <cell r="F178" t="str">
            <v>€</v>
          </cell>
          <cell r="G178">
            <v>3600</v>
          </cell>
        </row>
        <row r="179">
          <cell r="C179">
            <v>340390</v>
          </cell>
          <cell r="D179" t="str">
            <v>CELERI BRANCHE BLANCHI 26MM SGL (LCL51004)</v>
          </cell>
          <cell r="E179">
            <v>0.97039999999999993</v>
          </cell>
          <cell r="F179" t="str">
            <v>€</v>
          </cell>
          <cell r="G179">
            <v>3000</v>
          </cell>
        </row>
        <row r="180">
          <cell r="C180">
            <v>340395</v>
          </cell>
          <cell r="D180" t="str">
            <v>CORNICHONS RONDELLES 40/60</v>
          </cell>
          <cell r="E180">
            <v>2.0710880248297268</v>
          </cell>
          <cell r="F180" t="str">
            <v>€</v>
          </cell>
          <cell r="G180">
            <v>23198</v>
          </cell>
        </row>
        <row r="181">
          <cell r="C181">
            <v>340396</v>
          </cell>
          <cell r="D181" t="str">
            <v>COURGETTE CUBE 10*10 NON BLANCHI SURG (LCR10003)</v>
          </cell>
          <cell r="E181">
            <v>0.91666666666666663</v>
          </cell>
          <cell r="F181" t="str">
            <v>€</v>
          </cell>
          <cell r="G181">
            <v>4320</v>
          </cell>
        </row>
        <row r="182">
          <cell r="C182">
            <v>340397</v>
          </cell>
          <cell r="D182" t="str">
            <v>COURGETTE 1/4 ROND FRAIS</v>
          </cell>
          <cell r="E182">
            <v>2.75</v>
          </cell>
          <cell r="F182" t="str">
            <v>€</v>
          </cell>
          <cell r="G182">
            <v>5260</v>
          </cell>
        </row>
        <row r="183">
          <cell r="C183">
            <v>340405</v>
          </cell>
          <cell r="D183" t="str">
            <v>NAVET 1/4 ROND FRAIS</v>
          </cell>
          <cell r="E183">
            <v>2.38</v>
          </cell>
          <cell r="F183" t="str">
            <v>€</v>
          </cell>
          <cell r="G183">
            <v>2760</v>
          </cell>
        </row>
        <row r="184">
          <cell r="C184">
            <v>340417</v>
          </cell>
          <cell r="D184" t="str">
            <v>MADÈRE MODIFIÉ SEL &amp; POIVRE</v>
          </cell>
          <cell r="E184">
            <v>3.41</v>
          </cell>
          <cell r="F184" t="str">
            <v>€</v>
          </cell>
          <cell r="G184">
            <v>3000</v>
          </cell>
        </row>
        <row r="185">
          <cell r="C185">
            <v>340423</v>
          </cell>
          <cell r="D185" t="str">
            <v>CALAMAR ANNEAUX 60 UP LOLIGOT SPP SURGELES</v>
          </cell>
          <cell r="E185">
            <v>5.3312626603646187</v>
          </cell>
          <cell r="F185" t="str">
            <v>€</v>
          </cell>
          <cell r="G185">
            <v>14810</v>
          </cell>
        </row>
        <row r="186">
          <cell r="C186">
            <v>340529</v>
          </cell>
          <cell r="D186" t="str">
            <v>BOEUF LAMELLES PRÉCUITES IQF</v>
          </cell>
          <cell r="E186">
            <v>13.668225954198475</v>
          </cell>
          <cell r="F186" t="str">
            <v>€</v>
          </cell>
          <cell r="G186">
            <v>9825</v>
          </cell>
        </row>
        <row r="187">
          <cell r="C187">
            <v>340533</v>
          </cell>
          <cell r="D187" t="str">
            <v>PORC CHORIZO 3G PUR PORC D32 SANS CONSERV ORIGINE FRANCE IQF</v>
          </cell>
          <cell r="E187">
            <v>6.5200000000000005</v>
          </cell>
          <cell r="F187" t="str">
            <v>€</v>
          </cell>
          <cell r="G187">
            <v>2360</v>
          </cell>
        </row>
        <row r="188">
          <cell r="C188">
            <v>340534</v>
          </cell>
          <cell r="D188" t="str">
            <v>PORC ROGNONS VPF BLOC 25 SURG</v>
          </cell>
          <cell r="E188">
            <v>0.97697393815020617</v>
          </cell>
          <cell r="F188" t="str">
            <v>€</v>
          </cell>
          <cell r="G188">
            <v>29586.387999999999</v>
          </cell>
        </row>
        <row r="189">
          <cell r="C189">
            <v>340578</v>
          </cell>
          <cell r="D189" t="str">
            <v>NOUILLES NODDLE SANS OEUFS QUICK COOKING</v>
          </cell>
          <cell r="E189">
            <v>2.269329050678087</v>
          </cell>
          <cell r="F189" t="str">
            <v>€</v>
          </cell>
          <cell r="G189">
            <v>21015</v>
          </cell>
        </row>
        <row r="190">
          <cell r="C190">
            <v>340581</v>
          </cell>
          <cell r="D190" t="str">
            <v>COLIN LIEU 110G S/A SURG MORCEAUX INF OU EGAL 13CM</v>
          </cell>
          <cell r="E190">
            <v>9</v>
          </cell>
          <cell r="F190" t="str">
            <v>€</v>
          </cell>
          <cell r="G190">
            <v>5670</v>
          </cell>
        </row>
        <row r="191">
          <cell r="C191">
            <v>340664</v>
          </cell>
          <cell r="D191" t="str">
            <v>GIROLLES ENTIERES 20-40 MM BLANCHIES IQF (CGI05002)</v>
          </cell>
          <cell r="E191">
            <v>12</v>
          </cell>
          <cell r="F191" t="str">
            <v>€</v>
          </cell>
          <cell r="G191">
            <v>2240</v>
          </cell>
        </row>
        <row r="192">
          <cell r="C192">
            <v>340867</v>
          </cell>
          <cell r="D192" t="str">
            <v>CUBES SAUMON 15X15X15 MM ATLANTIQUE IQF SANS PEAU</v>
          </cell>
          <cell r="E192">
            <v>11.217315175097276</v>
          </cell>
          <cell r="F192" t="str">
            <v>€</v>
          </cell>
          <cell r="G192">
            <v>2570</v>
          </cell>
        </row>
        <row r="193">
          <cell r="C193">
            <v>340997</v>
          </cell>
          <cell r="D193" t="str">
            <v>AMIDON DE RIZ BIO</v>
          </cell>
          <cell r="E193">
            <v>4.76</v>
          </cell>
          <cell r="F193" t="str">
            <v>€</v>
          </cell>
          <cell r="G193">
            <v>100</v>
          </cell>
        </row>
        <row r="194">
          <cell r="C194">
            <v>340998</v>
          </cell>
          <cell r="D194" t="str">
            <v>POUDRE DE LAIT ECREME BIO</v>
          </cell>
          <cell r="E194">
            <v>4.4000000000000004</v>
          </cell>
          <cell r="F194" t="str">
            <v>€</v>
          </cell>
          <cell r="G194">
            <v>50</v>
          </cell>
        </row>
        <row r="195">
          <cell r="C195">
            <v>340999</v>
          </cell>
          <cell r="D195" t="str">
            <v>FARINE MANIOC HOMECRAFT CREATE 365 tapioca</v>
          </cell>
          <cell r="E195">
            <v>5.59</v>
          </cell>
          <cell r="F195" t="str">
            <v>€</v>
          </cell>
          <cell r="G195">
            <v>12000</v>
          </cell>
        </row>
        <row r="196">
          <cell r="C196">
            <v>341459</v>
          </cell>
          <cell r="D196" t="str">
            <v>DINDE ESCALOPE MILANAISE 100 +/-5G IQF</v>
          </cell>
          <cell r="E196">
            <v>5.8</v>
          </cell>
          <cell r="F196" t="str">
            <v>€</v>
          </cell>
          <cell r="G196">
            <v>13440</v>
          </cell>
        </row>
        <row r="197">
          <cell r="C197">
            <v>341485</v>
          </cell>
          <cell r="D197" t="str">
            <v>AMANDES ENTIERES EMONDEES</v>
          </cell>
          <cell r="E197">
            <v>9.77</v>
          </cell>
          <cell r="F197" t="str">
            <v>€</v>
          </cell>
          <cell r="G197">
            <v>310</v>
          </cell>
        </row>
        <row r="198">
          <cell r="C198">
            <v>341591</v>
          </cell>
          <cell r="D198" t="str">
            <v xml:space="preserve">BROCOLIS BLANCHI FLEURETTE 20-40 mm IQF </v>
          </cell>
          <cell r="E198">
            <v>1.5049999999999999</v>
          </cell>
          <cell r="F198" t="str">
            <v>€</v>
          </cell>
          <cell r="G198">
            <v>2520</v>
          </cell>
        </row>
        <row r="199">
          <cell r="C199">
            <v>341619</v>
          </cell>
          <cell r="D199" t="str">
            <v>POULET CRU VF  FILET MORCEAUX CGL</v>
          </cell>
          <cell r="E199">
            <v>4.9622166113660766</v>
          </cell>
          <cell r="F199" t="str">
            <v>€</v>
          </cell>
          <cell r="G199">
            <v>41606.247000000003</v>
          </cell>
        </row>
        <row r="200">
          <cell r="C200">
            <v>341620</v>
          </cell>
          <cell r="D200" t="str">
            <v>POULET CRU FILET UE FRAIS OU SURG</v>
          </cell>
          <cell r="E200">
            <v>4.929450199459529</v>
          </cell>
          <cell r="F200" t="str">
            <v>€</v>
          </cell>
          <cell r="G200">
            <v>31084</v>
          </cell>
        </row>
        <row r="201">
          <cell r="C201">
            <v>343107</v>
          </cell>
          <cell r="D201" t="str">
            <v>COURGE BUTTERNUT BLANCHI CUBE 10x10 IQF (LC510003)</v>
          </cell>
          <cell r="E201">
            <v>2.2000000000000002</v>
          </cell>
          <cell r="F201" t="str">
            <v>€</v>
          </cell>
          <cell r="G201">
            <v>360</v>
          </cell>
        </row>
        <row r="202">
          <cell r="C202">
            <v>343161</v>
          </cell>
          <cell r="D202" t="str">
            <v>VIN ROUGE DE BUZET</v>
          </cell>
          <cell r="E202">
            <v>1.7667044580805835</v>
          </cell>
          <cell r="F202" t="str">
            <v>€</v>
          </cell>
          <cell r="G202">
            <v>14800.54</v>
          </cell>
        </row>
        <row r="203">
          <cell r="C203">
            <v>343162</v>
          </cell>
          <cell r="D203" t="str">
            <v>VIN ROUGE COTEAUX BOURGUIGNONS AOC</v>
          </cell>
          <cell r="E203">
            <v>3.3</v>
          </cell>
          <cell r="F203" t="str">
            <v>€</v>
          </cell>
          <cell r="G203">
            <v>3000</v>
          </cell>
        </row>
        <row r="204">
          <cell r="C204">
            <v>343163</v>
          </cell>
          <cell r="D204" t="str">
            <v>CHAMPIGNON DE PARIS QUARTIER SURGELE S02 INF ORIG POLOGNE (14210</v>
          </cell>
          <cell r="E204">
            <v>1.9747692307692306</v>
          </cell>
          <cell r="F204" t="str">
            <v>€</v>
          </cell>
          <cell r="G204">
            <v>28080</v>
          </cell>
        </row>
        <row r="205">
          <cell r="C205">
            <v>343904</v>
          </cell>
          <cell r="D205" t="str">
            <v>MORUE 7.5KG SEL 2%</v>
          </cell>
          <cell r="E205">
            <v>3.4</v>
          </cell>
          <cell r="F205" t="str">
            <v>€</v>
          </cell>
          <cell r="G205">
            <v>2160</v>
          </cell>
        </row>
        <row r="206">
          <cell r="C206">
            <v>343915</v>
          </cell>
          <cell r="D206" t="str">
            <v>FEVES DE SOJA BLANCHI IQF (LSO10003)</v>
          </cell>
          <cell r="E206">
            <v>2.42</v>
          </cell>
          <cell r="F206" t="str">
            <v>€</v>
          </cell>
          <cell r="G206">
            <v>1620</v>
          </cell>
        </row>
        <row r="207">
          <cell r="C207">
            <v>343918</v>
          </cell>
          <cell r="D207" t="str">
            <v>MIX SAUCE HOISIN EE00779</v>
          </cell>
          <cell r="E207">
            <v>15.8</v>
          </cell>
          <cell r="F207" t="str">
            <v>€</v>
          </cell>
          <cell r="G207">
            <v>30</v>
          </cell>
        </row>
        <row r="208">
          <cell r="C208">
            <v>343938</v>
          </cell>
          <cell r="D208" t="str">
            <v>AROME NATUREL TERIYAKI ( EE00639)</v>
          </cell>
          <cell r="E208">
            <v>16.750388802488335</v>
          </cell>
          <cell r="F208" t="str">
            <v>€</v>
          </cell>
          <cell r="G208">
            <v>64.3</v>
          </cell>
        </row>
        <row r="209">
          <cell r="C209">
            <v>345558</v>
          </cell>
          <cell r="D209" t="str">
            <v>COMBAWA FEUILLES SGL</v>
          </cell>
          <cell r="E209">
            <v>10.6975</v>
          </cell>
          <cell r="F209" t="str">
            <v>€</v>
          </cell>
          <cell r="G209">
            <v>96</v>
          </cell>
        </row>
        <row r="210">
          <cell r="C210">
            <v>345849</v>
          </cell>
          <cell r="D210" t="str">
            <v>PORC JAMBON TALONS CUIT SUPERIEUR FRAIS 5KG VPF</v>
          </cell>
          <cell r="E210">
            <v>4.28</v>
          </cell>
          <cell r="F210" t="str">
            <v>€</v>
          </cell>
          <cell r="G210">
            <v>2950</v>
          </cell>
        </row>
        <row r="211">
          <cell r="C211">
            <v>346118</v>
          </cell>
          <cell r="D211" t="str">
            <v>CREVETTE ENTIÈRE CRUE ELEVAGE 40/50 CGL</v>
          </cell>
          <cell r="E211">
            <v>5.9797774552491534</v>
          </cell>
          <cell r="F211" t="str">
            <v>€</v>
          </cell>
          <cell r="G211">
            <v>16536</v>
          </cell>
        </row>
        <row r="212">
          <cell r="C212">
            <v>346161</v>
          </cell>
          <cell r="D212" t="str">
            <v>MERGUEZ BOEUF MOUTON CRUE 34G FR</v>
          </cell>
          <cell r="E212">
            <v>8.1347942864119158</v>
          </cell>
          <cell r="F212" t="str">
            <v>€</v>
          </cell>
          <cell r="G212">
            <v>16382</v>
          </cell>
        </row>
        <row r="213">
          <cell r="C213">
            <v>346662</v>
          </cell>
          <cell r="D213" t="str">
            <v>GINGEMBRE CUBE 4X4X4 CGL</v>
          </cell>
          <cell r="E213">
            <v>4.4791774891774887</v>
          </cell>
          <cell r="F213" t="str">
            <v>€</v>
          </cell>
          <cell r="G213">
            <v>2310</v>
          </cell>
        </row>
        <row r="214">
          <cell r="C214">
            <v>346951</v>
          </cell>
          <cell r="D214" t="str">
            <v>PORC LARDON CUIT FUME VPF 8X10XHP IQF</v>
          </cell>
          <cell r="E214">
            <v>7.0773986261910036</v>
          </cell>
          <cell r="F214" t="str">
            <v>€</v>
          </cell>
          <cell r="G214">
            <v>9026</v>
          </cell>
        </row>
        <row r="215">
          <cell r="C215">
            <v>346952</v>
          </cell>
          <cell r="D215" t="str">
            <v>PORC POITRINE CRUE FUMEE CHOIX 1/8 TR 10MM VPF IQF</v>
          </cell>
          <cell r="E215">
            <v>7.65</v>
          </cell>
          <cell r="F215" t="str">
            <v>€</v>
          </cell>
          <cell r="G215">
            <v>1080</v>
          </cell>
        </row>
        <row r="216">
          <cell r="C216">
            <v>346953</v>
          </cell>
          <cell r="D216" t="str">
            <v>PORC LARDON CUIT FUMÉ 8X10XHP JDL SURGELÉ IQF VPF</v>
          </cell>
          <cell r="E216">
            <v>7.55</v>
          </cell>
          <cell r="F216" t="str">
            <v>€</v>
          </cell>
          <cell r="G216">
            <v>1000</v>
          </cell>
        </row>
        <row r="217">
          <cell r="C217">
            <v>347068</v>
          </cell>
          <cell r="D217" t="str">
            <v>OLIVE ENTIERE DENOYAUTE (sans gluco)</v>
          </cell>
          <cell r="E217">
            <v>4.1500000000000004</v>
          </cell>
          <cell r="F217" t="str">
            <v>€</v>
          </cell>
          <cell r="G217">
            <v>3200</v>
          </cell>
        </row>
        <row r="218">
          <cell r="C218">
            <v>347195</v>
          </cell>
          <cell r="D218" t="str">
            <v>POULET HDC 130/160 FRANCE SGL</v>
          </cell>
          <cell r="E218">
            <v>2.8665137145294279</v>
          </cell>
          <cell r="F218" t="str">
            <v>€</v>
          </cell>
          <cell r="G218">
            <v>100316.785</v>
          </cell>
        </row>
        <row r="219">
          <cell r="C219">
            <v>347196</v>
          </cell>
          <cell r="D219" t="str">
            <v>POULET PILON 100/120 FRANCE SGL</v>
          </cell>
          <cell r="E219">
            <v>2.6200969824934353</v>
          </cell>
          <cell r="F219" t="str">
            <v>€</v>
          </cell>
          <cell r="G219">
            <v>39416.186000000002</v>
          </cell>
        </row>
        <row r="220">
          <cell r="C220">
            <v>347198</v>
          </cell>
          <cell r="D220" t="str">
            <v>BŒUF PALERON 160/180 PAVE VBF SG</v>
          </cell>
          <cell r="E220">
            <v>7.6029977232481665</v>
          </cell>
          <cell r="F220" t="str">
            <v>€</v>
          </cell>
          <cell r="G220">
            <v>790.6</v>
          </cell>
        </row>
        <row r="221">
          <cell r="C221">
            <v>347199</v>
          </cell>
          <cell r="D221" t="str">
            <v xml:space="preserve">ZESTE CITRON JAUNE LANIERE IQF </v>
          </cell>
          <cell r="E221">
            <v>9.7513636363636369</v>
          </cell>
          <cell r="F221" t="str">
            <v>€</v>
          </cell>
          <cell r="G221">
            <v>220</v>
          </cell>
        </row>
        <row r="222">
          <cell r="C222">
            <v>347200</v>
          </cell>
          <cell r="D222" t="str">
            <v xml:space="preserve">RAISIN GOLDEN CHOISE AFS </v>
          </cell>
          <cell r="E222">
            <v>4.234</v>
          </cell>
          <cell r="F222" t="str">
            <v>€</v>
          </cell>
          <cell r="G222">
            <v>4000</v>
          </cell>
        </row>
        <row r="223">
          <cell r="C223">
            <v>347201</v>
          </cell>
          <cell r="D223" t="str">
            <v>SAUCE SOJA JAPONAISE SALE CUVE 1000L (ou BIDON 4,5L 5,3KG)</v>
          </cell>
          <cell r="E223">
            <v>2.2004095755949438</v>
          </cell>
          <cell r="F223" t="str">
            <v>€</v>
          </cell>
          <cell r="G223">
            <v>14161</v>
          </cell>
        </row>
        <row r="224">
          <cell r="C224">
            <v>347203</v>
          </cell>
          <cell r="D224" t="str">
            <v xml:space="preserve">OIGNON QUARTIER FRAIS </v>
          </cell>
          <cell r="E224">
            <v>3.3</v>
          </cell>
          <cell r="F224" t="str">
            <v>€</v>
          </cell>
          <cell r="G224">
            <v>2630</v>
          </cell>
        </row>
        <row r="225">
          <cell r="C225">
            <v>347213</v>
          </cell>
          <cell r="D225" t="str">
            <v>BOEUF SAUTE PALERON FR 40G CGL</v>
          </cell>
          <cell r="E225">
            <v>11.89212013956921</v>
          </cell>
          <cell r="F225" t="str">
            <v>€</v>
          </cell>
          <cell r="G225">
            <v>10758.82</v>
          </cell>
        </row>
        <row r="226">
          <cell r="C226">
            <v>347216</v>
          </cell>
          <cell r="D226" t="str">
            <v>PUREE DE TAMARIN (3x6kg)</v>
          </cell>
          <cell r="E226">
            <v>6.443888888888889</v>
          </cell>
          <cell r="F226" t="str">
            <v>€</v>
          </cell>
          <cell r="G226">
            <v>36</v>
          </cell>
        </row>
        <row r="227">
          <cell r="C227">
            <v>347273</v>
          </cell>
          <cell r="D227" t="str">
            <v>ABRICOT CONFITURE 35% boite 5kg</v>
          </cell>
          <cell r="E227">
            <v>4.4000000000000004</v>
          </cell>
          <cell r="F227" t="str">
            <v>€</v>
          </cell>
          <cell r="G227">
            <v>60</v>
          </cell>
        </row>
        <row r="228">
          <cell r="C228">
            <v>347548</v>
          </cell>
          <cell r="D228" t="str">
            <v>GUACAMOLE COUPELLE 0.100KG</v>
          </cell>
          <cell r="E228">
            <v>0.80500000000000005</v>
          </cell>
          <cell r="F228" t="str">
            <v>€</v>
          </cell>
          <cell r="G228">
            <v>108000</v>
          </cell>
        </row>
        <row r="229">
          <cell r="C229">
            <v>348565</v>
          </cell>
          <cell r="D229" t="str">
            <v xml:space="preserve">CHOU CHINOIS EMINCES </v>
          </cell>
          <cell r="E229">
            <v>3</v>
          </cell>
          <cell r="F229" t="str">
            <v>€</v>
          </cell>
          <cell r="G229">
            <v>880</v>
          </cell>
        </row>
        <row r="230">
          <cell r="C230">
            <v>350001</v>
          </cell>
          <cell r="D230" t="str">
            <v xml:space="preserve">BEURRE DOUX 82 % BIO </v>
          </cell>
          <cell r="E230">
            <v>10.08047619047619</v>
          </cell>
          <cell r="F230" t="str">
            <v>€</v>
          </cell>
          <cell r="G230">
            <v>105</v>
          </cell>
        </row>
        <row r="231">
          <cell r="C231">
            <v>350002</v>
          </cell>
          <cell r="D231" t="str">
            <v>CAROTTE CUBE 10X10 BIO SURGELEES origine france</v>
          </cell>
          <cell r="E231">
            <v>1.17</v>
          </cell>
          <cell r="F231" t="str">
            <v>€</v>
          </cell>
          <cell r="G231">
            <v>720</v>
          </cell>
        </row>
        <row r="232">
          <cell r="C232">
            <v>350013</v>
          </cell>
          <cell r="D232" t="str">
            <v>BROCOLIS BIO SURGELES fleurettes origine france</v>
          </cell>
          <cell r="E232">
            <v>1.85</v>
          </cell>
          <cell r="F232" t="str">
            <v>€</v>
          </cell>
          <cell r="G232">
            <v>795</v>
          </cell>
        </row>
        <row r="233">
          <cell r="C233">
            <v>350023</v>
          </cell>
          <cell r="D233" t="str">
            <v>POMMES DE TERRE CUBE BIO SURGELEES  IQF  origine france</v>
          </cell>
          <cell r="E233">
            <v>1.08</v>
          </cell>
          <cell r="F233" t="str">
            <v>€</v>
          </cell>
          <cell r="G233">
            <v>420</v>
          </cell>
        </row>
        <row r="234">
          <cell r="C234">
            <v>350024</v>
          </cell>
          <cell r="D234" t="str">
            <v>AROME NATUREL VEAU CC00215 EN 15KG</v>
          </cell>
          <cell r="E234">
            <v>7.2003960396039606</v>
          </cell>
          <cell r="F234" t="str">
            <v>€</v>
          </cell>
          <cell r="G234">
            <v>3030</v>
          </cell>
        </row>
        <row r="235">
          <cell r="C235">
            <v>350026</v>
          </cell>
          <cell r="D235" t="str">
            <v>AROME NATUREL FOND DE BOEUF CA00650 EN 15KG</v>
          </cell>
          <cell r="E235">
            <v>7.2125000000000004</v>
          </cell>
          <cell r="F235" t="str">
            <v>€</v>
          </cell>
          <cell r="G235">
            <v>2040</v>
          </cell>
        </row>
        <row r="236">
          <cell r="C236">
            <v>350027</v>
          </cell>
          <cell r="D236" t="str">
            <v>AROME NATUREL VOLAILLE CD00954 EN 15KG</v>
          </cell>
          <cell r="E236">
            <v>5.2</v>
          </cell>
          <cell r="F236" t="str">
            <v>€</v>
          </cell>
          <cell r="G236">
            <v>2550</v>
          </cell>
        </row>
        <row r="237">
          <cell r="C237">
            <v>350028</v>
          </cell>
          <cell r="D237" t="str">
            <v>AROME NATUREL FOND DE CANARD CD00953 EN 15KG</v>
          </cell>
          <cell r="E237">
            <v>15.95</v>
          </cell>
          <cell r="F237" t="str">
            <v>€</v>
          </cell>
          <cell r="G237">
            <v>510</v>
          </cell>
        </row>
        <row r="238">
          <cell r="C238">
            <v>350056</v>
          </cell>
          <cell r="D238" t="str">
            <v>FOND DE VOLAILLE ROTIE - LES CUISINES (3333-10)</v>
          </cell>
          <cell r="E238">
            <v>10.832075471698113</v>
          </cell>
          <cell r="F238" t="str">
            <v>€</v>
          </cell>
          <cell r="G238">
            <v>265</v>
          </cell>
        </row>
        <row r="239">
          <cell r="C239">
            <v>360018</v>
          </cell>
          <cell r="D239" t="str">
            <v>CEPES MORCEAUX NON BLANCHI 2/3CM IQF CAT A 1X10KG (CCE10005)</v>
          </cell>
          <cell r="E239">
            <v>8.0500000000000007</v>
          </cell>
          <cell r="F239" t="str">
            <v>€</v>
          </cell>
          <cell r="G239">
            <v>5040</v>
          </cell>
        </row>
        <row r="240">
          <cell r="C240">
            <v>360019</v>
          </cell>
          <cell r="D240" t="str">
            <v>SHIITAKE LAMELLE SURG CHAMPIGNON</v>
          </cell>
          <cell r="E240">
            <v>3.8</v>
          </cell>
          <cell r="F240" t="str">
            <v>€</v>
          </cell>
          <cell r="G240">
            <v>150</v>
          </cell>
        </row>
        <row r="241">
          <cell r="C241">
            <v>360377</v>
          </cell>
          <cell r="D241" t="str">
            <v>GELATINE BOVINE 250 BLOOM 20MESH</v>
          </cell>
          <cell r="E241">
            <v>4.9860655737704915</v>
          </cell>
          <cell r="F241" t="str">
            <v>€</v>
          </cell>
          <cell r="G241">
            <v>1525</v>
          </cell>
        </row>
        <row r="242">
          <cell r="C242">
            <v>360380</v>
          </cell>
          <cell r="D242" t="str">
            <v>FARFALLES 3 OEUFS FRAIS</v>
          </cell>
          <cell r="E242">
            <v>2.2493333333333334</v>
          </cell>
          <cell r="F242" t="str">
            <v>€</v>
          </cell>
          <cell r="G242">
            <v>8640</v>
          </cell>
        </row>
        <row r="243">
          <cell r="C243">
            <v>360383</v>
          </cell>
          <cell r="D243" t="str">
            <v>PATES MACARONIS QS 5 KG</v>
          </cell>
          <cell r="E243">
            <v>1.226</v>
          </cell>
          <cell r="F243" t="str">
            <v>€</v>
          </cell>
          <cell r="G243">
            <v>4800</v>
          </cell>
        </row>
        <row r="244">
          <cell r="C244">
            <v>360385</v>
          </cell>
          <cell r="D244" t="str">
            <v xml:space="preserve">RIZ ROUGE </v>
          </cell>
          <cell r="E244">
            <v>2.1330275229357798</v>
          </cell>
          <cell r="F244" t="str">
            <v>€</v>
          </cell>
          <cell r="G244">
            <v>2180</v>
          </cell>
        </row>
        <row r="245">
          <cell r="C245">
            <v>360401</v>
          </cell>
          <cell r="D245" t="str">
            <v>MAIS DOUX GRAIN SV 3/1 PRIMANCE 1.775KG</v>
          </cell>
          <cell r="E245">
            <v>3.3040912139503691</v>
          </cell>
          <cell r="F245" t="str">
            <v>€</v>
          </cell>
          <cell r="G245">
            <v>74.55</v>
          </cell>
        </row>
        <row r="246">
          <cell r="C246">
            <v>360403</v>
          </cell>
          <cell r="D246" t="str">
            <v>NAVET BLANCHI CUBE 10*10 SGL</v>
          </cell>
          <cell r="E246">
            <v>0.82</v>
          </cell>
          <cell r="F246" t="str">
            <v>€</v>
          </cell>
          <cell r="G246">
            <v>1440</v>
          </cell>
        </row>
        <row r="247">
          <cell r="C247">
            <v>360409</v>
          </cell>
          <cell r="D247" t="str">
            <v>ROSTI DE POMME DE TERRE EN GALETTE 30 G</v>
          </cell>
          <cell r="E247">
            <v>1.93</v>
          </cell>
          <cell r="F247" t="str">
            <v>€</v>
          </cell>
          <cell r="G247">
            <v>6300</v>
          </cell>
        </row>
        <row r="248">
          <cell r="C248">
            <v>360410</v>
          </cell>
          <cell r="D248" t="str">
            <v>PDT RONDELLE 5/7 SAUTEE TOURNESOL SGL 55A</v>
          </cell>
          <cell r="E248">
            <v>1.7799999999999998</v>
          </cell>
          <cell r="F248" t="str">
            <v>€</v>
          </cell>
          <cell r="G248">
            <v>48480</v>
          </cell>
        </row>
        <row r="249">
          <cell r="C249">
            <v>360418</v>
          </cell>
          <cell r="D249" t="str">
            <v>MERLU BLANC DU CAP DOS MSC 20-30G</v>
          </cell>
          <cell r="E249">
            <v>9.85</v>
          </cell>
          <cell r="F249" t="str">
            <v>€</v>
          </cell>
          <cell r="G249">
            <v>2000</v>
          </cell>
        </row>
        <row r="250">
          <cell r="C250">
            <v>360419</v>
          </cell>
          <cell r="D250" t="str">
            <v>NOIX ST JACQUES 60/80 CHLAMYS OP/PATAGO</v>
          </cell>
          <cell r="E250">
            <v>14.5</v>
          </cell>
          <cell r="F250" t="str">
            <v>€</v>
          </cell>
          <cell r="G250">
            <v>2520</v>
          </cell>
        </row>
        <row r="251">
          <cell r="C251">
            <v>360421</v>
          </cell>
          <cell r="D251" t="str">
            <v>CABILLAUD DOS 100/120 NET IQF</v>
          </cell>
          <cell r="E251">
            <v>14.9</v>
          </cell>
          <cell r="F251" t="str">
            <v>€</v>
          </cell>
          <cell r="G251">
            <v>1890</v>
          </cell>
        </row>
        <row r="252">
          <cell r="C252">
            <v>360432</v>
          </cell>
          <cell r="D252" t="str">
            <v>PORC EPAULE 4D LANIERES IQF VPF</v>
          </cell>
          <cell r="E252">
            <v>4.54</v>
          </cell>
          <cell r="F252" t="str">
            <v>€</v>
          </cell>
          <cell r="G252">
            <v>20917</v>
          </cell>
        </row>
        <row r="253">
          <cell r="C253">
            <v>360436</v>
          </cell>
          <cell r="D253" t="str">
            <v>SANGLIER SAUT EPAULE/COLLIER/POITRINE 40/60G UE poche 8kg</v>
          </cell>
          <cell r="E253">
            <v>6.9944505943574837</v>
          </cell>
          <cell r="F253" t="str">
            <v>€</v>
          </cell>
          <cell r="G253">
            <v>14498.85</v>
          </cell>
        </row>
        <row r="254">
          <cell r="C254">
            <v>360439</v>
          </cell>
          <cell r="D254" t="str">
            <v>TORTELLONI TRICOLORE 3 FROMAGES PATES FARCIES SURG</v>
          </cell>
          <cell r="E254">
            <v>5.17</v>
          </cell>
          <cell r="F254" t="str">
            <v>€</v>
          </cell>
          <cell r="G254">
            <v>7200</v>
          </cell>
        </row>
        <row r="255">
          <cell r="C255">
            <v>360466</v>
          </cell>
          <cell r="D255" t="str">
            <v>PORC JOUE DE PORC SURG</v>
          </cell>
          <cell r="E255">
            <v>7.8767654801419251</v>
          </cell>
          <cell r="F255" t="str">
            <v>€</v>
          </cell>
          <cell r="G255">
            <v>4368.5</v>
          </cell>
        </row>
        <row r="256">
          <cell r="C256">
            <v>360468</v>
          </cell>
          <cell r="D256" t="str">
            <v>SAUCISSE PORC VPF FUMEE CUITE CLEAN LABEL 15MM TRANCHE IQF 5KG</v>
          </cell>
          <cell r="E256">
            <v>6.7399999999999993</v>
          </cell>
          <cell r="F256" t="str">
            <v>€</v>
          </cell>
          <cell r="G256">
            <v>29420</v>
          </cell>
        </row>
        <row r="257">
          <cell r="C257">
            <v>360470</v>
          </cell>
          <cell r="D257" t="str">
            <v>POMME DE TERRE PDT PRE FRITES COUPE ROAST FRANCE 12x20x20 RISSOL</v>
          </cell>
          <cell r="E257">
            <v>3.3000000000000003</v>
          </cell>
          <cell r="F257" t="str">
            <v>€</v>
          </cell>
          <cell r="G257">
            <v>7584</v>
          </cell>
        </row>
        <row r="258">
          <cell r="C258">
            <v>360471</v>
          </cell>
          <cell r="D258" t="str">
            <v>SAUCISSES AUX HERBES VPF 80g</v>
          </cell>
          <cell r="E258">
            <v>5.8000000000000007</v>
          </cell>
          <cell r="F258" t="str">
            <v>€</v>
          </cell>
          <cell r="G258">
            <v>1052</v>
          </cell>
        </row>
        <row r="259">
          <cell r="C259">
            <v>360472</v>
          </cell>
          <cell r="D259" t="str">
            <v>CABILLAUD COEUR SP QSA 30/50G SURG IQF CHUNK</v>
          </cell>
          <cell r="E259">
            <v>11.95</v>
          </cell>
          <cell r="F259" t="str">
            <v>€</v>
          </cell>
          <cell r="G259">
            <v>2250</v>
          </cell>
        </row>
        <row r="260">
          <cell r="C260">
            <v>360800</v>
          </cell>
          <cell r="D260" t="str">
            <v>CAPRES VINAIGRE CAPUCINES 5/1 2.4KG</v>
          </cell>
          <cell r="E260">
            <v>5.1730165555794452</v>
          </cell>
          <cell r="F260" t="str">
            <v>€</v>
          </cell>
          <cell r="G260">
            <v>4651</v>
          </cell>
        </row>
        <row r="261">
          <cell r="C261">
            <v>360913</v>
          </cell>
          <cell r="D261" t="str">
            <v>CERF/BICHE SAUTE 40/60G EPAULE/COLL/POITRINE CGL poche 8kg</v>
          </cell>
          <cell r="E261">
            <v>5.7985855851380883</v>
          </cell>
          <cell r="F261" t="str">
            <v>€</v>
          </cell>
          <cell r="G261">
            <v>9663.36</v>
          </cell>
        </row>
        <row r="262">
          <cell r="C262">
            <v>360943</v>
          </cell>
          <cell r="D262" t="str">
            <v>AUBERGINE PREFRITE CUBE 20*20 SGL (LAB10005)</v>
          </cell>
          <cell r="E262">
            <v>1.8039999999999998</v>
          </cell>
          <cell r="F262" t="str">
            <v>€</v>
          </cell>
          <cell r="G262">
            <v>7200</v>
          </cell>
        </row>
        <row r="263">
          <cell r="C263">
            <v>361001</v>
          </cell>
          <cell r="D263" t="str">
            <v>BOEUF JOUE 40/60 OF IQF FRANCE</v>
          </cell>
          <cell r="E263">
            <v>10.43328452961714</v>
          </cell>
          <cell r="F263" t="str">
            <v>€</v>
          </cell>
          <cell r="G263">
            <v>4217.5749999999998</v>
          </cell>
        </row>
        <row r="264">
          <cell r="C264">
            <v>361003</v>
          </cell>
          <cell r="D264" t="str">
            <v>REBLOCHON  FRANCE</v>
          </cell>
          <cell r="E264">
            <v>13.130024856432675</v>
          </cell>
          <cell r="F264" t="str">
            <v>€</v>
          </cell>
          <cell r="G264">
            <v>116.67</v>
          </cell>
        </row>
        <row r="265">
          <cell r="C265">
            <v>361009</v>
          </cell>
          <cell r="D265" t="str">
            <v>REBLOCHON PIECE 480G ENVIRON ENTIER</v>
          </cell>
          <cell r="E265">
            <v>13.129993375544975</v>
          </cell>
          <cell r="F265" t="str">
            <v>€</v>
          </cell>
          <cell r="G265">
            <v>649.11</v>
          </cell>
        </row>
        <row r="266">
          <cell r="C266">
            <v>361033</v>
          </cell>
          <cell r="D266" t="str">
            <v>AGNEAU SAUTE 60/70 EPAULE IQF</v>
          </cell>
          <cell r="E266">
            <v>13.305966871760804</v>
          </cell>
          <cell r="F266" t="str">
            <v>€</v>
          </cell>
          <cell r="G266">
            <v>5885.915</v>
          </cell>
        </row>
        <row r="267">
          <cell r="C267">
            <v>370002</v>
          </cell>
          <cell r="D267" t="str">
            <v>OIGNON CUBE 10x10 CUIT POCHE STERILISE  REF 1336002 (poche 10kg)</v>
          </cell>
          <cell r="E267">
            <v>1.2993787616947738</v>
          </cell>
          <cell r="F267" t="str">
            <v>€</v>
          </cell>
          <cell r="G267">
            <v>33562</v>
          </cell>
        </row>
        <row r="268">
          <cell r="C268">
            <v>370004</v>
          </cell>
          <cell r="D268" t="str">
            <v>COMPLET S/DEST VIANDES CUITES  EM00014</v>
          </cell>
          <cell r="E268">
            <v>5.52</v>
          </cell>
          <cell r="F268" t="str">
            <v>€</v>
          </cell>
          <cell r="G268">
            <v>4080</v>
          </cell>
        </row>
        <row r="269">
          <cell r="C269">
            <v>370005</v>
          </cell>
          <cell r="D269" t="str">
            <v>SAUMON PAVE  80/90 SS PEAU SS ARETES  SALMO SAL</v>
          </cell>
          <cell r="E269">
            <v>13.326689478186484</v>
          </cell>
          <cell r="F269" t="str">
            <v>€</v>
          </cell>
          <cell r="G269">
            <v>23380</v>
          </cell>
        </row>
        <row r="270">
          <cell r="C270">
            <v>380001</v>
          </cell>
          <cell r="D270" t="str">
            <v xml:space="preserve">MERGUEZ BOEUF MOUTON SURGELEES 34 GR </v>
          </cell>
          <cell r="E270">
            <v>9.1999999999999993</v>
          </cell>
          <cell r="F270" t="str">
            <v>€</v>
          </cell>
          <cell r="G270">
            <v>2880</v>
          </cell>
        </row>
        <row r="271">
          <cell r="C271">
            <v>380002</v>
          </cell>
          <cell r="D271" t="str">
            <v>FR LANGUE BOEUF ORIGINE FRANCE CUITE fraiche ou surg</v>
          </cell>
          <cell r="E271">
            <v>11.609973816843262</v>
          </cell>
          <cell r="F271" t="str">
            <v>€</v>
          </cell>
          <cell r="G271">
            <v>35098.9</v>
          </cell>
        </row>
        <row r="272">
          <cell r="C272">
            <v>380004</v>
          </cell>
          <cell r="D272" t="str">
            <v xml:space="preserve">BOEUF UE LANGUE ORIGINE UE CUITE </v>
          </cell>
          <cell r="E272">
            <v>11.336256458835196</v>
          </cell>
          <cell r="F272" t="str">
            <v>€</v>
          </cell>
          <cell r="G272">
            <v>17555.41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90AF-ADCA-4997-918C-C9C0A53DBA4A}">
  <dimension ref="A1:BB353"/>
  <sheetViews>
    <sheetView tabSelected="1" zoomScale="115" zoomScaleNormal="115" workbookViewId="0">
      <selection activeCell="D5" sqref="D5"/>
    </sheetView>
  </sheetViews>
  <sheetFormatPr baseColWidth="10" defaultRowHeight="15" outlineLevelRow="1" x14ac:dyDescent="0.25"/>
  <cols>
    <col min="2" max="2" width="29.42578125" customWidth="1"/>
    <col min="3" max="3" width="9.85546875" bestFit="1" customWidth="1"/>
    <col min="4" max="4" width="72.42578125" bestFit="1" customWidth="1"/>
    <col min="5" max="5" width="0" hidden="1" customWidth="1"/>
    <col min="10" max="10" width="16" bestFit="1" customWidth="1"/>
    <col min="14" max="14" width="17.5703125" bestFit="1" customWidth="1"/>
    <col min="16" max="16" width="13.140625" bestFit="1" customWidth="1"/>
    <col min="17" max="18" width="11.5703125" bestFit="1" customWidth="1"/>
    <col min="19" max="19" width="0" hidden="1" customWidth="1"/>
    <col min="20" max="20" width="11.5703125" bestFit="1" customWidth="1"/>
    <col min="21" max="21" width="11.5703125" hidden="1" customWidth="1"/>
    <col min="22" max="22" width="11.5703125" bestFit="1" customWidth="1"/>
    <col min="23" max="23" width="17.140625" bestFit="1" customWidth="1"/>
    <col min="24" max="24" width="11.5703125" bestFit="1" customWidth="1"/>
    <col min="25" max="25" width="17.42578125" customWidth="1"/>
    <col min="26" max="26" width="17.140625" bestFit="1" customWidth="1"/>
    <col min="27" max="28" width="17.140625" customWidth="1"/>
    <col min="29" max="29" width="16.85546875" customWidth="1"/>
    <col min="30" max="30" width="12.5703125" hidden="1" customWidth="1"/>
    <col min="31" max="31" width="0" hidden="1" customWidth="1"/>
    <col min="32" max="32" width="16.42578125" hidden="1" customWidth="1"/>
    <col min="33" max="33" width="0" hidden="1" customWidth="1"/>
    <col min="34" max="34" width="16.42578125" hidden="1" customWidth="1"/>
    <col min="35" max="35" width="0" hidden="1" customWidth="1"/>
    <col min="36" max="36" width="16.7109375" bestFit="1" customWidth="1"/>
    <col min="37" max="37" width="12.140625" bestFit="1" customWidth="1"/>
    <col min="38" max="38" width="8.85546875" customWidth="1"/>
    <col min="39" max="39" width="14.28515625" bestFit="1" customWidth="1"/>
    <col min="41" max="42" width="16.42578125" bestFit="1" customWidth="1"/>
    <col min="43" max="46" width="0" hidden="1" customWidth="1"/>
    <col min="47" max="47" width="13.85546875" hidden="1" customWidth="1"/>
    <col min="48" max="48" width="0" hidden="1" customWidth="1"/>
    <col min="49" max="49" width="13.85546875" hidden="1" customWidth="1"/>
    <col min="50" max="53" width="0" hidden="1" customWidth="1"/>
    <col min="54" max="54" width="15.28515625" hidden="1" customWidth="1"/>
  </cols>
  <sheetData>
    <row r="1" spans="1:54" ht="15.75" x14ac:dyDescent="0.25">
      <c r="A1" s="1"/>
      <c r="B1" s="1"/>
      <c r="C1" s="1"/>
      <c r="D1" s="1" t="s">
        <v>0</v>
      </c>
      <c r="E1" s="1"/>
      <c r="F1" s="2">
        <f>F352+F328+F322+F312+F307+F290+F278+F275+F271+F256+F253+F238+F229+F226+F222+F201+F106+F81+F14</f>
        <v>4798167.9229999995</v>
      </c>
      <c r="G1" s="1"/>
      <c r="H1" s="3"/>
      <c r="I1" s="1"/>
      <c r="J1" s="4">
        <f>J352+J328+J322+J312+J307+J290+J278+J275+J271+J256+J253+J238+J229+J226+J222+J201+J106+J81+J14</f>
        <v>18782651.489999998</v>
      </c>
      <c r="K1" s="1"/>
      <c r="L1" s="5"/>
      <c r="M1" s="1"/>
      <c r="N1" s="4">
        <f>N352+N328+N322+N312+N307+N290+N278+N275+N271+N256+N253+N238+N229+N226+N222+N201+N106+N81+N14</f>
        <v>20537054.204639997</v>
      </c>
      <c r="O1" s="6"/>
      <c r="P1" s="7">
        <f>P352+P328+P322+P312+P307+P290+P278+P275+P271+P256+P253+P238+P229+P226+P201+P106+P81+P14</f>
        <v>1572.9296850000001</v>
      </c>
      <c r="Q1" s="6"/>
      <c r="R1" s="8"/>
      <c r="S1" s="6"/>
      <c r="T1" s="9"/>
      <c r="U1" s="9"/>
      <c r="V1" s="10"/>
      <c r="W1" s="11">
        <f>W352+W328+W322+W312+W307+W290+W278+W275+W271+W256+W253+W238+W229+W226+W222+W201+W106+W81+W14</f>
        <v>10204373.51</v>
      </c>
      <c r="X1" s="12"/>
      <c r="Y1" s="12"/>
      <c r="Z1" s="11">
        <f>Z352+Z328+Z322+Z312+Z307+Z290+Z278+Z275+Z271+Z256+Z253+Z238+Z229+Z226+Z222+Z201+Z106+Z81+Z14</f>
        <v>11141815.461803664</v>
      </c>
      <c r="AA1" s="11"/>
      <c r="AB1" s="11"/>
      <c r="AC1" s="11">
        <f>AC352+AC328+AC322+AC312+AC307+AC290+AC278+AC275+AC271+AC256+AC253+AC238+AC229+AC226+AC222+AC201+AC106+AC81+AC14</f>
        <v>21346188.971803658</v>
      </c>
      <c r="AD1" s="2">
        <f>AD352+AD328+AD322+AD312+AD307+AD290+AD278+AD275+AD271+AD256+AD253+AD238+AD229+AD226+AD222+AD201+AD106+AD81+AD14</f>
        <v>5300562.066971112</v>
      </c>
      <c r="AE1" s="6"/>
      <c r="AF1" s="4">
        <f>AF352+AF328+AF322+AF312+AF307+AF290+AF278+AF275+AF271+AF256+AF253+AF238+AF229+AF226+AF201+AF106+AF81+AF14</f>
        <v>19562091.653734673</v>
      </c>
      <c r="AG1" s="4"/>
      <c r="AH1" s="4">
        <f>AH352+AH328+AH322+AH312+AH307+AH290+AH278+AH275+AH271+AH256+AH253+AH238+AH229+AH226+AH201+AH106+AH81+AH14</f>
        <v>21757393.838369947</v>
      </c>
      <c r="AI1" s="4"/>
      <c r="AJ1" s="4">
        <f>AJ352+AJ328+AJ322+AJ312+AJ307+AJ290+AJ278+AJ275+AJ271+AJ256+AJ253+AJ238+AJ229+AJ226+AJ222+AJ201+AJ106+AJ81+AJ14</f>
        <v>21541780.570370618</v>
      </c>
      <c r="AK1" s="6"/>
      <c r="AL1" s="6"/>
      <c r="AM1" s="13">
        <f>AM352+AM328+AM322+AM312+AM307+AM290+AM278+AM275+AM271+AM256+AM253+AM238+AM229+AM226+AM201+AM106+AM81+AM14</f>
        <v>4682946.1264336286</v>
      </c>
      <c r="AN1" s="14"/>
      <c r="AO1" s="15">
        <f>AO352+AO328+AO322+AO312+AO307+AO290+AO278+AO275+AO271+AO256+AO253+AO238+AO229+AO226+AO201+AO106+AO81+AO14</f>
        <v>18860650.979523398</v>
      </c>
      <c r="AP1" s="15">
        <f>AP352+AP328+AP322+AP312+AP307+AP290+AP278+AP275+AP271+AP256+AP253+AP238+AP229+AP226+AP222+AP201+AP106+AP81+AP14</f>
        <v>20831894.969495911</v>
      </c>
      <c r="AQ1" s="1"/>
      <c r="AR1" s="16">
        <f>(AP1-AO1)/AO1</f>
        <v>0.10451622227210769</v>
      </c>
      <c r="AS1" s="17"/>
      <c r="AT1" s="17">
        <f>(AM1-F1)/F1</f>
        <v>-2.4013706567887223E-2</v>
      </c>
      <c r="AU1" s="17"/>
      <c r="AV1" s="18">
        <f>(AP1-N1)/N1</f>
        <v>1.4356526594223019E-2</v>
      </c>
      <c r="AW1" s="1"/>
      <c r="AX1" s="19">
        <f>AP1/N1-1</f>
        <v>1.4356526594222929E-2</v>
      </c>
      <c r="AY1" s="19"/>
      <c r="AZ1" s="20">
        <f>(AP1-AO1)/AO1</f>
        <v>0.10451622227210769</v>
      </c>
      <c r="BA1" s="1"/>
      <c r="BB1" s="15">
        <f>BB352+BB328+BB322+BB312+BB307+BB290+BB278+BB275+BB271+BB256+BB253+BB238+BB229+BB226+BB222+BB201+BB106+BB81+BB14</f>
        <v>20081304.102029994</v>
      </c>
    </row>
    <row r="2" spans="1:54" ht="15.75" x14ac:dyDescent="0.25">
      <c r="F2" s="21"/>
      <c r="H2" s="22"/>
      <c r="L2" s="23"/>
      <c r="N2" s="24">
        <f>N1-J1</f>
        <v>1754402.714639999</v>
      </c>
      <c r="R2" s="25"/>
      <c r="T2" s="26"/>
      <c r="U2" s="26"/>
      <c r="V2" s="10"/>
      <c r="W2" s="27"/>
      <c r="X2" s="28"/>
      <c r="Y2" s="28"/>
      <c r="Z2" s="29"/>
      <c r="AA2" s="29"/>
      <c r="AB2" s="29"/>
      <c r="AC2" s="30">
        <f>(AC1/AP1)-1</f>
        <v>2.4687816593777168E-2</v>
      </c>
      <c r="AD2" s="31"/>
      <c r="AE2" s="31"/>
      <c r="AF2" s="31"/>
      <c r="AG2" s="31"/>
      <c r="AH2" s="31"/>
      <c r="AI2" s="31"/>
      <c r="AJ2" s="32">
        <f>AJ1/AC1-1</f>
        <v>9.1628345849144033E-3</v>
      </c>
      <c r="AM2" s="33"/>
      <c r="AO2" s="34"/>
      <c r="AP2" s="35"/>
      <c r="AR2" s="36"/>
      <c r="AS2">
        <f>(AM4-F4)/F4</f>
        <v>0.22781082527323848</v>
      </c>
      <c r="AT2">
        <f>(AM14-F14)/F14</f>
        <v>6.6017070451768384E-2</v>
      </c>
      <c r="AV2" s="37"/>
      <c r="AX2" s="38">
        <f>AP1-N1</f>
        <v>294840.76485591382</v>
      </c>
      <c r="AY2" s="38"/>
    </row>
    <row r="3" spans="1:54" ht="105" x14ac:dyDescent="0.25">
      <c r="A3" s="39" t="s">
        <v>1</v>
      </c>
      <c r="B3" s="39" t="s">
        <v>2</v>
      </c>
      <c r="C3" s="39" t="s">
        <v>3</v>
      </c>
      <c r="D3" s="39" t="s">
        <v>4</v>
      </c>
      <c r="E3" s="39" t="s">
        <v>5</v>
      </c>
      <c r="F3" s="40" t="s">
        <v>6</v>
      </c>
      <c r="G3" s="39"/>
      <c r="H3" s="41" t="s">
        <v>7</v>
      </c>
      <c r="I3" s="39" t="s">
        <v>8</v>
      </c>
      <c r="J3" s="39" t="s">
        <v>9</v>
      </c>
      <c r="K3" s="39"/>
      <c r="L3" s="42" t="s">
        <v>10</v>
      </c>
      <c r="M3" s="39"/>
      <c r="N3" s="39" t="s">
        <v>11</v>
      </c>
      <c r="O3" s="39"/>
      <c r="P3" s="39" t="s">
        <v>12</v>
      </c>
      <c r="Q3" s="39" t="s">
        <v>8</v>
      </c>
      <c r="R3" s="43" t="s">
        <v>13</v>
      </c>
      <c r="S3" s="39" t="s">
        <v>8</v>
      </c>
      <c r="T3" s="44" t="s">
        <v>14</v>
      </c>
      <c r="U3" s="44" t="s">
        <v>15</v>
      </c>
      <c r="V3" s="45" t="s">
        <v>16</v>
      </c>
      <c r="W3" s="46" t="s">
        <v>17</v>
      </c>
      <c r="X3" s="47" t="s">
        <v>18</v>
      </c>
      <c r="Y3" s="47" t="s">
        <v>19</v>
      </c>
      <c r="Z3" s="46" t="s">
        <v>20</v>
      </c>
      <c r="AA3" s="46"/>
      <c r="AB3" s="46"/>
      <c r="AC3" s="48" t="s">
        <v>21</v>
      </c>
      <c r="AD3" s="49" t="s">
        <v>22</v>
      </c>
      <c r="AE3" s="50" t="s">
        <v>23</v>
      </c>
      <c r="AF3" s="50" t="s">
        <v>24</v>
      </c>
      <c r="AG3" s="50" t="s">
        <v>8</v>
      </c>
      <c r="AH3" s="50" t="s">
        <v>25</v>
      </c>
      <c r="AI3" s="50" t="s">
        <v>8</v>
      </c>
      <c r="AJ3" s="50" t="s">
        <v>26</v>
      </c>
      <c r="AK3" s="39" t="s">
        <v>27</v>
      </c>
      <c r="AL3" s="39" t="s">
        <v>23</v>
      </c>
      <c r="AM3" s="51" t="s">
        <v>28</v>
      </c>
      <c r="AN3" s="39" t="s">
        <v>29</v>
      </c>
      <c r="AO3" s="52" t="s">
        <v>30</v>
      </c>
      <c r="AP3" s="53" t="s">
        <v>31</v>
      </c>
      <c r="AQ3" s="39" t="s">
        <v>8</v>
      </c>
      <c r="AR3" s="54" t="s">
        <v>32</v>
      </c>
      <c r="AS3" s="39" t="s">
        <v>33</v>
      </c>
      <c r="AT3" s="39" t="s">
        <v>34</v>
      </c>
      <c r="AU3" s="39" t="s">
        <v>35</v>
      </c>
      <c r="AV3" s="55" t="s">
        <v>36</v>
      </c>
      <c r="AW3" s="39" t="s">
        <v>37</v>
      </c>
      <c r="AX3" s="39"/>
      <c r="AY3" s="39" t="s">
        <v>38</v>
      </c>
      <c r="AZ3" s="39" t="s">
        <v>39</v>
      </c>
      <c r="BA3" s="39" t="s">
        <v>40</v>
      </c>
      <c r="BB3" s="39" t="s">
        <v>41</v>
      </c>
    </row>
    <row r="4" spans="1:54" ht="18.75" outlineLevel="1" x14ac:dyDescent="0.3">
      <c r="A4">
        <v>1</v>
      </c>
      <c r="B4" t="s">
        <v>42</v>
      </c>
      <c r="C4">
        <v>360018</v>
      </c>
      <c r="D4" t="s">
        <v>43</v>
      </c>
      <c r="E4" t="s">
        <v>44</v>
      </c>
      <c r="F4" s="21">
        <f>+VLOOKUP(C4,'[1]stock au 25-03-25'!A:D,4,FALSE)</f>
        <v>21280</v>
      </c>
      <c r="G4" t="s">
        <v>45</v>
      </c>
      <c r="H4" s="22">
        <f>+VLOOKUP(C4,'[1]stock au 25-03-25'!A:F,6,FALSE)</f>
        <v>7.9247368421052631</v>
      </c>
      <c r="I4" t="s">
        <v>46</v>
      </c>
      <c r="J4" s="56">
        <f>+VLOOKUP(C4,'[1]stock au 25-03-25'!A:H,8,FALSE)</f>
        <v>168638.4</v>
      </c>
      <c r="K4" t="s">
        <v>46</v>
      </c>
      <c r="L4" s="23">
        <v>8.85</v>
      </c>
      <c r="M4" t="s">
        <v>46</v>
      </c>
      <c r="N4" s="56">
        <f>+VLOOKUP(C4,'[1]stock au 25-03-25'!A:L,12,FALSE)</f>
        <v>188328</v>
      </c>
      <c r="O4" t="s">
        <v>46</v>
      </c>
      <c r="P4" s="57">
        <v>7.68</v>
      </c>
      <c r="Q4" t="s">
        <v>46</v>
      </c>
      <c r="R4" s="25">
        <v>8</v>
      </c>
      <c r="S4" t="s">
        <v>46</v>
      </c>
      <c r="T4" s="26">
        <v>8.0500000000000007</v>
      </c>
      <c r="U4" s="58">
        <f>IFERROR((T4-R4)/R4,"")</f>
        <v>6.2500000000000888E-3</v>
      </c>
      <c r="V4" s="10">
        <f>IFERROR(VLOOKUP(C4,'[2]INDICATEURS ACHATS - Matières P'!$C$2:$G$209999,5,0),0)</f>
        <v>5040</v>
      </c>
      <c r="W4" s="27">
        <f>IFERROR(V4*T4,0)</f>
        <v>40572</v>
      </c>
      <c r="X4" s="28">
        <v>8.1322857142857146</v>
      </c>
      <c r="Y4" s="59">
        <v>21087.814361814515</v>
      </c>
      <c r="Z4" s="27">
        <f>Y4*X4</f>
        <v>171492.13148009329</v>
      </c>
      <c r="AA4" s="60">
        <f t="shared" ref="AA4:AA67" si="0">SUM(Y4*R4)</f>
        <v>168702.51489451612</v>
      </c>
      <c r="AB4" s="60">
        <f t="shared" ref="AB4:AB67" si="1">Z4-AA4</f>
        <v>2789.6165855771687</v>
      </c>
      <c r="AC4" s="27">
        <f>+W4+Z4</f>
        <v>212064.13148009329</v>
      </c>
      <c r="AD4" s="61">
        <f>+VLOOKUP(C4,'[1]pic au 25-03'!C:R,16,FALSE)</f>
        <v>28687.102361814515</v>
      </c>
      <c r="AE4" s="31" t="s">
        <v>45</v>
      </c>
      <c r="AF4" s="62">
        <v>220316.94613873499</v>
      </c>
      <c r="AG4" s="62" t="s">
        <v>46</v>
      </c>
      <c r="AH4" s="62">
        <v>253880.85590205801</v>
      </c>
      <c r="AI4" s="31" t="s">
        <v>46</v>
      </c>
      <c r="AJ4" s="28">
        <f>X4*AM4</f>
        <v>212478.85148009332</v>
      </c>
      <c r="AK4" s="21">
        <f>+VLOOKUP(C4,'[1]stock au 25-03-25'!A:X,24,FALSE)</f>
        <v>2559.288</v>
      </c>
      <c r="AL4" t="s">
        <v>45</v>
      </c>
      <c r="AM4" s="33">
        <f t="shared" ref="AM4:AM13" si="2">AD4-AK4</f>
        <v>26127.814361814515</v>
      </c>
      <c r="AN4" t="s">
        <v>45</v>
      </c>
      <c r="AO4" s="63">
        <f t="shared" ref="AO4:AO13" si="3">AM4*H4</f>
        <v>207056.05307675849</v>
      </c>
      <c r="AP4" s="64">
        <f t="shared" ref="AP4:AP13" si="4">IF(AM4&lt;0,0,AM4*R4)</f>
        <v>209022.51489451612</v>
      </c>
      <c r="AQ4" t="s">
        <v>46</v>
      </c>
      <c r="AR4" s="36">
        <f>(AP4-AO4)/AO4</f>
        <v>9.4972438068673115E-3</v>
      </c>
      <c r="AS4" s="65"/>
      <c r="AT4" s="65">
        <f>(AM4-F4)/F4</f>
        <v>0.22781082527323848</v>
      </c>
      <c r="AU4" s="65"/>
      <c r="AV4" s="66">
        <f>(AP4-J4)/J4</f>
        <v>0.23947164402956936</v>
      </c>
      <c r="BB4" s="56">
        <f>+R4*F4</f>
        <v>170240</v>
      </c>
    </row>
    <row r="5" spans="1:54" ht="18.75" outlineLevel="1" x14ac:dyDescent="0.3">
      <c r="A5">
        <v>1</v>
      </c>
      <c r="B5" t="s">
        <v>42</v>
      </c>
      <c r="C5">
        <v>343163</v>
      </c>
      <c r="D5" t="s">
        <v>47</v>
      </c>
      <c r="E5" t="s">
        <v>44</v>
      </c>
      <c r="F5" s="21">
        <f>+VLOOKUP(C5,'[1]stock au 25-03-25'!A:D,4,FALSE)</f>
        <v>79900</v>
      </c>
      <c r="G5" t="s">
        <v>45</v>
      </c>
      <c r="H5" s="22">
        <f>+VLOOKUP(C5,'[1]stock au 25-03-25'!A:F,6,FALSE)</f>
        <v>2.0480291614518147</v>
      </c>
      <c r="I5" t="s">
        <v>46</v>
      </c>
      <c r="J5" s="56">
        <f>+VLOOKUP(C5,'[1]stock au 25-03-25'!A:H,8,FALSE)</f>
        <v>163637.53</v>
      </c>
      <c r="K5" t="s">
        <v>46</v>
      </c>
      <c r="L5" s="23">
        <v>2.2200000000000002</v>
      </c>
      <c r="M5" t="s">
        <v>46</v>
      </c>
      <c r="N5" s="56">
        <f>+VLOOKUP(C5,'[1]stock au 25-03-25'!A:L,12,FALSE)</f>
        <v>177378.00000000003</v>
      </c>
      <c r="O5" t="s">
        <v>46</v>
      </c>
      <c r="P5" s="57">
        <v>2.2200000000000002</v>
      </c>
      <c r="Q5" t="s">
        <v>46</v>
      </c>
      <c r="R5" s="25">
        <v>2.2999999999999998</v>
      </c>
      <c r="S5" t="s">
        <v>46</v>
      </c>
      <c r="T5" s="26">
        <v>1.9747692307692306</v>
      </c>
      <c r="U5" s="58">
        <f t="shared" ref="U5:U13" si="5">IFERROR((T5-R5)/R5,"")</f>
        <v>-0.14140468227424749</v>
      </c>
      <c r="V5" s="10">
        <f>IFERROR(VLOOKUP(C5,'[2]INDICATEURS ACHATS - Matières P'!$C$2:$G$209999,5,0),0)</f>
        <v>28080</v>
      </c>
      <c r="W5" s="27">
        <f t="shared" ref="W5:W68" si="6">IFERROR(V5*T5,0)</f>
        <v>55451.519999999997</v>
      </c>
      <c r="X5" s="28">
        <v>2.1934999999999998</v>
      </c>
      <c r="Y5" s="59">
        <v>35861.243643156362</v>
      </c>
      <c r="Z5" s="27">
        <f t="shared" ref="Z5:Z68" si="7">Y5*X5</f>
        <v>78661.637931263467</v>
      </c>
      <c r="AA5" s="60">
        <f t="shared" si="0"/>
        <v>82480.860379259626</v>
      </c>
      <c r="AB5" s="60">
        <f t="shared" si="1"/>
        <v>-3819.2224479961587</v>
      </c>
      <c r="AC5" s="27">
        <f t="shared" ref="AC5:AC68" si="8">+W5+Z5</f>
        <v>134113.15793126347</v>
      </c>
      <c r="AD5" s="61">
        <f>+VLOOKUP(C5,'[1]pic au 25-03'!C:R,16,FALSE)</f>
        <v>73851.700643156364</v>
      </c>
      <c r="AE5" s="31" t="s">
        <v>45</v>
      </c>
      <c r="AF5" s="62">
        <v>164765.94385204045</v>
      </c>
      <c r="AG5" s="62" t="s">
        <v>46</v>
      </c>
      <c r="AH5" s="62">
        <v>164765.94385204045</v>
      </c>
      <c r="AI5" s="31" t="s">
        <v>46</v>
      </c>
      <c r="AJ5" s="28">
        <f t="shared" ref="AJ5:AJ68" si="9">X5*AM5</f>
        <v>140255.11793126346</v>
      </c>
      <c r="AK5" s="21">
        <f>+VLOOKUP(C5,'[1]stock au 25-03-25'!A:X,24,FALSE)</f>
        <v>9910.4570000000003</v>
      </c>
      <c r="AL5" t="s">
        <v>45</v>
      </c>
      <c r="AM5" s="33">
        <f t="shared" si="2"/>
        <v>63941.243643156362</v>
      </c>
      <c r="AN5" t="s">
        <v>45</v>
      </c>
      <c r="AO5" s="63">
        <f t="shared" si="3"/>
        <v>130953.53160067969</v>
      </c>
      <c r="AP5" s="64">
        <f t="shared" si="4"/>
        <v>147064.86037925963</v>
      </c>
      <c r="AQ5" t="s">
        <v>46</v>
      </c>
      <c r="AR5" s="36">
        <f>(AP5-AO5)/AO5</f>
        <v>0.12303088417430898</v>
      </c>
      <c r="AS5" s="65"/>
      <c r="AT5" s="65">
        <f>(AM5-F5)/F5</f>
        <v>-0.19973412211318695</v>
      </c>
      <c r="AU5" s="65"/>
      <c r="AV5" s="66">
        <f>(AP5-J5)/J5</f>
        <v>-0.10127670358224286</v>
      </c>
      <c r="BB5" s="56">
        <f>+R5*F5</f>
        <v>183770</v>
      </c>
    </row>
    <row r="6" spans="1:54" ht="18.75" outlineLevel="1" x14ac:dyDescent="0.3">
      <c r="A6">
        <v>1</v>
      </c>
      <c r="B6" t="s">
        <v>42</v>
      </c>
      <c r="C6">
        <v>338271</v>
      </c>
      <c r="D6" t="s">
        <v>48</v>
      </c>
      <c r="E6" t="s">
        <v>44</v>
      </c>
      <c r="F6" s="21">
        <f>+VLOOKUP(C6,'[1]stock au 25-03-25'!A:D,4,FALSE)</f>
        <v>66200</v>
      </c>
      <c r="G6" t="s">
        <v>45</v>
      </c>
      <c r="H6" s="22">
        <f>+VLOOKUP(C6,'[1]stock au 25-03-25'!A:F,6,FALSE)</f>
        <v>1.2965271903323263</v>
      </c>
      <c r="I6" t="s">
        <v>46</v>
      </c>
      <c r="J6" s="56">
        <f>+VLOOKUP(C6,'[1]stock au 25-03-25'!A:H,8,FALSE)</f>
        <v>85830.1</v>
      </c>
      <c r="K6" t="s">
        <v>46</v>
      </c>
      <c r="L6" s="23">
        <v>1.19</v>
      </c>
      <c r="M6" t="s">
        <v>46</v>
      </c>
      <c r="N6" s="56">
        <f>+VLOOKUP(C6,'[1]stock au 25-03-25'!A:L,12,FALSE)</f>
        <v>78778</v>
      </c>
      <c r="O6" t="s">
        <v>46</v>
      </c>
      <c r="P6" s="57">
        <v>1.1499999999999999</v>
      </c>
      <c r="Q6" t="s">
        <v>46</v>
      </c>
      <c r="R6" s="25">
        <v>1.43</v>
      </c>
      <c r="S6" t="s">
        <v>46</v>
      </c>
      <c r="T6" s="26">
        <v>1.4378032786885246</v>
      </c>
      <c r="U6" s="58">
        <f t="shared" si="5"/>
        <v>5.4568382437235712E-3</v>
      </c>
      <c r="V6" s="10">
        <f>IFERROR(VLOOKUP(C6,'[2]INDICATEURS ACHATS - Matières P'!$C$2:$G$209999,5,0),0)</f>
        <v>43920</v>
      </c>
      <c r="W6" s="27">
        <f t="shared" si="6"/>
        <v>63148.32</v>
      </c>
      <c r="X6" s="28">
        <v>1.3614999999999999</v>
      </c>
      <c r="Y6" s="59">
        <v>43087.658268723542</v>
      </c>
      <c r="Z6" s="27">
        <f t="shared" si="7"/>
        <v>58663.846732867103</v>
      </c>
      <c r="AA6" s="60">
        <f t="shared" si="0"/>
        <v>61615.351324274663</v>
      </c>
      <c r="AB6" s="60">
        <f t="shared" si="1"/>
        <v>-2951.5045914075599</v>
      </c>
      <c r="AC6" s="27">
        <f t="shared" si="8"/>
        <v>121812.1667328671</v>
      </c>
      <c r="AD6" s="61">
        <f>+VLOOKUP(C6,'[1]pic au 25-03'!C:R,16,FALSE)</f>
        <v>90692.698268723543</v>
      </c>
      <c r="AE6" s="31" t="s">
        <v>45</v>
      </c>
      <c r="AF6" s="62">
        <v>104998.65379820071</v>
      </c>
      <c r="AG6" s="62" t="s">
        <v>46</v>
      </c>
      <c r="AH6" s="62">
        <v>108650.78088683379</v>
      </c>
      <c r="AI6" s="31" t="s">
        <v>46</v>
      </c>
      <c r="AJ6" s="28">
        <f t="shared" si="9"/>
        <v>118460.92673286711</v>
      </c>
      <c r="AK6" s="21">
        <f>+VLOOKUP(C6,'[1]stock au 25-03-25'!A:X,24,FALSE)</f>
        <v>3685.04</v>
      </c>
      <c r="AL6" t="s">
        <v>45</v>
      </c>
      <c r="AM6" s="33">
        <f t="shared" si="2"/>
        <v>87007.65826872355</v>
      </c>
      <c r="AN6" t="s">
        <v>45</v>
      </c>
      <c r="AO6" s="63">
        <f t="shared" si="3"/>
        <v>112807.79471254334</v>
      </c>
      <c r="AP6" s="64">
        <f t="shared" si="4"/>
        <v>124420.95132427468</v>
      </c>
      <c r="AQ6" t="s">
        <v>46</v>
      </c>
      <c r="AR6" s="36">
        <f>(AP6-AO6)/AO6</f>
        <v>0.10294640225282271</v>
      </c>
      <c r="AS6" s="65"/>
      <c r="AT6" s="65">
        <f>(AM6-F6)/F6</f>
        <v>0.314315079587969</v>
      </c>
      <c r="AU6" s="65"/>
      <c r="AV6" s="66">
        <f>(AP6-J6)/J6</f>
        <v>0.44961908845818271</v>
      </c>
      <c r="BB6" s="56">
        <f>+R6*F6</f>
        <v>94666</v>
      </c>
    </row>
    <row r="7" spans="1:54" ht="18.75" outlineLevel="1" x14ac:dyDescent="0.3">
      <c r="A7">
        <v>1</v>
      </c>
      <c r="B7" t="s">
        <v>42</v>
      </c>
      <c r="C7">
        <v>338268</v>
      </c>
      <c r="D7" t="s">
        <v>49</v>
      </c>
      <c r="E7" t="s">
        <v>44</v>
      </c>
      <c r="F7" s="21">
        <f>+VLOOKUP(C7,'[1]stock au 25-03-25'!A:D,4,FALSE)</f>
        <v>19200</v>
      </c>
      <c r="G7" t="s">
        <v>45</v>
      </c>
      <c r="H7" s="22">
        <f>+VLOOKUP(C7,'[1]stock au 25-03-25'!A:F,6,FALSE)</f>
        <v>2.7450000000000001</v>
      </c>
      <c r="I7" t="s">
        <v>46</v>
      </c>
      <c r="J7" s="56">
        <f>+VLOOKUP(C7,'[1]stock au 25-03-25'!A:H,8,FALSE)</f>
        <v>52704</v>
      </c>
      <c r="K7" t="s">
        <v>46</v>
      </c>
      <c r="L7" s="23">
        <v>2.88</v>
      </c>
      <c r="M7" t="s">
        <v>46</v>
      </c>
      <c r="N7" s="56">
        <f>+VLOOKUP(C7,'[1]stock au 25-03-25'!A:L,12,FALSE)</f>
        <v>55296</v>
      </c>
      <c r="O7" t="s">
        <v>46</v>
      </c>
      <c r="P7" s="57">
        <v>2.88</v>
      </c>
      <c r="Q7" t="s">
        <v>46</v>
      </c>
      <c r="R7" s="25">
        <v>2.95</v>
      </c>
      <c r="S7" t="s">
        <v>46</v>
      </c>
      <c r="T7" s="26">
        <v>2.73</v>
      </c>
      <c r="U7" s="58">
        <f t="shared" si="5"/>
        <v>-7.4576271186440737E-2</v>
      </c>
      <c r="V7" s="10">
        <f>IFERROR(VLOOKUP(C7,'[2]INDICATEURS ACHATS - Matières P'!$C$2:$G$209999,5,0),0)</f>
        <v>9600</v>
      </c>
      <c r="W7" s="27">
        <f t="shared" si="6"/>
        <v>26208</v>
      </c>
      <c r="X7" s="28">
        <v>2.9099999999999997</v>
      </c>
      <c r="Y7" s="59">
        <v>14879.325844718529</v>
      </c>
      <c r="Z7" s="27">
        <f t="shared" si="7"/>
        <v>43298.838208130917</v>
      </c>
      <c r="AA7" s="60">
        <f t="shared" si="0"/>
        <v>43894.011241919667</v>
      </c>
      <c r="AB7" s="60">
        <f t="shared" si="1"/>
        <v>-595.17303378874931</v>
      </c>
      <c r="AC7" s="27">
        <f t="shared" si="8"/>
        <v>69506.83820813091</v>
      </c>
      <c r="AD7" s="61">
        <f>+VLOOKUP(C7,'[1]pic au 25-03'!C:R,16,FALSE)</f>
        <v>26276.183844718529</v>
      </c>
      <c r="AE7" s="31" t="s">
        <v>45</v>
      </c>
      <c r="AF7" s="62">
        <v>75675.409472789397</v>
      </c>
      <c r="AG7" s="62" t="s">
        <v>46</v>
      </c>
      <c r="AH7" s="62">
        <v>75675.409472789368</v>
      </c>
      <c r="AI7" s="31" t="s">
        <v>46</v>
      </c>
      <c r="AJ7" s="28">
        <f t="shared" si="9"/>
        <v>71234.83820813091</v>
      </c>
      <c r="AK7" s="21">
        <f>+VLOOKUP(C7,'[1]stock au 25-03-25'!A:X,24,FALSE)</f>
        <v>1796.8579999999999</v>
      </c>
      <c r="AL7" t="s">
        <v>45</v>
      </c>
      <c r="AM7" s="33">
        <f t="shared" si="2"/>
        <v>24479.325844718529</v>
      </c>
      <c r="AN7" t="s">
        <v>45</v>
      </c>
      <c r="AO7" s="63">
        <f t="shared" si="3"/>
        <v>67195.749443752371</v>
      </c>
      <c r="AP7" s="64">
        <f t="shared" si="4"/>
        <v>72214.011241919667</v>
      </c>
      <c r="AQ7" t="s">
        <v>46</v>
      </c>
      <c r="AR7" s="36"/>
      <c r="AS7" s="65"/>
      <c r="AT7" s="65">
        <f>(AO7-J7)/J7</f>
        <v>0.27496488774575689</v>
      </c>
      <c r="AU7" s="65"/>
      <c r="AV7" s="66">
        <f>(AP7-J7)/J7</f>
        <v>0.37018084475409202</v>
      </c>
      <c r="BB7" s="56">
        <f>+R7*F7</f>
        <v>56640</v>
      </c>
    </row>
    <row r="8" spans="1:54" ht="18.75" outlineLevel="1" x14ac:dyDescent="0.3">
      <c r="A8">
        <v>1</v>
      </c>
      <c r="B8" t="s">
        <v>42</v>
      </c>
      <c r="C8">
        <v>340664</v>
      </c>
      <c r="D8" t="s">
        <v>50</v>
      </c>
      <c r="E8" t="s">
        <v>44</v>
      </c>
      <c r="F8" s="21">
        <f>+VLOOKUP(C8,'[1]stock au 25-03-25'!A:D,4,FALSE)</f>
        <v>4630</v>
      </c>
      <c r="G8" t="s">
        <v>45</v>
      </c>
      <c r="H8" s="22">
        <f>+VLOOKUP(C8,'[1]stock au 25-03-25'!A:F,6,FALSE)</f>
        <v>11.713390928725701</v>
      </c>
      <c r="I8" t="s">
        <v>46</v>
      </c>
      <c r="J8" s="56">
        <f>+VLOOKUP(C8,'[1]stock au 25-03-25'!A:H,8,FALSE)</f>
        <v>54233</v>
      </c>
      <c r="K8" t="s">
        <v>46</v>
      </c>
      <c r="L8" s="23">
        <v>12.3</v>
      </c>
      <c r="M8" t="s">
        <v>46</v>
      </c>
      <c r="N8" s="56">
        <f>+VLOOKUP(C8,'[1]stock au 25-03-25'!A:L,12,FALSE)</f>
        <v>56949</v>
      </c>
      <c r="O8" t="s">
        <v>46</v>
      </c>
      <c r="P8" s="57">
        <v>11.69</v>
      </c>
      <c r="Q8" t="s">
        <v>46</v>
      </c>
      <c r="R8" s="25">
        <v>11.75</v>
      </c>
      <c r="S8" t="s">
        <v>46</v>
      </c>
      <c r="T8" s="26">
        <v>12</v>
      </c>
      <c r="U8" s="58">
        <f t="shared" si="5"/>
        <v>2.1276595744680851E-2</v>
      </c>
      <c r="V8" s="10">
        <f>IFERROR(VLOOKUP(C8,'[2]INDICATEURS ACHATS - Matières P'!$C$2:$G$209999,5,0),0)</f>
        <v>2240</v>
      </c>
      <c r="W8" s="27">
        <f t="shared" si="6"/>
        <v>26880</v>
      </c>
      <c r="X8" s="28">
        <v>12.09</v>
      </c>
      <c r="Y8" s="59">
        <v>2434.9202592256006</v>
      </c>
      <c r="Z8" s="27">
        <f t="shared" si="7"/>
        <v>29438.185934037512</v>
      </c>
      <c r="AA8" s="60">
        <f t="shared" si="0"/>
        <v>28610.313045900806</v>
      </c>
      <c r="AB8" s="60">
        <f t="shared" si="1"/>
        <v>827.87288813670602</v>
      </c>
      <c r="AC8" s="27">
        <f t="shared" si="8"/>
        <v>56318.185934037509</v>
      </c>
      <c r="AD8" s="61">
        <f>+VLOOKUP(C8,'[1]pic au 25-03'!C:R,16,FALSE)</f>
        <v>5064.6402592256009</v>
      </c>
      <c r="AE8" s="31" t="s">
        <v>45</v>
      </c>
      <c r="AF8" s="62">
        <v>59205.644630347269</v>
      </c>
      <c r="AG8" s="62" t="s">
        <v>46</v>
      </c>
      <c r="AH8" s="62">
        <v>62295.075188474897</v>
      </c>
      <c r="AI8" s="31" t="s">
        <v>46</v>
      </c>
      <c r="AJ8" s="28">
        <f t="shared" si="9"/>
        <v>56519.785934037507</v>
      </c>
      <c r="AK8" s="21">
        <f>+VLOOKUP(C8,'[1]stock au 25-03-25'!A:X,24,FALSE)</f>
        <v>389.72</v>
      </c>
      <c r="AL8" t="s">
        <v>45</v>
      </c>
      <c r="AM8" s="33">
        <f t="shared" si="2"/>
        <v>4674.9202592256006</v>
      </c>
      <c r="AN8" t="s">
        <v>45</v>
      </c>
      <c r="AO8" s="63">
        <f t="shared" si="3"/>
        <v>54759.168556929151</v>
      </c>
      <c r="AP8" s="64">
        <f t="shared" si="4"/>
        <v>54930.31304590081</v>
      </c>
      <c r="AQ8" t="s">
        <v>46</v>
      </c>
      <c r="AR8" s="36">
        <f>(AP8-AO8)/AO8</f>
        <v>3.1254033522026912E-3</v>
      </c>
      <c r="AS8" s="65"/>
      <c r="AT8" s="65">
        <f>(AM8-F8)/F8</f>
        <v>9.7019998327431099E-3</v>
      </c>
      <c r="AU8" s="65"/>
      <c r="AV8" s="66">
        <f>(AP8-J8)/J8</f>
        <v>1.2857725847746018E-2</v>
      </c>
      <c r="BB8" s="56">
        <f>+R8*F8</f>
        <v>54402.5</v>
      </c>
    </row>
    <row r="9" spans="1:54" ht="18.75" outlineLevel="1" x14ac:dyDescent="0.3">
      <c r="A9">
        <v>1</v>
      </c>
      <c r="B9" t="s">
        <v>42</v>
      </c>
      <c r="C9">
        <v>338272</v>
      </c>
      <c r="D9" t="s">
        <v>51</v>
      </c>
      <c r="E9" t="s">
        <v>44</v>
      </c>
      <c r="F9" s="21">
        <f>+VLOOKUP(C9,'[1]stock au 25-03-25'!A:D,4,FALSE)</f>
        <v>11600</v>
      </c>
      <c r="G9" t="s">
        <v>45</v>
      </c>
      <c r="H9" s="22">
        <f>+VLOOKUP(C9,'[1]stock au 25-03-25'!A:F,6,FALSE)</f>
        <v>1.7955172413793103</v>
      </c>
      <c r="I9" t="s">
        <v>46</v>
      </c>
      <c r="J9" s="56">
        <f>+VLOOKUP(C9,'[1]stock au 25-03-25'!A:H,8,FALSE)</f>
        <v>20828</v>
      </c>
      <c r="K9" t="s">
        <v>46</v>
      </c>
      <c r="L9" s="23">
        <v>2.27</v>
      </c>
      <c r="M9" t="s">
        <v>46</v>
      </c>
      <c r="N9" s="56">
        <f>+VLOOKUP(C9,'[1]stock au 25-03-25'!A:L,12,FALSE)</f>
        <v>26332</v>
      </c>
      <c r="O9" t="s">
        <v>46</v>
      </c>
      <c r="P9" s="57">
        <v>2.27</v>
      </c>
      <c r="Q9" t="s">
        <v>46</v>
      </c>
      <c r="R9" s="25">
        <v>2.25</v>
      </c>
      <c r="S9" t="s">
        <v>46</v>
      </c>
      <c r="T9" s="26">
        <v>2.0718749999999999</v>
      </c>
      <c r="U9" s="58">
        <f t="shared" si="5"/>
        <v>-7.9166666666666705E-2</v>
      </c>
      <c r="V9" s="10">
        <f>IFERROR(VLOOKUP(C9,'[2]INDICATEURS ACHATS - Matières P'!$C$2:$G$209999,5,0),0)</f>
        <v>6720</v>
      </c>
      <c r="W9" s="27">
        <f t="shared" si="6"/>
        <v>13923</v>
      </c>
      <c r="X9" s="28">
        <v>2.13</v>
      </c>
      <c r="Y9" s="59">
        <v>3235.3068183012797</v>
      </c>
      <c r="Z9" s="27">
        <f t="shared" si="7"/>
        <v>6891.2035229817257</v>
      </c>
      <c r="AA9" s="60">
        <f t="shared" si="0"/>
        <v>7279.4403411778794</v>
      </c>
      <c r="AB9" s="60">
        <f t="shared" si="1"/>
        <v>-388.23681819615376</v>
      </c>
      <c r="AC9" s="27">
        <f t="shared" si="8"/>
        <v>20814.203522981727</v>
      </c>
      <c r="AD9" s="61">
        <f>+VLOOKUP(C9,'[1]pic au 25-03'!C:R,16,FALSE)</f>
        <v>10936.25181830128</v>
      </c>
      <c r="AE9" s="31" t="s">
        <v>45</v>
      </c>
      <c r="AF9" s="62">
        <v>24825.291627543902</v>
      </c>
      <c r="AG9" s="62" t="s">
        <v>46</v>
      </c>
      <c r="AH9" s="62">
        <v>24825.291627543902</v>
      </c>
      <c r="AI9" s="31" t="s">
        <v>46</v>
      </c>
      <c r="AJ9" s="28">
        <f t="shared" si="9"/>
        <v>21204.803522981725</v>
      </c>
      <c r="AK9" s="21">
        <f>+VLOOKUP(C9,'[1]stock au 25-03-25'!A:X,24,FALSE)</f>
        <v>980.94500000000005</v>
      </c>
      <c r="AL9" t="s">
        <v>45</v>
      </c>
      <c r="AM9" s="33">
        <f t="shared" si="2"/>
        <v>9955.3068183012801</v>
      </c>
      <c r="AN9" t="s">
        <v>45</v>
      </c>
      <c r="AO9" s="63">
        <f t="shared" si="3"/>
        <v>17874.925035480952</v>
      </c>
      <c r="AP9" s="64">
        <f t="shared" si="4"/>
        <v>22399.44034117788</v>
      </c>
      <c r="AQ9" t="s">
        <v>46</v>
      </c>
      <c r="AR9" s="36">
        <f>(AP9-AO9)/AO9</f>
        <v>0.25312079892452483</v>
      </c>
      <c r="AS9" s="65"/>
      <c r="AT9" s="65">
        <f>(AM9-F9)/F9</f>
        <v>-0.14178389497402757</v>
      </c>
      <c r="AU9" s="65"/>
      <c r="AV9" s="66">
        <f>(AP9-J9)/J9</f>
        <v>7.5448451180040343E-2</v>
      </c>
      <c r="BB9" s="56">
        <f>+R9*F9</f>
        <v>26100</v>
      </c>
    </row>
    <row r="10" spans="1:54" ht="18.75" outlineLevel="1" x14ac:dyDescent="0.3">
      <c r="A10">
        <v>1</v>
      </c>
      <c r="B10" t="s">
        <v>42</v>
      </c>
      <c r="C10">
        <v>345072</v>
      </c>
      <c r="D10" t="s">
        <v>52</v>
      </c>
      <c r="E10" t="s">
        <v>44</v>
      </c>
      <c r="F10" s="21">
        <f>+VLOOKUP(C10,'[1]stock au 25-03-25'!A:D,4,FALSE)</f>
        <v>2800</v>
      </c>
      <c r="G10" t="s">
        <v>45</v>
      </c>
      <c r="H10" s="22">
        <f>+VLOOKUP(C10,'[1]stock au 25-03-25'!A:F,6,FALSE)</f>
        <v>8.805714285714286</v>
      </c>
      <c r="I10" t="s">
        <v>46</v>
      </c>
      <c r="J10" s="56">
        <f>+VLOOKUP(C10,'[1]stock au 25-03-25'!A:H,8,FALSE)</f>
        <v>24656</v>
      </c>
      <c r="K10" t="s">
        <v>46</v>
      </c>
      <c r="L10" s="23">
        <v>21.5</v>
      </c>
      <c r="M10" t="s">
        <v>46</v>
      </c>
      <c r="N10" s="56">
        <f>+VLOOKUP(C10,'[1]stock au 25-03-25'!A:L,12,FALSE)</f>
        <v>60200</v>
      </c>
      <c r="O10" t="s">
        <v>46</v>
      </c>
      <c r="P10" s="57">
        <v>11.4</v>
      </c>
      <c r="Q10" t="s">
        <v>46</v>
      </c>
      <c r="R10" s="25">
        <v>7.82</v>
      </c>
      <c r="S10" t="s">
        <v>46</v>
      </c>
      <c r="T10" s="26" t="s">
        <v>53</v>
      </c>
      <c r="U10" s="58" t="str">
        <f t="shared" si="5"/>
        <v/>
      </c>
      <c r="V10" s="10">
        <f>IFERROR(VLOOKUP(C10,'[2]INDICATEURS ACHATS - Matières P'!$C$2:$G$209999,5,0),0)</f>
        <v>0</v>
      </c>
      <c r="W10" s="27">
        <f t="shared" si="6"/>
        <v>0</v>
      </c>
      <c r="X10" s="28">
        <v>7.69</v>
      </c>
      <c r="Y10" s="59">
        <v>2578.2188254526759</v>
      </c>
      <c r="Z10" s="27">
        <f>Y10*X10</f>
        <v>19826.502767731079</v>
      </c>
      <c r="AA10" s="60">
        <f t="shared" si="0"/>
        <v>20161.671215039925</v>
      </c>
      <c r="AB10" s="60">
        <f t="shared" si="1"/>
        <v>-335.16844730884623</v>
      </c>
      <c r="AC10" s="27">
        <f t="shared" si="8"/>
        <v>19826.502767731079</v>
      </c>
      <c r="AD10" s="61">
        <f>+VLOOKUP(C10,'[1]pic au 25-03'!C:R,16,FALSE)</f>
        <v>2795.9188254526757</v>
      </c>
      <c r="AE10" s="31" t="s">
        <v>45</v>
      </c>
      <c r="AF10" s="62">
        <v>31873.474610160505</v>
      </c>
      <c r="AG10" s="62" t="s">
        <v>46</v>
      </c>
      <c r="AH10" s="62">
        <v>60112.254747232531</v>
      </c>
      <c r="AI10" s="31" t="s">
        <v>46</v>
      </c>
      <c r="AJ10" s="28">
        <f t="shared" si="9"/>
        <v>19826.502767731079</v>
      </c>
      <c r="AK10" s="21">
        <f>+VLOOKUP(C10,'[1]stock au 25-03-25'!A:X,24,FALSE)</f>
        <v>217.7</v>
      </c>
      <c r="AL10" t="s">
        <v>45</v>
      </c>
      <c r="AM10" s="33">
        <f t="shared" si="2"/>
        <v>2578.2188254526759</v>
      </c>
      <c r="AN10" t="s">
        <v>45</v>
      </c>
      <c r="AO10" s="63">
        <f t="shared" si="3"/>
        <v>22703.058342986136</v>
      </c>
      <c r="AP10" s="64">
        <f t="shared" si="4"/>
        <v>20161.671215039925</v>
      </c>
      <c r="AQ10" t="s">
        <v>46</v>
      </c>
      <c r="AR10" s="36">
        <f>(AP10-AO10)/AO10</f>
        <v>-0.11194029850746276</v>
      </c>
      <c r="AS10" s="65"/>
      <c r="AT10" s="65">
        <f>(AM10-F10)/F10</f>
        <v>-7.920756233833004E-2</v>
      </c>
      <c r="AU10" s="65"/>
      <c r="AV10" s="66">
        <f>(AP10-J10)/J10</f>
        <v>-0.18228134267359161</v>
      </c>
      <c r="BB10" s="56">
        <f>+R10*F10</f>
        <v>21896</v>
      </c>
    </row>
    <row r="11" spans="1:54" ht="18.75" outlineLevel="1" x14ac:dyDescent="0.3">
      <c r="A11">
        <v>1</v>
      </c>
      <c r="B11" t="s">
        <v>42</v>
      </c>
      <c r="C11">
        <v>338356</v>
      </c>
      <c r="D11" t="s">
        <v>54</v>
      </c>
      <c r="E11" t="s">
        <v>44</v>
      </c>
      <c r="F11" s="21">
        <f>+VLOOKUP(C11,'[1]stock au 25-03-25'!A:D,4,FALSE)</f>
        <v>60</v>
      </c>
      <c r="G11" t="s">
        <v>45</v>
      </c>
      <c r="H11" s="22">
        <f>+VLOOKUP(C11,'[1]stock au 25-03-25'!A:F,6,FALSE)</f>
        <v>170</v>
      </c>
      <c r="I11" t="s">
        <v>46</v>
      </c>
      <c r="J11" s="56">
        <f>+VLOOKUP(C11,'[1]stock au 25-03-25'!A:H,8,FALSE)</f>
        <v>10200</v>
      </c>
      <c r="K11" t="s">
        <v>46</v>
      </c>
      <c r="L11" s="23">
        <v>188.7</v>
      </c>
      <c r="M11" t="s">
        <v>46</v>
      </c>
      <c r="N11" s="56">
        <f>+VLOOKUP(C11,'[1]stock au 25-03-25'!A:L,12,FALSE)</f>
        <v>11322</v>
      </c>
      <c r="O11" t="s">
        <v>46</v>
      </c>
      <c r="P11" s="57">
        <v>188.7</v>
      </c>
      <c r="Q11" t="s">
        <v>46</v>
      </c>
      <c r="R11" s="25">
        <f>H11*(1+VLOOKUP(A11,'[1]Variation MP'!$B$3:$D$22,3))</f>
        <v>170</v>
      </c>
      <c r="S11" t="s">
        <v>46</v>
      </c>
      <c r="T11" s="26" t="s">
        <v>53</v>
      </c>
      <c r="U11" s="58" t="str">
        <f t="shared" si="5"/>
        <v/>
      </c>
      <c r="V11" s="10">
        <f>IFERROR(VLOOKUP(C11,'[2]INDICATEURS ACHATS - Matières P'!$C$2:$G$209999,5,0),0)</f>
        <v>0</v>
      </c>
      <c r="W11" s="27">
        <f t="shared" si="6"/>
        <v>0</v>
      </c>
      <c r="X11" s="28">
        <v>123</v>
      </c>
      <c r="Y11" s="59">
        <v>43.395685526315788</v>
      </c>
      <c r="Z11" s="27">
        <f t="shared" si="7"/>
        <v>5337.6693197368422</v>
      </c>
      <c r="AA11" s="60">
        <f t="shared" si="0"/>
        <v>7377.2665394736841</v>
      </c>
      <c r="AB11" s="60">
        <f t="shared" si="1"/>
        <v>-2039.5972197368419</v>
      </c>
      <c r="AC11" s="27">
        <f t="shared" si="8"/>
        <v>5337.6693197368422</v>
      </c>
      <c r="AD11" s="61">
        <f>+VLOOKUP(C11,'[1]pic au 25-03'!C:R,16,FALSE)</f>
        <v>63.95268552631579</v>
      </c>
      <c r="AE11" s="31" t="s">
        <v>45</v>
      </c>
      <c r="AF11" s="62">
        <v>12067.871758815789</v>
      </c>
      <c r="AG11" s="62" t="s">
        <v>46</v>
      </c>
      <c r="AH11" s="62">
        <v>12067.871758815789</v>
      </c>
      <c r="AI11" s="31" t="s">
        <v>46</v>
      </c>
      <c r="AJ11" s="28">
        <f t="shared" si="9"/>
        <v>5337.6693197368422</v>
      </c>
      <c r="AK11" s="21">
        <f>+VLOOKUP(C11,'[1]stock au 25-03-25'!A:X,24,FALSE)</f>
        <v>20.556999999999999</v>
      </c>
      <c r="AL11" t="s">
        <v>45</v>
      </c>
      <c r="AM11" s="33">
        <f t="shared" si="2"/>
        <v>43.395685526315788</v>
      </c>
      <c r="AN11" t="s">
        <v>45</v>
      </c>
      <c r="AO11" s="63">
        <f t="shared" si="3"/>
        <v>7377.2665394736841</v>
      </c>
      <c r="AP11" s="64">
        <f t="shared" si="4"/>
        <v>7377.2665394736841</v>
      </c>
      <c r="AQ11" t="s">
        <v>46</v>
      </c>
      <c r="AR11" s="36">
        <f>(AP11-AO11)/AO11</f>
        <v>0</v>
      </c>
      <c r="AS11" s="65"/>
      <c r="AT11" s="65">
        <f>(AM11-F11)/F11</f>
        <v>-0.27673857456140355</v>
      </c>
      <c r="AU11" s="65"/>
      <c r="AV11" s="66">
        <f>(AP11-J11)/J11</f>
        <v>-0.27673857456140349</v>
      </c>
      <c r="BB11" s="56">
        <f>+R11*F11</f>
        <v>10200</v>
      </c>
    </row>
    <row r="12" spans="1:54" ht="18.75" outlineLevel="1" x14ac:dyDescent="0.3">
      <c r="A12">
        <v>1</v>
      </c>
      <c r="B12" t="s">
        <v>42</v>
      </c>
      <c r="C12">
        <v>360019</v>
      </c>
      <c r="D12" t="s">
        <v>55</v>
      </c>
      <c r="E12" t="s">
        <v>44</v>
      </c>
      <c r="F12" s="21">
        <f>+VLOOKUP(C12,'[1]stock au 25-03-25'!A:D,4,FALSE)</f>
        <v>100</v>
      </c>
      <c r="G12" t="s">
        <v>45</v>
      </c>
      <c r="H12" s="22">
        <f>+VLOOKUP(C12,'[1]stock au 25-03-25'!A:F,6,FALSE)</f>
        <v>2.4</v>
      </c>
      <c r="I12" t="s">
        <v>46</v>
      </c>
      <c r="J12" s="56">
        <f>+VLOOKUP(C12,'[1]stock au 25-03-25'!A:H,8,FALSE)</f>
        <v>240</v>
      </c>
      <c r="K12" t="s">
        <v>46</v>
      </c>
      <c r="L12" s="23">
        <v>2.23</v>
      </c>
      <c r="M12" t="s">
        <v>46</v>
      </c>
      <c r="N12" s="56">
        <f>+VLOOKUP(C12,'[1]stock au 25-03-25'!A:L,12,FALSE)</f>
        <v>223</v>
      </c>
      <c r="O12" t="s">
        <v>46</v>
      </c>
      <c r="P12" s="57">
        <v>2.23</v>
      </c>
      <c r="Q12" t="s">
        <v>46</v>
      </c>
      <c r="R12" s="25">
        <f>H12*(1+VLOOKUP(A12,'[1]Variation MP'!$B$3:$D$22,3))</f>
        <v>2.4</v>
      </c>
      <c r="S12" t="s">
        <v>46</v>
      </c>
      <c r="T12" s="26">
        <v>3.8</v>
      </c>
      <c r="U12" s="58">
        <f t="shared" si="5"/>
        <v>0.58333333333333337</v>
      </c>
      <c r="V12" s="10">
        <f>IFERROR(VLOOKUP(C12,'[2]INDICATEURS ACHATS - Matières P'!$C$2:$G$209999,5,0),0)</f>
        <v>150</v>
      </c>
      <c r="W12" s="27">
        <f t="shared" si="6"/>
        <v>570</v>
      </c>
      <c r="X12" s="28">
        <v>3.8</v>
      </c>
      <c r="Y12" s="59">
        <v>434.83089716868369</v>
      </c>
      <c r="Z12" s="27">
        <f t="shared" si="7"/>
        <v>1652.3574092409979</v>
      </c>
      <c r="AA12" s="60">
        <f t="shared" si="0"/>
        <v>1043.5941532048407</v>
      </c>
      <c r="AB12" s="60">
        <f t="shared" si="1"/>
        <v>608.76325603615714</v>
      </c>
      <c r="AC12" s="27">
        <f t="shared" si="8"/>
        <v>2222.3574092409981</v>
      </c>
      <c r="AD12" s="61">
        <f>+VLOOKUP(C12,'[1]pic au 25-03'!C:R,16,FALSE)</f>
        <v>659.87789716868372</v>
      </c>
      <c r="AE12" s="31" t="s">
        <v>45</v>
      </c>
      <c r="AF12" s="62">
        <v>1471.5277106861647</v>
      </c>
      <c r="AG12" s="62" t="s">
        <v>46</v>
      </c>
      <c r="AH12" s="62">
        <v>1471.5277106861647</v>
      </c>
      <c r="AI12" s="31" t="s">
        <v>46</v>
      </c>
      <c r="AJ12" s="28">
        <f t="shared" si="9"/>
        <v>2222.3574092409981</v>
      </c>
      <c r="AK12" s="21">
        <f>+VLOOKUP(C12,'[1]stock au 25-03-25'!A:X,24,FALSE)</f>
        <v>75.046999999999997</v>
      </c>
      <c r="AL12" t="s">
        <v>45</v>
      </c>
      <c r="AM12" s="33">
        <f t="shared" si="2"/>
        <v>584.83089716868369</v>
      </c>
      <c r="AN12" t="s">
        <v>45</v>
      </c>
      <c r="AO12" s="63">
        <f t="shared" si="3"/>
        <v>1403.5941532048407</v>
      </c>
      <c r="AP12" s="64">
        <f t="shared" si="4"/>
        <v>1403.5941532048407</v>
      </c>
      <c r="AQ12" t="s">
        <v>46</v>
      </c>
      <c r="AR12" s="36">
        <f>(AP12-AO12)/AO12</f>
        <v>0</v>
      </c>
      <c r="AS12" s="65"/>
      <c r="AT12" s="65">
        <f>(AM12-F12)/F12</f>
        <v>4.8483089716868371</v>
      </c>
      <c r="AU12" s="65"/>
      <c r="AV12" s="66">
        <f>(AP12-J12)/J12</f>
        <v>4.8483089716868362</v>
      </c>
      <c r="BB12" s="56">
        <f>+R12*F12</f>
        <v>240</v>
      </c>
    </row>
    <row r="13" spans="1:54" ht="18.75" outlineLevel="1" x14ac:dyDescent="0.3">
      <c r="A13">
        <v>1</v>
      </c>
      <c r="B13" t="s">
        <v>42</v>
      </c>
      <c r="C13">
        <v>338355</v>
      </c>
      <c r="D13" t="s">
        <v>56</v>
      </c>
      <c r="E13" t="s">
        <v>44</v>
      </c>
      <c r="F13" s="21">
        <f>+VLOOKUP(C13,'[1]stock au 25-03-25'!A:D,4,FALSE)</f>
        <v>60</v>
      </c>
      <c r="G13" t="s">
        <v>45</v>
      </c>
      <c r="H13" s="22">
        <f>+VLOOKUP(C13,'[1]stock au 25-03-25'!A:F,6,FALSE)</f>
        <v>8.25</v>
      </c>
      <c r="I13" t="s">
        <v>46</v>
      </c>
      <c r="J13" s="56">
        <f>+VLOOKUP(C13,'[1]stock au 25-03-25'!A:H,8,FALSE)</f>
        <v>495</v>
      </c>
      <c r="K13" t="s">
        <v>46</v>
      </c>
      <c r="L13" s="23">
        <v>9.5</v>
      </c>
      <c r="M13" t="s">
        <v>46</v>
      </c>
      <c r="N13" s="56">
        <f>+VLOOKUP(C13,'[1]stock au 25-03-25'!A:L,12,FALSE)</f>
        <v>570</v>
      </c>
      <c r="O13" t="s">
        <v>46</v>
      </c>
      <c r="P13" s="57">
        <v>8.42</v>
      </c>
      <c r="Q13" t="s">
        <v>46</v>
      </c>
      <c r="R13" s="25">
        <f>H13*(1+VLOOKUP(A13,'[1]Variation MP'!$B$3:$D$22,3))</f>
        <v>8.25</v>
      </c>
      <c r="S13" t="s">
        <v>46</v>
      </c>
      <c r="T13" s="26" t="s">
        <v>53</v>
      </c>
      <c r="U13" s="58" t="str">
        <f t="shared" si="5"/>
        <v/>
      </c>
      <c r="V13" s="10">
        <f>IFERROR(VLOOKUP(C13,'[2]INDICATEURS ACHATS - Matières P'!$C$2:$G$209999,5,0),0)</f>
        <v>0</v>
      </c>
      <c r="W13" s="27">
        <f t="shared" si="6"/>
        <v>0</v>
      </c>
      <c r="X13" s="28">
        <v>8.25</v>
      </c>
      <c r="Y13" s="59">
        <v>25.579006999999997</v>
      </c>
      <c r="Z13" s="27">
        <f t="shared" si="7"/>
        <v>211.02680774999999</v>
      </c>
      <c r="AA13" s="60">
        <f t="shared" si="0"/>
        <v>211.02680774999999</v>
      </c>
      <c r="AB13" s="60">
        <f t="shared" si="1"/>
        <v>0</v>
      </c>
      <c r="AC13" s="27">
        <f t="shared" si="8"/>
        <v>211.02680774999999</v>
      </c>
      <c r="AD13" s="61">
        <f>+VLOOKUP(C13,'[1]pic au 25-03'!C:R,16,FALSE)</f>
        <v>50.771006999999997</v>
      </c>
      <c r="AE13" s="31" t="s">
        <v>45</v>
      </c>
      <c r="AF13" s="62">
        <v>427.49187893999999</v>
      </c>
      <c r="AG13" s="62" t="s">
        <v>46</v>
      </c>
      <c r="AH13" s="62">
        <v>482.32456649999995</v>
      </c>
      <c r="AI13" s="31" t="s">
        <v>46</v>
      </c>
      <c r="AJ13" s="28">
        <f t="shared" si="9"/>
        <v>211.02680774999999</v>
      </c>
      <c r="AK13" s="21">
        <f>+VLOOKUP(C13,'[1]stock au 25-03-25'!A:X,24,FALSE)</f>
        <v>25.192</v>
      </c>
      <c r="AL13" t="s">
        <v>45</v>
      </c>
      <c r="AM13" s="33">
        <f t="shared" si="2"/>
        <v>25.579006999999997</v>
      </c>
      <c r="AN13" t="s">
        <v>45</v>
      </c>
      <c r="AO13" s="63">
        <f t="shared" si="3"/>
        <v>211.02680774999999</v>
      </c>
      <c r="AP13" s="64">
        <f t="shared" si="4"/>
        <v>211.02680774999999</v>
      </c>
      <c r="AQ13" t="s">
        <v>46</v>
      </c>
      <c r="AR13" s="36">
        <f>(AP13-AO13)/AO13</f>
        <v>0</v>
      </c>
      <c r="AS13" s="65"/>
      <c r="AT13" s="65">
        <f>(AM13-F13)/F13</f>
        <v>-0.57368321666666666</v>
      </c>
      <c r="AU13" s="65"/>
      <c r="AV13" s="66">
        <f>(AP13-J13)/J13</f>
        <v>-0.57368321666666666</v>
      </c>
      <c r="BB13" s="56">
        <f>+R13*F13</f>
        <v>495</v>
      </c>
    </row>
    <row r="14" spans="1:54" x14ac:dyDescent="0.25">
      <c r="A14" s="67"/>
      <c r="B14" s="67" t="s">
        <v>57</v>
      </c>
      <c r="C14" s="67"/>
      <c r="D14" s="67"/>
      <c r="E14" s="67"/>
      <c r="F14" s="68">
        <f>SUM(F4:F13)</f>
        <v>205830</v>
      </c>
      <c r="G14" s="67" t="s">
        <v>45</v>
      </c>
      <c r="H14" s="69"/>
      <c r="I14" s="67"/>
      <c r="J14" s="70">
        <f>SUM(J4:J13)</f>
        <v>581462.03</v>
      </c>
      <c r="K14" s="67"/>
      <c r="L14" s="69"/>
      <c r="M14" s="67"/>
      <c r="N14" s="70">
        <f>SUM(N4:N13)</f>
        <v>655376</v>
      </c>
      <c r="O14" s="67"/>
      <c r="P14" s="71"/>
      <c r="Q14" s="67"/>
      <c r="R14" s="72"/>
      <c r="S14" s="67"/>
      <c r="T14" s="73"/>
      <c r="U14" s="73"/>
      <c r="V14" s="10">
        <f>IFERROR(VLOOKUP(C14,'[2]INDICATEURS ACHATS - Matières P'!$C$2:$G$209999,5,0),0)</f>
        <v>0</v>
      </c>
      <c r="W14" s="60">
        <f>SUM(W4:W13)</f>
        <v>226752.84</v>
      </c>
      <c r="X14" s="28">
        <f>SUM(X4:X13)</f>
        <v>171.55728571428574</v>
      </c>
      <c r="Y14" s="59">
        <v>-19660.804</v>
      </c>
      <c r="Z14" s="60">
        <f>SUM(Z4:Z13)</f>
        <v>415473.4001138329</v>
      </c>
      <c r="AA14" s="60">
        <f t="shared" si="0"/>
        <v>0</v>
      </c>
      <c r="AB14" s="60"/>
      <c r="AC14" s="60">
        <f t="shared" si="8"/>
        <v>642226.24011383287</v>
      </c>
      <c r="AD14" s="74">
        <f>SUM(AD4:AD13)</f>
        <v>239079.09761108749</v>
      </c>
      <c r="AE14" s="75"/>
      <c r="AF14" s="76">
        <f>SUM(AF4:AF13)</f>
        <v>695628.25547825918</v>
      </c>
      <c r="AG14" s="75"/>
      <c r="AH14" s="76">
        <f>SUM(AH4:AH13)</f>
        <v>764227.33571297501</v>
      </c>
      <c r="AI14" s="75"/>
      <c r="AJ14" s="28">
        <f>SUM(AJ4:AJ13)</f>
        <v>647751.880113833</v>
      </c>
      <c r="AK14" s="77">
        <f>SUM(AK4:AK13)</f>
        <v>19660.804</v>
      </c>
      <c r="AL14" s="78">
        <v>0</v>
      </c>
      <c r="AM14" s="79">
        <f>SUM(AM4:AM13)</f>
        <v>219418.29361108749</v>
      </c>
      <c r="AN14" s="78" t="s">
        <v>45</v>
      </c>
      <c r="AO14" s="80">
        <f>SUM(AO4:AO13)</f>
        <v>622342.16826955858</v>
      </c>
      <c r="AP14" s="80">
        <f>SUM(AP4:AP13)</f>
        <v>659205.64994251716</v>
      </c>
      <c r="AQ14" s="67"/>
      <c r="AR14" s="81">
        <f>(AP14-AO14)/AO14</f>
        <v>5.9233462799827025E-2</v>
      </c>
      <c r="AS14" s="72">
        <f>AP14-AO14</f>
        <v>36863.481672958587</v>
      </c>
      <c r="AT14" s="81">
        <f>(AO14-J14)/J14</f>
        <v>7.0305774341892197E-2</v>
      </c>
      <c r="AU14" s="82">
        <f>AO14-J14</f>
        <v>40880.138269558549</v>
      </c>
      <c r="AV14" s="81">
        <f>(AP14-J14)/J14</f>
        <v>0.13370369161081272</v>
      </c>
      <c r="AW14" s="72">
        <f>AP14-N14</f>
        <v>3829.6499425171642</v>
      </c>
      <c r="AX14" s="67"/>
      <c r="AY14" s="67"/>
      <c r="AZ14" s="81">
        <f>(AM14-F14)/F14</f>
        <v>6.6017070451768384E-2</v>
      </c>
      <c r="BA14" s="81">
        <f>(AP14-N14)/N14</f>
        <v>5.8434394035136537E-3</v>
      </c>
      <c r="BB14" s="70">
        <f>SUM(BB4:BB13)</f>
        <v>618649.5</v>
      </c>
    </row>
    <row r="15" spans="1:54" ht="18.75" outlineLevel="1" x14ac:dyDescent="0.3">
      <c r="A15">
        <v>2</v>
      </c>
      <c r="B15" t="s">
        <v>58</v>
      </c>
      <c r="C15">
        <v>340999</v>
      </c>
      <c r="D15" t="s">
        <v>59</v>
      </c>
      <c r="E15" t="s">
        <v>60</v>
      </c>
      <c r="F15" s="21">
        <f>+VLOOKUP(C15,'[1]stock au 25-03-25'!A:D,4,FALSE)</f>
        <v>31800</v>
      </c>
      <c r="G15" t="s">
        <v>45</v>
      </c>
      <c r="H15" s="22">
        <f>+VLOOKUP(C15,'[1]stock au 25-03-25'!A:F,6,FALSE)</f>
        <v>5.4528301886792452</v>
      </c>
      <c r="I15" t="s">
        <v>46</v>
      </c>
      <c r="J15" s="56">
        <f>+VLOOKUP(C15,'[1]stock au 25-03-25'!A:H,8,FALSE)</f>
        <v>173400</v>
      </c>
      <c r="K15" t="s">
        <v>46</v>
      </c>
      <c r="L15" s="23">
        <v>6.26</v>
      </c>
      <c r="M15" t="s">
        <v>46</v>
      </c>
      <c r="N15" s="56">
        <f>+VLOOKUP(C15,'[1]stock au 25-03-25'!A:L,12,FALSE)</f>
        <v>199068</v>
      </c>
      <c r="P15" s="57">
        <v>6.26</v>
      </c>
      <c r="Q15" t="s">
        <v>46</v>
      </c>
      <c r="R15" s="25">
        <v>5.6</v>
      </c>
      <c r="T15" s="26">
        <v>5.59</v>
      </c>
      <c r="U15" s="58">
        <f t="shared" ref="U15:U78" si="10">IFERROR((T15-R15)/R15,"")</f>
        <v>-1.7857142857142477E-3</v>
      </c>
      <c r="V15" s="10">
        <f>IFERROR(VLOOKUP(C15,'[2]INDICATEURS ACHATS - Matières P'!$C$2:$G$209999,5,0),0)</f>
        <v>12000</v>
      </c>
      <c r="W15" s="60">
        <f t="shared" si="6"/>
        <v>67080</v>
      </c>
      <c r="X15" s="28">
        <v>5.59</v>
      </c>
      <c r="Y15" s="59">
        <v>14268.74706738006</v>
      </c>
      <c r="Z15" s="60">
        <f t="shared" si="7"/>
        <v>79762.296106654539</v>
      </c>
      <c r="AA15" s="60">
        <f t="shared" si="0"/>
        <v>79904.983577328327</v>
      </c>
      <c r="AB15" s="60">
        <f t="shared" si="1"/>
        <v>-142.68747067378717</v>
      </c>
      <c r="AC15" s="60">
        <f t="shared" si="8"/>
        <v>146842.29610665454</v>
      </c>
      <c r="AD15" s="61">
        <f>+VLOOKUP(C15,'[1]pic au 25-03'!C:R,16,FALSE)</f>
        <v>31085.652401380059</v>
      </c>
      <c r="AE15" s="31" t="s">
        <v>45</v>
      </c>
      <c r="AF15" s="62">
        <v>199419.16046545989</v>
      </c>
      <c r="AG15" s="31" t="s">
        <v>46</v>
      </c>
      <c r="AH15" s="62">
        <v>199419.16046545989</v>
      </c>
      <c r="AI15" s="31"/>
      <c r="AJ15" s="28">
        <f t="shared" si="9"/>
        <v>146842.29610665454</v>
      </c>
      <c r="AK15" s="21">
        <f>+VLOOKUP(C15,'[1]stock au 25-03-25'!A:X,24,FALSE)</f>
        <v>4816.905334</v>
      </c>
      <c r="AL15" t="s">
        <v>45</v>
      </c>
      <c r="AM15" s="21">
        <f t="shared" ref="AM15:AM77" si="11">AD15-AK15</f>
        <v>26268.74706738006</v>
      </c>
      <c r="AN15" t="s">
        <v>45</v>
      </c>
      <c r="AO15" s="63">
        <v>148963.03204338707</v>
      </c>
      <c r="AP15" s="64">
        <f t="shared" ref="AP15:AP78" si="12">IF(AM15&lt;0,0,AM15*R15)</f>
        <v>147104.98357732833</v>
      </c>
      <c r="AQ15" t="s">
        <v>46</v>
      </c>
      <c r="AR15" s="36">
        <f>(AP15-AO15)/AO15</f>
        <v>-1.2473218627273663E-2</v>
      </c>
      <c r="AS15" s="81"/>
      <c r="AT15" s="81">
        <f>(AO15-J15)/J15</f>
        <v>-0.14092830424805614</v>
      </c>
      <c r="AU15" s="81"/>
      <c r="AV15" s="66">
        <f>(AP15-J15)/J15</f>
        <v>-0.15164369332567285</v>
      </c>
      <c r="BB15" s="56">
        <f>+R15*F15</f>
        <v>178080</v>
      </c>
    </row>
    <row r="16" spans="1:54" ht="18.75" outlineLevel="1" x14ac:dyDescent="0.3">
      <c r="A16">
        <v>2</v>
      </c>
      <c r="B16" t="s">
        <v>58</v>
      </c>
      <c r="C16">
        <v>338020</v>
      </c>
      <c r="D16" t="s">
        <v>61</v>
      </c>
      <c r="E16" t="s">
        <v>62</v>
      </c>
      <c r="F16" s="21">
        <f>+VLOOKUP(C16,'[1]stock au 25-03-25'!A:D,4,FALSE)</f>
        <v>3990</v>
      </c>
      <c r="G16" t="s">
        <v>45</v>
      </c>
      <c r="H16" s="22">
        <f>+VLOOKUP(C16,'[1]stock au 25-03-25'!A:F,6,FALSE)</f>
        <v>23.19</v>
      </c>
      <c r="I16" t="s">
        <v>46</v>
      </c>
      <c r="J16" s="56">
        <f>+VLOOKUP(C16,'[1]stock au 25-03-25'!A:H,8,FALSE)</f>
        <v>92528.1</v>
      </c>
      <c r="K16" t="s">
        <v>46</v>
      </c>
      <c r="L16" s="23">
        <v>23.99</v>
      </c>
      <c r="M16" t="s">
        <v>46</v>
      </c>
      <c r="N16" s="56">
        <f>+VLOOKUP(C16,'[1]stock au 25-03-25'!A:L,12,FALSE)</f>
        <v>95720.099999999991</v>
      </c>
      <c r="P16" s="57">
        <v>23.99</v>
      </c>
      <c r="Q16" t="s">
        <v>46</v>
      </c>
      <c r="R16" s="25">
        <v>23.35</v>
      </c>
      <c r="T16" s="26">
        <v>23.35</v>
      </c>
      <c r="U16" s="58">
        <f t="shared" si="10"/>
        <v>0</v>
      </c>
      <c r="V16" s="10">
        <f>IFERROR(VLOOKUP(C16,'[2]INDICATEURS ACHATS - Matières P'!$C$2:$G$209999,5,0),0)</f>
        <v>1405</v>
      </c>
      <c r="W16" s="60">
        <f t="shared" si="6"/>
        <v>32806.75</v>
      </c>
      <c r="X16" s="28">
        <v>23.35</v>
      </c>
      <c r="Y16" s="59">
        <v>2416.1347284595904</v>
      </c>
      <c r="Z16" s="60">
        <f t="shared" si="7"/>
        <v>56416.745909531441</v>
      </c>
      <c r="AA16" s="60">
        <f t="shared" si="0"/>
        <v>56416.745909531441</v>
      </c>
      <c r="AB16" s="60">
        <f t="shared" si="1"/>
        <v>0</v>
      </c>
      <c r="AC16" s="60">
        <f t="shared" si="8"/>
        <v>89223.495909531441</v>
      </c>
      <c r="AD16" s="61">
        <f>+VLOOKUP(C16,'[1]pic au 25-03'!C:R,16,FALSE)</f>
        <v>4673.3835834595884</v>
      </c>
      <c r="AE16" s="31" t="s">
        <v>45</v>
      </c>
      <c r="AF16" s="62">
        <v>112114.47216719552</v>
      </c>
      <c r="AG16" s="31" t="s">
        <v>46</v>
      </c>
      <c r="AH16" s="62">
        <v>112114.47216719552</v>
      </c>
      <c r="AI16" s="31"/>
      <c r="AJ16" s="28">
        <f t="shared" si="9"/>
        <v>89223.495909531397</v>
      </c>
      <c r="AK16" s="21">
        <f>+VLOOKUP(C16,'[1]stock au 25-03-25'!A:X,24,FALSE)</f>
        <v>852.24885500000005</v>
      </c>
      <c r="AL16" t="s">
        <v>45</v>
      </c>
      <c r="AM16" s="21">
        <f t="shared" si="11"/>
        <v>3821.1347284595886</v>
      </c>
      <c r="AN16" t="s">
        <v>45</v>
      </c>
      <c r="AO16" s="63">
        <v>86766.68420721787</v>
      </c>
      <c r="AP16" s="64">
        <f t="shared" si="12"/>
        <v>89223.495909531397</v>
      </c>
      <c r="AQ16" t="s">
        <v>46</v>
      </c>
      <c r="AR16" s="36">
        <f>(AP16-AO16)/AO16</f>
        <v>2.8315150276413955E-2</v>
      </c>
      <c r="AS16" s="81"/>
      <c r="AT16" s="81">
        <f>(AO16-J16)/J16</f>
        <v>-6.2266660536443912E-2</v>
      </c>
      <c r="AU16" s="81"/>
      <c r="AV16" s="66">
        <f>(AP16-J16)/J16</f>
        <v>-3.5714600110329821E-2</v>
      </c>
      <c r="BB16" s="56">
        <f>+R16*F16</f>
        <v>93166.5</v>
      </c>
    </row>
    <row r="17" spans="1:54" ht="18.75" outlineLevel="1" x14ac:dyDescent="0.3">
      <c r="A17">
        <v>2</v>
      </c>
      <c r="B17" t="s">
        <v>58</v>
      </c>
      <c r="C17">
        <v>338449</v>
      </c>
      <c r="D17" t="s">
        <v>63</v>
      </c>
      <c r="E17" t="s">
        <v>62</v>
      </c>
      <c r="F17" s="21">
        <f>+VLOOKUP(C17,'[1]stock au 25-03-25'!A:D,4,FALSE)</f>
        <v>9930</v>
      </c>
      <c r="G17" t="s">
        <v>45</v>
      </c>
      <c r="H17" s="22">
        <f>+VLOOKUP(C17,'[1]stock au 25-03-25'!A:F,6,FALSE)</f>
        <v>9.4</v>
      </c>
      <c r="I17" t="s">
        <v>46</v>
      </c>
      <c r="J17" s="56">
        <f>+VLOOKUP(C17,'[1]stock au 25-03-25'!A:H,8,FALSE)</f>
        <v>93342</v>
      </c>
      <c r="K17" t="s">
        <v>46</v>
      </c>
      <c r="L17" s="23">
        <v>9.6999999999999993</v>
      </c>
      <c r="M17" t="s">
        <v>46</v>
      </c>
      <c r="N17" s="56">
        <f>+VLOOKUP(C17,'[1]stock au 25-03-25'!A:L,12,FALSE)</f>
        <v>96321</v>
      </c>
      <c r="P17" s="57">
        <v>9.6999999999999993</v>
      </c>
      <c r="Q17" t="s">
        <v>46</v>
      </c>
      <c r="R17" s="25">
        <v>9.6999999999999993</v>
      </c>
      <c r="T17" s="26">
        <v>9.4</v>
      </c>
      <c r="U17" s="58">
        <f t="shared" si="10"/>
        <v>-3.0927835051546285E-2</v>
      </c>
      <c r="V17" s="10">
        <f>IFERROR(VLOOKUP(C17,'[2]INDICATEURS ACHATS - Matières P'!$C$2:$G$209999,5,0),0)</f>
        <v>5910</v>
      </c>
      <c r="W17" s="60">
        <f t="shared" si="6"/>
        <v>55554</v>
      </c>
      <c r="X17" s="28">
        <v>9.4</v>
      </c>
      <c r="Y17" s="59">
        <v>2523.9408480662159</v>
      </c>
      <c r="Z17" s="60">
        <f t="shared" si="7"/>
        <v>23725.04397182243</v>
      </c>
      <c r="AA17" s="60">
        <f t="shared" si="0"/>
        <v>24482.226226242292</v>
      </c>
      <c r="AB17" s="60">
        <f t="shared" si="1"/>
        <v>-757.18225441986215</v>
      </c>
      <c r="AC17" s="60">
        <f t="shared" si="8"/>
        <v>79279.043971822422</v>
      </c>
      <c r="AD17" s="61">
        <f>+VLOOKUP(C17,'[1]pic au 25-03'!C:R,16,FALSE)</f>
        <v>9573.5955850662158</v>
      </c>
      <c r="AE17" s="31" t="s">
        <v>45</v>
      </c>
      <c r="AF17" s="62">
        <v>92863.877175142305</v>
      </c>
      <c r="AG17" s="31" t="s">
        <v>46</v>
      </c>
      <c r="AH17" s="62">
        <v>92863.877175142305</v>
      </c>
      <c r="AI17" s="31"/>
      <c r="AJ17" s="28">
        <f t="shared" si="9"/>
        <v>79279.043971822422</v>
      </c>
      <c r="AK17" s="21">
        <f>+VLOOKUP(C17,'[1]stock au 25-03-25'!A:X,24,FALSE)</f>
        <v>1139.6547370000001</v>
      </c>
      <c r="AL17" t="s">
        <v>45</v>
      </c>
      <c r="AM17" s="21">
        <f t="shared" si="11"/>
        <v>8433.940848066215</v>
      </c>
      <c r="AN17" t="s">
        <v>45</v>
      </c>
      <c r="AO17" s="63">
        <v>80425.27794142245</v>
      </c>
      <c r="AP17" s="64">
        <f t="shared" si="12"/>
        <v>81809.226226242274</v>
      </c>
      <c r="AQ17" t="s">
        <v>46</v>
      </c>
      <c r="AR17" s="36">
        <f>(AP17-AO17)/AO17</f>
        <v>1.7207876929288567E-2</v>
      </c>
      <c r="AS17" s="81"/>
      <c r="AT17" s="81">
        <f>(AO17-J17)/J17</f>
        <v>-0.13838060100038085</v>
      </c>
      <c r="AU17" s="81"/>
      <c r="AV17" s="66">
        <f>(AP17-J17)/J17</f>
        <v>-0.12355396042250784</v>
      </c>
      <c r="BB17" s="56">
        <f>+R17*F17</f>
        <v>96321</v>
      </c>
    </row>
    <row r="18" spans="1:54" ht="18.75" outlineLevel="1" x14ac:dyDescent="0.3">
      <c r="A18">
        <v>2</v>
      </c>
      <c r="B18" t="s">
        <v>58</v>
      </c>
      <c r="C18">
        <v>347201</v>
      </c>
      <c r="D18" t="s">
        <v>64</v>
      </c>
      <c r="E18" t="s">
        <v>62</v>
      </c>
      <c r="F18" s="21">
        <f>+VLOOKUP(C18,'[1]stock au 25-03-25'!A:D,4,FALSE)</f>
        <v>17920</v>
      </c>
      <c r="G18" t="s">
        <v>65</v>
      </c>
      <c r="H18" s="22">
        <f>+VLOOKUP(C18,'[1]stock au 25-03-25'!A:F,6,FALSE)</f>
        <v>3.0015005580357141</v>
      </c>
      <c r="I18" t="s">
        <v>46</v>
      </c>
      <c r="J18" s="56">
        <f>+VLOOKUP(C18,'[1]stock au 25-03-25'!A:H,8,FALSE)</f>
        <v>53786.89</v>
      </c>
      <c r="K18" t="s">
        <v>46</v>
      </c>
      <c r="L18" s="23">
        <v>2.4</v>
      </c>
      <c r="M18" t="s">
        <v>46</v>
      </c>
      <c r="N18" s="56">
        <f>+VLOOKUP(C18,'[1]stock au 25-03-25'!A:L,12,FALSE)</f>
        <v>227942.39999999999</v>
      </c>
      <c r="P18" s="57">
        <v>2.4</v>
      </c>
      <c r="Q18" t="s">
        <v>46</v>
      </c>
      <c r="R18" s="25">
        <v>2.4</v>
      </c>
      <c r="T18" s="26">
        <v>2.2004095755949438</v>
      </c>
      <c r="U18" s="58">
        <f t="shared" si="10"/>
        <v>-8.3162676835440069E-2</v>
      </c>
      <c r="V18" s="10">
        <f>IFERROR(VLOOKUP(C18,'[2]INDICATEURS ACHATS - Matières P'!$C$2:$G$209999,5,0),0)</f>
        <v>14161</v>
      </c>
      <c r="W18" s="60">
        <f t="shared" si="6"/>
        <v>31160</v>
      </c>
      <c r="X18" s="28">
        <v>2.2000000000000002</v>
      </c>
      <c r="Y18" s="59">
        <v>7495.4001811372764</v>
      </c>
      <c r="Z18" s="60">
        <f t="shared" si="7"/>
        <v>16489.880398502009</v>
      </c>
      <c r="AA18" s="60">
        <f t="shared" si="0"/>
        <v>17988.960434729463</v>
      </c>
      <c r="AB18" s="60">
        <f t="shared" si="1"/>
        <v>-1499.0800362274531</v>
      </c>
      <c r="AC18" s="60">
        <f t="shared" si="8"/>
        <v>47649.880398502006</v>
      </c>
      <c r="AD18" s="61">
        <f>+VLOOKUP(C18,'[1]pic au 25-03'!C:R,16,FALSE)</f>
        <v>22693.691069137276</v>
      </c>
      <c r="AE18" s="31" t="s">
        <v>65</v>
      </c>
      <c r="AF18" s="62">
        <v>54485.701767262799</v>
      </c>
      <c r="AG18" s="31" t="s">
        <v>46</v>
      </c>
      <c r="AH18" s="62">
        <v>54485.701767262799</v>
      </c>
      <c r="AI18" s="31"/>
      <c r="AJ18" s="28">
        <f t="shared" si="9"/>
        <v>47644.08039850201</v>
      </c>
      <c r="AK18" s="21">
        <f>+VLOOKUP(C18,'[1]stock au 25-03-25'!A:X,24,FALSE)</f>
        <v>1037.290888</v>
      </c>
      <c r="AL18" t="s">
        <v>65</v>
      </c>
      <c r="AM18" s="21">
        <f t="shared" si="11"/>
        <v>21656.400181137276</v>
      </c>
      <c r="AN18" t="s">
        <v>65</v>
      </c>
      <c r="AO18" s="63">
        <v>67674.439789706972</v>
      </c>
      <c r="AP18" s="64">
        <f t="shared" si="12"/>
        <v>51975.36043472946</v>
      </c>
      <c r="AQ18" t="s">
        <v>46</v>
      </c>
      <c r="AR18" s="36">
        <f>(AP18-AO18)/AO18</f>
        <v>-0.23197945049506391</v>
      </c>
      <c r="AS18" s="81"/>
      <c r="AT18" s="81">
        <f>(AO18-J18)/J18</f>
        <v>0.25819581295194743</v>
      </c>
      <c r="AU18" s="81"/>
      <c r="AV18" s="66">
        <f>(AP18-J18)/J18</f>
        <v>-3.3679760351835529E-2</v>
      </c>
      <c r="BB18" s="56">
        <f>+R18*F18</f>
        <v>43008</v>
      </c>
    </row>
    <row r="19" spans="1:54" ht="18.75" outlineLevel="1" x14ac:dyDescent="0.3">
      <c r="A19">
        <v>2</v>
      </c>
      <c r="B19" t="s">
        <v>58</v>
      </c>
      <c r="C19">
        <v>338076</v>
      </c>
      <c r="D19" t="s">
        <v>66</v>
      </c>
      <c r="E19" t="s">
        <v>62</v>
      </c>
      <c r="F19" s="21">
        <f>+VLOOKUP(C19,'[1]stock au 25-03-25'!A:D,4,FALSE)</f>
        <v>9165</v>
      </c>
      <c r="G19" t="s">
        <v>45</v>
      </c>
      <c r="H19" s="22">
        <f>+VLOOKUP(C19,'[1]stock au 25-03-25'!A:F,6,FALSE)</f>
        <v>6.36</v>
      </c>
      <c r="I19" t="s">
        <v>46</v>
      </c>
      <c r="J19" s="56">
        <f>+VLOOKUP(C19,'[1]stock au 25-03-25'!A:H,8,FALSE)</f>
        <v>58289.4</v>
      </c>
      <c r="K19" t="s">
        <v>46</v>
      </c>
      <c r="L19" s="23">
        <v>6.5</v>
      </c>
      <c r="M19" t="s">
        <v>46</v>
      </c>
      <c r="N19" s="56">
        <f>+VLOOKUP(C19,'[1]stock au 25-03-25'!A:L,12,FALSE)</f>
        <v>59572.5</v>
      </c>
      <c r="P19" s="57">
        <v>6.5</v>
      </c>
      <c r="Q19" t="s">
        <v>46</v>
      </c>
      <c r="R19" s="25">
        <v>6.36</v>
      </c>
      <c r="T19" s="26">
        <v>6.3599999999999994</v>
      </c>
      <c r="U19" s="58">
        <f t="shared" si="10"/>
        <v>-1.3965069492140333E-16</v>
      </c>
      <c r="V19" s="10">
        <f>IFERROR(VLOOKUP(C19,'[2]INDICATEURS ACHATS - Matières P'!$C$2:$G$209999,5,0),0)</f>
        <v>4080</v>
      </c>
      <c r="W19" s="60">
        <f t="shared" si="6"/>
        <v>25948.799999999999</v>
      </c>
      <c r="X19" s="28">
        <v>6.3599999999999994</v>
      </c>
      <c r="Y19" s="59">
        <v>3943.5977793269303</v>
      </c>
      <c r="Z19" s="60">
        <f t="shared" si="7"/>
        <v>25081.281876519275</v>
      </c>
      <c r="AA19" s="60">
        <f t="shared" si="0"/>
        <v>25081.281876519279</v>
      </c>
      <c r="AB19" s="60">
        <f t="shared" si="1"/>
        <v>0</v>
      </c>
      <c r="AC19" s="60">
        <f t="shared" si="8"/>
        <v>51030.081876519274</v>
      </c>
      <c r="AD19" s="61">
        <f>+VLOOKUP(C19,'[1]pic au 25-03'!C:R,16,FALSE)</f>
        <v>8820.4831823269305</v>
      </c>
      <c r="AE19" s="31" t="s">
        <v>45</v>
      </c>
      <c r="AF19" s="62">
        <v>57333.140685125058</v>
      </c>
      <c r="AG19" s="31" t="s">
        <v>46</v>
      </c>
      <c r="AH19" s="62">
        <v>57333.140685125058</v>
      </c>
      <c r="AI19" s="31"/>
      <c r="AJ19" s="28">
        <f t="shared" si="9"/>
        <v>51030.081876519274</v>
      </c>
      <c r="AK19" s="21">
        <f>+VLOOKUP(C19,'[1]stock au 25-03-25'!A:X,24,FALSE)</f>
        <v>796.885403</v>
      </c>
      <c r="AL19" t="s">
        <v>45</v>
      </c>
      <c r="AM19" s="21">
        <f t="shared" si="11"/>
        <v>8023.5977793269303</v>
      </c>
      <c r="AN19" t="s">
        <v>45</v>
      </c>
      <c r="AO19" s="63">
        <v>52638.346543599284</v>
      </c>
      <c r="AP19" s="64">
        <f t="shared" si="12"/>
        <v>51030.081876519282</v>
      </c>
      <c r="AQ19" t="s">
        <v>46</v>
      </c>
      <c r="AR19" s="36">
        <f>(AP19-AO19)/AO19</f>
        <v>-3.0553100024673249E-2</v>
      </c>
      <c r="AS19" s="81"/>
      <c r="AT19" s="81">
        <f>(AO19-J19)/J19</f>
        <v>-9.6948217967601613E-2</v>
      </c>
      <c r="AU19" s="81"/>
      <c r="AV19" s="66">
        <f>(AP19-J19)/J19</f>
        <v>-0.12453924939149691</v>
      </c>
      <c r="BB19" s="56">
        <f>+R19*F19</f>
        <v>58289.4</v>
      </c>
    </row>
    <row r="20" spans="1:54" ht="18.75" outlineLevel="1" x14ac:dyDescent="0.3">
      <c r="A20">
        <v>2</v>
      </c>
      <c r="B20" t="s">
        <v>58</v>
      </c>
      <c r="C20">
        <v>338069</v>
      </c>
      <c r="D20" t="s">
        <v>67</v>
      </c>
      <c r="E20" t="s">
        <v>62</v>
      </c>
      <c r="F20" s="21">
        <f>+VLOOKUP(C20,'[1]stock au 25-03-25'!A:D,4,FALSE)</f>
        <v>8084.88</v>
      </c>
      <c r="G20" t="s">
        <v>45</v>
      </c>
      <c r="H20" s="22">
        <f>+VLOOKUP(C20,'[1]stock au 25-03-25'!A:F,6,FALSE)</f>
        <v>6.1800026716537539</v>
      </c>
      <c r="I20" t="s">
        <v>46</v>
      </c>
      <c r="J20" s="56">
        <f>+VLOOKUP(C20,'[1]stock au 25-03-25'!A:H,8,FALSE)</f>
        <v>49964.58</v>
      </c>
      <c r="K20" t="s">
        <v>46</v>
      </c>
      <c r="L20" s="23">
        <v>6.44</v>
      </c>
      <c r="M20" t="s">
        <v>46</v>
      </c>
      <c r="N20" s="56">
        <f>+VLOOKUP(C20,'[1]stock au 25-03-25'!A:L,12,FALSE)</f>
        <v>52066.627200000003</v>
      </c>
      <c r="P20" s="57">
        <v>6.44</v>
      </c>
      <c r="Q20" t="s">
        <v>46</v>
      </c>
      <c r="R20" s="25">
        <v>6.1</v>
      </c>
      <c r="T20" s="26">
        <v>6.0999995027250664</v>
      </c>
      <c r="U20" s="58">
        <f t="shared" si="10"/>
        <v>-8.152048085754755E-8</v>
      </c>
      <c r="V20" s="10">
        <f>IFERROR(VLOOKUP(C20,'[2]INDICATEURS ACHATS - Matières P'!$C$2:$G$209999,5,0),0)</f>
        <v>4021.92</v>
      </c>
      <c r="W20" s="60">
        <f t="shared" si="6"/>
        <v>24533.71</v>
      </c>
      <c r="X20" s="28">
        <v>6.1</v>
      </c>
      <c r="Y20" s="59">
        <v>3210.6391954585461</v>
      </c>
      <c r="Z20" s="60">
        <f t="shared" si="7"/>
        <v>19584.899092297132</v>
      </c>
      <c r="AA20" s="60">
        <f t="shared" si="0"/>
        <v>19584.899092297132</v>
      </c>
      <c r="AB20" s="60">
        <f t="shared" si="1"/>
        <v>0</v>
      </c>
      <c r="AC20" s="60">
        <f t="shared" si="8"/>
        <v>44118.609092297134</v>
      </c>
      <c r="AD20" s="61">
        <f>+VLOOKUP(C20,'[1]pic au 25-03'!C:R,16,FALSE)</f>
        <v>8645.2516834585458</v>
      </c>
      <c r="AE20" s="31" t="s">
        <v>45</v>
      </c>
      <c r="AF20" s="62">
        <v>55675.420841473053</v>
      </c>
      <c r="AG20" s="31" t="s">
        <v>46</v>
      </c>
      <c r="AH20" s="62">
        <v>55675.420841473053</v>
      </c>
      <c r="AI20" s="31"/>
      <c r="AJ20" s="28">
        <f t="shared" si="9"/>
        <v>44118.611092297127</v>
      </c>
      <c r="AK20" s="21">
        <f>+VLOOKUP(C20,'[1]stock au 25-03-25'!A:X,24,FALSE)</f>
        <v>1412.6924879999999</v>
      </c>
      <c r="AL20" t="s">
        <v>45</v>
      </c>
      <c r="AM20" s="21">
        <f t="shared" si="11"/>
        <v>7232.5591954585461</v>
      </c>
      <c r="AN20" t="s">
        <v>45</v>
      </c>
      <c r="AO20" s="63">
        <v>47292.223336078197</v>
      </c>
      <c r="AP20" s="64">
        <f t="shared" si="12"/>
        <v>44118.611092297127</v>
      </c>
      <c r="AQ20" t="s">
        <v>46</v>
      </c>
      <c r="AR20" s="36">
        <f>(AP20-AO20)/AO20</f>
        <v>-6.7106429343109161E-2</v>
      </c>
      <c r="AS20" s="81"/>
      <c r="AT20" s="81">
        <f>(AO20-J20)/J20</f>
        <v>-5.3485022068069106E-2</v>
      </c>
      <c r="AU20" s="81"/>
      <c r="AV20" s="66">
        <f>(AP20-J20)/J20</f>
        <v>-0.11700226255685275</v>
      </c>
      <c r="BB20" s="56">
        <f>+R20*F20</f>
        <v>49317.767999999996</v>
      </c>
    </row>
    <row r="21" spans="1:54" ht="18.75" outlineLevel="1" x14ac:dyDescent="0.3">
      <c r="A21">
        <v>2</v>
      </c>
      <c r="B21" t="s">
        <v>58</v>
      </c>
      <c r="C21">
        <v>350024</v>
      </c>
      <c r="D21" t="s">
        <v>68</v>
      </c>
      <c r="E21" t="s">
        <v>62</v>
      </c>
      <c r="F21" s="21">
        <f>+VLOOKUP(C21,'[1]stock au 25-03-25'!A:D,4,FALSE)</f>
        <v>6120</v>
      </c>
      <c r="G21" t="s">
        <v>45</v>
      </c>
      <c r="H21" s="22">
        <f>+VLOOKUP(C21,'[1]stock au 25-03-25'!A:F,6,FALSE)</f>
        <v>7.1</v>
      </c>
      <c r="I21" t="s">
        <v>46</v>
      </c>
      <c r="J21" s="56">
        <f>+VLOOKUP(C21,'[1]stock au 25-03-25'!A:H,8,FALSE)</f>
        <v>43452</v>
      </c>
      <c r="K21" t="s">
        <v>46</v>
      </c>
      <c r="L21" s="23">
        <v>7.45</v>
      </c>
      <c r="M21" t="s">
        <v>46</v>
      </c>
      <c r="N21" s="56">
        <f>+VLOOKUP(C21,'[1]stock au 25-03-25'!A:L,12,FALSE)</f>
        <v>45594</v>
      </c>
      <c r="P21" s="57">
        <v>7.45</v>
      </c>
      <c r="Q21" t="s">
        <v>46</v>
      </c>
      <c r="R21" s="25">
        <v>7.22</v>
      </c>
      <c r="T21" s="26">
        <v>7.2003960396039606</v>
      </c>
      <c r="U21" s="58">
        <f t="shared" si="10"/>
        <v>-2.7152299717505789E-3</v>
      </c>
      <c r="V21" s="10">
        <f>IFERROR(VLOOKUP(C21,'[2]INDICATEURS ACHATS - Matières P'!$C$2:$G$209999,5,0),0)</f>
        <v>3030</v>
      </c>
      <c r="W21" s="60">
        <f t="shared" si="6"/>
        <v>21817.200000000001</v>
      </c>
      <c r="X21" s="28">
        <v>7.22</v>
      </c>
      <c r="Y21" s="59">
        <v>3581.1796276239629</v>
      </c>
      <c r="Z21" s="60">
        <f t="shared" si="7"/>
        <v>25856.116911445013</v>
      </c>
      <c r="AA21" s="60">
        <f t="shared" si="0"/>
        <v>25856.116911445013</v>
      </c>
      <c r="AB21" s="60">
        <f t="shared" si="1"/>
        <v>0</v>
      </c>
      <c r="AC21" s="60">
        <f t="shared" si="8"/>
        <v>47673.316911445014</v>
      </c>
      <c r="AD21" s="61">
        <f>+VLOOKUP(C21,'[1]pic au 25-03'!C:R,16,FALSE)</f>
        <v>6986.3763056239632</v>
      </c>
      <c r="AE21" s="31" t="s">
        <v>45</v>
      </c>
      <c r="AF21" s="62">
        <v>52560.402240050236</v>
      </c>
      <c r="AG21" s="31" t="s">
        <v>46</v>
      </c>
      <c r="AH21" s="62">
        <v>52560.402240050236</v>
      </c>
      <c r="AI21" s="31"/>
      <c r="AJ21" s="28">
        <f t="shared" si="9"/>
        <v>47732.716911445008</v>
      </c>
      <c r="AK21" s="21">
        <f>+VLOOKUP(C21,'[1]stock au 25-03-25'!A:X,24,FALSE)</f>
        <v>375.19667800000002</v>
      </c>
      <c r="AL21" t="s">
        <v>45</v>
      </c>
      <c r="AM21" s="21">
        <f t="shared" si="11"/>
        <v>6611.1796276239629</v>
      </c>
      <c r="AN21" t="s">
        <v>45</v>
      </c>
      <c r="AO21" s="63">
        <v>45769.844295300223</v>
      </c>
      <c r="AP21" s="64">
        <f t="shared" si="12"/>
        <v>47732.716911445008</v>
      </c>
      <c r="AQ21" t="s">
        <v>46</v>
      </c>
      <c r="AR21" s="36">
        <f>(AP21-AO21)/AO21</f>
        <v>4.2885717580348821E-2</v>
      </c>
      <c r="AS21" s="81"/>
      <c r="AT21" s="81">
        <f>(AO21-J21)/J21</f>
        <v>5.3342637745103172E-2</v>
      </c>
      <c r="AU21" s="81"/>
      <c r="AV21" s="66">
        <f>(AP21-J21)/J21</f>
        <v>9.8515992622779339E-2</v>
      </c>
      <c r="BB21" s="56">
        <f>+R21*F21</f>
        <v>44186.400000000001</v>
      </c>
    </row>
    <row r="22" spans="1:54" ht="18.75" outlineLevel="1" x14ac:dyDescent="0.3">
      <c r="A22">
        <v>2</v>
      </c>
      <c r="B22" t="s">
        <v>58</v>
      </c>
      <c r="C22">
        <v>338077</v>
      </c>
      <c r="D22" t="s">
        <v>69</v>
      </c>
      <c r="E22" t="s">
        <v>62</v>
      </c>
      <c r="F22" s="21">
        <f>+VLOOKUP(C22,'[1]stock au 25-03-25'!A:D,4,FALSE)</f>
        <v>3060</v>
      </c>
      <c r="G22" t="s">
        <v>45</v>
      </c>
      <c r="H22" s="22">
        <f>+VLOOKUP(C22,'[1]stock au 25-03-25'!A:F,6,FALSE)</f>
        <v>12.346666666666668</v>
      </c>
      <c r="I22" t="s">
        <v>46</v>
      </c>
      <c r="J22" s="56">
        <f>+VLOOKUP(C22,'[1]stock au 25-03-25'!A:H,8,FALSE)</f>
        <v>37780.800000000003</v>
      </c>
      <c r="K22" t="s">
        <v>46</v>
      </c>
      <c r="L22" s="23">
        <v>12.87</v>
      </c>
      <c r="M22" t="s">
        <v>46</v>
      </c>
      <c r="N22" s="56">
        <f>+VLOOKUP(C22,'[1]stock au 25-03-25'!A:L,12,FALSE)</f>
        <v>39382.199999999997</v>
      </c>
      <c r="P22" s="57">
        <v>12.87</v>
      </c>
      <c r="Q22" t="s">
        <v>46</v>
      </c>
      <c r="R22" s="25">
        <v>12.5</v>
      </c>
      <c r="T22" s="26">
        <v>12.35</v>
      </c>
      <c r="U22" s="58">
        <f t="shared" si="10"/>
        <v>-1.2000000000000028E-2</v>
      </c>
      <c r="V22" s="10">
        <f>IFERROR(VLOOKUP(C22,'[2]INDICATEURS ACHATS - Matières P'!$C$2:$G$209999,5,0),0)</f>
        <v>2040</v>
      </c>
      <c r="W22" s="60">
        <f t="shared" si="6"/>
        <v>25194</v>
      </c>
      <c r="X22" s="28">
        <v>12.35</v>
      </c>
      <c r="Y22" s="59">
        <v>1212.5389720131309</v>
      </c>
      <c r="Z22" s="60">
        <f t="shared" si="7"/>
        <v>14974.856304362165</v>
      </c>
      <c r="AA22" s="60">
        <f t="shared" si="0"/>
        <v>15156.737150164136</v>
      </c>
      <c r="AB22" s="60">
        <f t="shared" si="1"/>
        <v>-181.88084580197028</v>
      </c>
      <c r="AC22" s="60">
        <f t="shared" si="8"/>
        <v>40168.856304362169</v>
      </c>
      <c r="AD22" s="61">
        <f>+VLOOKUP(C22,'[1]pic au 25-03'!C:R,16,FALSE)</f>
        <v>3520.5160200131309</v>
      </c>
      <c r="AE22" s="31" t="s">
        <v>45</v>
      </c>
      <c r="AF22" s="62">
        <v>45309.041177568994</v>
      </c>
      <c r="AG22" s="31" t="s">
        <v>46</v>
      </c>
      <c r="AH22" s="62">
        <v>45309.041177568994</v>
      </c>
      <c r="AI22" s="31"/>
      <c r="AJ22" s="28">
        <f t="shared" si="9"/>
        <v>40168.856304362162</v>
      </c>
      <c r="AK22" s="21">
        <f>+VLOOKUP(C22,'[1]stock au 25-03-25'!A:X,24,FALSE)</f>
        <v>267.97704800000002</v>
      </c>
      <c r="AL22" t="s">
        <v>45</v>
      </c>
      <c r="AM22" s="21">
        <f t="shared" si="11"/>
        <v>3252.5389720131307</v>
      </c>
      <c r="AN22" t="s">
        <v>45</v>
      </c>
      <c r="AO22" s="63">
        <v>39929.317793762122</v>
      </c>
      <c r="AP22" s="64">
        <f t="shared" si="12"/>
        <v>40656.737150164132</v>
      </c>
      <c r="AQ22" t="s">
        <v>46</v>
      </c>
      <c r="AR22" s="36">
        <f>(AP22-AO22)/AO22</f>
        <v>1.821767554755592E-2</v>
      </c>
      <c r="AS22" s="81"/>
      <c r="AT22" s="81">
        <f>(AO22-J22)/J22</f>
        <v>5.6867980396447908E-2</v>
      </c>
      <c r="AU22" s="81"/>
      <c r="AV22" s="66">
        <f>(AP22-J22)/J22</f>
        <v>7.6121658359911082E-2</v>
      </c>
      <c r="BB22" s="56">
        <f>+R22*F22</f>
        <v>38250</v>
      </c>
    </row>
    <row r="23" spans="1:54" ht="18.75" outlineLevel="1" x14ac:dyDescent="0.3">
      <c r="A23">
        <v>2</v>
      </c>
      <c r="B23" t="s">
        <v>58</v>
      </c>
      <c r="C23">
        <v>370004</v>
      </c>
      <c r="D23" t="s">
        <v>70</v>
      </c>
      <c r="E23" t="s">
        <v>62</v>
      </c>
      <c r="F23" s="21">
        <f>+VLOOKUP(C23,'[1]stock au 25-03-25'!A:D,4,FALSE)</f>
        <v>7080</v>
      </c>
      <c r="G23" t="s">
        <v>45</v>
      </c>
      <c r="H23" s="22">
        <f>+VLOOKUP(C23,'[1]stock au 25-03-25'!A:F,6,FALSE)</f>
        <v>5.25</v>
      </c>
      <c r="I23" t="s">
        <v>46</v>
      </c>
      <c r="J23" s="56">
        <f>+VLOOKUP(C23,'[1]stock au 25-03-25'!A:H,8,FALSE)</f>
        <v>37170</v>
      </c>
      <c r="K23" t="s">
        <v>46</v>
      </c>
      <c r="L23" s="23">
        <v>5.3</v>
      </c>
      <c r="M23" t="s">
        <v>46</v>
      </c>
      <c r="N23" s="56">
        <f>+VLOOKUP(C23,'[1]stock au 25-03-25'!A:L,12,FALSE)</f>
        <v>37524</v>
      </c>
      <c r="P23" s="57">
        <v>5.3</v>
      </c>
      <c r="Q23" t="s">
        <v>46</v>
      </c>
      <c r="R23" s="25">
        <v>5.61</v>
      </c>
      <c r="T23" s="26">
        <v>5.52</v>
      </c>
      <c r="U23" s="58">
        <f t="shared" si="10"/>
        <v>-1.6042780748663235E-2</v>
      </c>
      <c r="V23" s="10">
        <f>IFERROR(VLOOKUP(C23,'[2]INDICATEURS ACHATS - Matières P'!$C$2:$G$209999,5,0),0)</f>
        <v>4080</v>
      </c>
      <c r="W23" s="60">
        <f t="shared" si="6"/>
        <v>22521.599999999999</v>
      </c>
      <c r="X23" s="28">
        <v>5.6099999999999994</v>
      </c>
      <c r="Y23" s="59">
        <v>3679.4646475946356</v>
      </c>
      <c r="Z23" s="60">
        <f t="shared" si="7"/>
        <v>20641.796673005905</v>
      </c>
      <c r="AA23" s="60">
        <f t="shared" si="0"/>
        <v>20641.796673005905</v>
      </c>
      <c r="AB23" s="60">
        <f t="shared" si="1"/>
        <v>0</v>
      </c>
      <c r="AC23" s="60">
        <f t="shared" si="8"/>
        <v>43163.396673005904</v>
      </c>
      <c r="AD23" s="61">
        <f>+VLOOKUP(C23,'[1]pic au 25-03'!C:R,16,FALSE)</f>
        <v>8149.7574625946354</v>
      </c>
      <c r="AE23" s="31" t="s">
        <v>45</v>
      </c>
      <c r="AF23" s="62">
        <v>43336.710400862677</v>
      </c>
      <c r="AG23" s="31" t="s">
        <v>46</v>
      </c>
      <c r="AH23" s="62">
        <v>43336.710400862677</v>
      </c>
      <c r="AI23" s="31"/>
      <c r="AJ23" s="28">
        <f t="shared" si="9"/>
        <v>43530.596673005901</v>
      </c>
      <c r="AK23" s="21">
        <f>+VLOOKUP(C23,'[1]stock au 25-03-25'!A:X,24,FALSE)</f>
        <v>390.29281500000002</v>
      </c>
      <c r="AL23" t="s">
        <v>45</v>
      </c>
      <c r="AM23" s="21">
        <f t="shared" si="11"/>
        <v>7759.4646475946356</v>
      </c>
      <c r="AN23" t="s">
        <v>45</v>
      </c>
      <c r="AO23" s="63">
        <v>37536.754901538501</v>
      </c>
      <c r="AP23" s="64">
        <f t="shared" si="12"/>
        <v>43530.596673005908</v>
      </c>
      <c r="AQ23" t="s">
        <v>46</v>
      </c>
      <c r="AR23" s="36">
        <f>(AP23-AO23)/AO23</f>
        <v>0.15967927401262222</v>
      </c>
      <c r="AS23" s="81"/>
      <c r="AT23" s="81">
        <f>(AO23-J23)/J23</f>
        <v>9.8669599553000038E-3</v>
      </c>
      <c r="AU23" s="81"/>
      <c r="AV23" s="66">
        <f>(AP23-J23)/J23</f>
        <v>0.17112178297029615</v>
      </c>
      <c r="BB23" s="56">
        <f>+R23*F23</f>
        <v>39718.800000000003</v>
      </c>
    </row>
    <row r="24" spans="1:54" ht="18.75" outlineLevel="1" x14ac:dyDescent="0.3">
      <c r="A24">
        <v>2</v>
      </c>
      <c r="B24" t="s">
        <v>58</v>
      </c>
      <c r="C24">
        <v>350028</v>
      </c>
      <c r="D24" t="s">
        <v>71</v>
      </c>
      <c r="E24" t="s">
        <v>62</v>
      </c>
      <c r="F24" s="21">
        <f>+VLOOKUP(C24,'[1]stock au 25-03-25'!A:D,4,FALSE)</f>
        <v>1725</v>
      </c>
      <c r="G24" t="s">
        <v>45</v>
      </c>
      <c r="H24" s="22">
        <f>+VLOOKUP(C24,'[1]stock au 25-03-25'!A:F,6,FALSE)</f>
        <v>15.409565217391304</v>
      </c>
      <c r="I24" t="s">
        <v>46</v>
      </c>
      <c r="J24" s="56">
        <f>+VLOOKUP(C24,'[1]stock au 25-03-25'!A:H,8,FALSE)</f>
        <v>26581.5</v>
      </c>
      <c r="K24" t="s">
        <v>46</v>
      </c>
      <c r="L24" s="23">
        <v>15.98</v>
      </c>
      <c r="M24" t="s">
        <v>46</v>
      </c>
      <c r="N24" s="56">
        <f>+VLOOKUP(C24,'[1]stock au 25-03-25'!A:L,12,FALSE)</f>
        <v>27565.5</v>
      </c>
      <c r="P24" s="57">
        <v>15.98</v>
      </c>
      <c r="Q24" t="s">
        <v>46</v>
      </c>
      <c r="R24" s="25">
        <v>15.95</v>
      </c>
      <c r="T24" s="26">
        <v>15.95</v>
      </c>
      <c r="U24" s="58">
        <f t="shared" si="10"/>
        <v>0</v>
      </c>
      <c r="V24" s="10">
        <f>IFERROR(VLOOKUP(C24,'[2]INDICATEURS ACHATS - Matières P'!$C$2:$G$209999,5,0),0)</f>
        <v>510</v>
      </c>
      <c r="W24" s="60">
        <f t="shared" si="6"/>
        <v>8134.5</v>
      </c>
      <c r="X24" s="28">
        <v>15.95</v>
      </c>
      <c r="Y24" s="59">
        <v>1251.9564421539267</v>
      </c>
      <c r="Z24" s="60">
        <f t="shared" si="7"/>
        <v>19968.705252355128</v>
      </c>
      <c r="AA24" s="60">
        <f t="shared" si="0"/>
        <v>19968.705252355128</v>
      </c>
      <c r="AB24" s="60">
        <f t="shared" si="1"/>
        <v>0</v>
      </c>
      <c r="AC24" s="60">
        <f t="shared" si="8"/>
        <v>28103.205252355128</v>
      </c>
      <c r="AD24" s="61">
        <f>+VLOOKUP(C24,'[1]pic au 25-03'!C:R,16,FALSE)</f>
        <v>1971.1701381539267</v>
      </c>
      <c r="AE24" s="31" t="s">
        <v>45</v>
      </c>
      <c r="AF24" s="62">
        <v>34351.38945822516</v>
      </c>
      <c r="AG24" s="31" t="s">
        <v>46</v>
      </c>
      <c r="AH24" s="62">
        <v>34351.38945822516</v>
      </c>
      <c r="AI24" s="31"/>
      <c r="AJ24" s="28">
        <f t="shared" si="9"/>
        <v>28103.205252355128</v>
      </c>
      <c r="AK24" s="21">
        <f>+VLOOKUP(C24,'[1]stock au 25-03-25'!A:X,24,FALSE)</f>
        <v>209.213696</v>
      </c>
      <c r="AL24" t="s">
        <v>45</v>
      </c>
      <c r="AM24" s="21">
        <f t="shared" si="11"/>
        <v>1761.9564421539267</v>
      </c>
      <c r="AN24" t="s">
        <v>45</v>
      </c>
      <c r="AO24" s="63">
        <v>30612.383441230621</v>
      </c>
      <c r="AP24" s="64">
        <f t="shared" si="12"/>
        <v>28103.205252355128</v>
      </c>
      <c r="AQ24" t="s">
        <v>46</v>
      </c>
      <c r="AR24" s="36">
        <f>(AP24-AO24)/AO24</f>
        <v>-8.1966116545370934E-2</v>
      </c>
      <c r="AS24" s="81"/>
      <c r="AT24" s="81">
        <f>(AO24-J24)/J24</f>
        <v>0.15164243707957115</v>
      </c>
      <c r="AU24" s="81"/>
      <c r="AV24" s="66">
        <f>(AP24-J24)/J24</f>
        <v>5.7246778863312017E-2</v>
      </c>
      <c r="BB24" s="56">
        <f>+R24*F24</f>
        <v>27513.75</v>
      </c>
    </row>
    <row r="25" spans="1:54" ht="18.75" outlineLevel="1" x14ac:dyDescent="0.3">
      <c r="A25">
        <v>2</v>
      </c>
      <c r="B25" t="s">
        <v>58</v>
      </c>
      <c r="C25">
        <v>340338</v>
      </c>
      <c r="D25" t="s">
        <v>72</v>
      </c>
      <c r="E25" t="s">
        <v>62</v>
      </c>
      <c r="F25" s="21">
        <f>+VLOOKUP(C25,'[1]stock au 25-03-25'!A:D,4,FALSE)</f>
        <v>2490</v>
      </c>
      <c r="G25" t="s">
        <v>45</v>
      </c>
      <c r="H25" s="22">
        <f>+VLOOKUP(C25,'[1]stock au 25-03-25'!A:F,6,FALSE)</f>
        <v>7.7899999999999991</v>
      </c>
      <c r="I25" t="s">
        <v>46</v>
      </c>
      <c r="J25" s="56">
        <f>+VLOOKUP(C25,'[1]stock au 25-03-25'!A:H,8,FALSE)</f>
        <v>19397.099999999999</v>
      </c>
      <c r="K25" t="s">
        <v>46</v>
      </c>
      <c r="L25" s="23">
        <v>7.89</v>
      </c>
      <c r="M25" t="s">
        <v>46</v>
      </c>
      <c r="N25" s="56">
        <f>+VLOOKUP(C25,'[1]stock au 25-03-25'!A:L,12,FALSE)</f>
        <v>19646.099999999999</v>
      </c>
      <c r="P25" s="57">
        <v>7.8</v>
      </c>
      <c r="Q25" t="s">
        <v>46</v>
      </c>
      <c r="R25" s="25">
        <v>8</v>
      </c>
      <c r="T25" s="26">
        <v>7.6175796178343953</v>
      </c>
      <c r="U25" s="58">
        <f t="shared" si="10"/>
        <v>-4.7802547770700587E-2</v>
      </c>
      <c r="V25" s="10">
        <f>IFERROR(VLOOKUP(C25,'[2]INDICATEURS ACHATS - Matières P'!$C$2:$G$209999,5,0),0)</f>
        <v>2355</v>
      </c>
      <c r="W25" s="60">
        <f t="shared" si="6"/>
        <v>17939.400000000001</v>
      </c>
      <c r="X25" s="28">
        <v>6.9</v>
      </c>
      <c r="Y25" s="59">
        <v>883.5420186969834</v>
      </c>
      <c r="Z25" s="60">
        <f t="shared" si="7"/>
        <v>6096.439929009186</v>
      </c>
      <c r="AA25" s="60">
        <f t="shared" si="0"/>
        <v>7068.3361495758672</v>
      </c>
      <c r="AB25" s="60">
        <f t="shared" si="1"/>
        <v>-971.89622056668122</v>
      </c>
      <c r="AC25" s="60">
        <f t="shared" si="8"/>
        <v>24035.839929009187</v>
      </c>
      <c r="AD25" s="61">
        <f>+VLOOKUP(C25,'[1]pic au 25-03'!C:R,16,FALSE)</f>
        <v>3568.9734556969834</v>
      </c>
      <c r="AE25" s="31" t="s">
        <v>45</v>
      </c>
      <c r="AF25" s="62">
        <v>27837.992954436471</v>
      </c>
      <c r="AG25" s="31" t="s">
        <v>46</v>
      </c>
      <c r="AH25" s="62">
        <v>28159.200565449199</v>
      </c>
      <c r="AI25" s="31"/>
      <c r="AJ25" s="28">
        <f t="shared" si="9"/>
        <v>22345.939929009186</v>
      </c>
      <c r="AK25" s="21">
        <f>+VLOOKUP(C25,'[1]stock au 25-03-25'!A:X,24,FALSE)</f>
        <v>330.43143700000002</v>
      </c>
      <c r="AL25" t="s">
        <v>45</v>
      </c>
      <c r="AM25" s="21">
        <f t="shared" si="11"/>
        <v>3238.5420186969832</v>
      </c>
      <c r="AN25" t="s">
        <v>45</v>
      </c>
      <c r="AO25" s="63">
        <v>27182.69135187539</v>
      </c>
      <c r="AP25" s="64">
        <f t="shared" si="12"/>
        <v>25908.336149575865</v>
      </c>
      <c r="AQ25" t="s">
        <v>46</v>
      </c>
      <c r="AR25" s="36">
        <f>(AP25-AO25)/AO25</f>
        <v>-4.6881126883398329E-2</v>
      </c>
      <c r="AS25" s="81"/>
      <c r="AT25" s="81">
        <f>(AO25-J25)/J25</f>
        <v>0.40137914182405576</v>
      </c>
      <c r="AU25" s="81"/>
      <c r="AV25" s="66">
        <f>(AP25-J25)/J25</f>
        <v>0.33568090846445436</v>
      </c>
      <c r="BB25" s="56">
        <f>+R25*F25</f>
        <v>19920</v>
      </c>
    </row>
    <row r="26" spans="1:54" ht="18.75" outlineLevel="1" x14ac:dyDescent="0.3">
      <c r="A26">
        <v>2</v>
      </c>
      <c r="B26" t="s">
        <v>58</v>
      </c>
      <c r="C26">
        <v>350026</v>
      </c>
      <c r="D26" t="s">
        <v>73</v>
      </c>
      <c r="E26" t="s">
        <v>62</v>
      </c>
      <c r="F26" s="21">
        <f>+VLOOKUP(C26,'[1]stock au 25-03-25'!A:D,4,FALSE)</f>
        <v>4065</v>
      </c>
      <c r="G26" t="s">
        <v>45</v>
      </c>
      <c r="H26" s="22">
        <f>+VLOOKUP(C26,'[1]stock au 25-03-25'!A:F,6,FALSE)</f>
        <v>7.25</v>
      </c>
      <c r="I26" t="s">
        <v>46</v>
      </c>
      <c r="J26" s="56">
        <f>+VLOOKUP(C26,'[1]stock au 25-03-25'!A:H,8,FALSE)</f>
        <v>29471.25</v>
      </c>
      <c r="K26" t="s">
        <v>46</v>
      </c>
      <c r="L26" s="23">
        <v>8.31</v>
      </c>
      <c r="M26" t="s">
        <v>46</v>
      </c>
      <c r="N26" s="56">
        <f>+VLOOKUP(C26,'[1]stock au 25-03-25'!A:L,12,FALSE)</f>
        <v>33780.15</v>
      </c>
      <c r="P26" s="57">
        <v>8.31</v>
      </c>
      <c r="Q26" t="s">
        <v>46</v>
      </c>
      <c r="R26" s="25">
        <v>8.26</v>
      </c>
      <c r="T26" s="26">
        <v>7.2125000000000004</v>
      </c>
      <c r="U26" s="58">
        <f t="shared" si="10"/>
        <v>-0.12681598062953989</v>
      </c>
      <c r="V26" s="10">
        <f>IFERROR(VLOOKUP(C26,'[2]INDICATEURS ACHATS - Matières P'!$C$2:$G$209999,5,0),0)</f>
        <v>2040</v>
      </c>
      <c r="W26" s="60">
        <f t="shared" si="6"/>
        <v>14713.5</v>
      </c>
      <c r="X26" s="28">
        <v>7.2</v>
      </c>
      <c r="Y26" s="59">
        <v>1659.1479723237524</v>
      </c>
      <c r="Z26" s="60">
        <f t="shared" si="7"/>
        <v>11945.865400731018</v>
      </c>
      <c r="AA26" s="60">
        <f t="shared" si="0"/>
        <v>13704.562251394194</v>
      </c>
      <c r="AB26" s="60">
        <f t="shared" si="1"/>
        <v>-1758.6968506631765</v>
      </c>
      <c r="AC26" s="60">
        <f t="shared" si="8"/>
        <v>26659.365400731018</v>
      </c>
      <c r="AD26" s="61">
        <f>+VLOOKUP(C26,'[1]pic au 25-03'!C:R,16,FALSE)</f>
        <v>3880.1002533237524</v>
      </c>
      <c r="AE26" s="31" t="s">
        <v>45</v>
      </c>
      <c r="AF26" s="62">
        <v>34971.095223962009</v>
      </c>
      <c r="AG26" s="31" t="s">
        <v>46</v>
      </c>
      <c r="AH26" s="62">
        <v>34971.095223962009</v>
      </c>
      <c r="AI26" s="31"/>
      <c r="AJ26" s="28">
        <f t="shared" si="9"/>
        <v>26633.865400731018</v>
      </c>
      <c r="AK26" s="21">
        <f>+VLOOKUP(C26,'[1]stock au 25-03-25'!A:X,24,FALSE)</f>
        <v>180.952281</v>
      </c>
      <c r="AL26" t="s">
        <v>45</v>
      </c>
      <c r="AM26" s="21">
        <f t="shared" si="11"/>
        <v>3699.1479723237526</v>
      </c>
      <c r="AN26" t="s">
        <v>45</v>
      </c>
      <c r="AO26" s="63">
        <v>25661.298331670521</v>
      </c>
      <c r="AP26" s="64">
        <f t="shared" si="12"/>
        <v>30554.962251394194</v>
      </c>
      <c r="AQ26" t="s">
        <v>46</v>
      </c>
      <c r="AR26" s="36">
        <f>(AP26-AO26)/AO26</f>
        <v>0.19070211711322638</v>
      </c>
      <c r="AS26" s="81"/>
      <c r="AT26" s="81">
        <f>(AO26-J26)/J26</f>
        <v>-0.12927689420467334</v>
      </c>
      <c r="AU26" s="81"/>
      <c r="AV26" s="66">
        <f>(AP26-J26)/J26</f>
        <v>3.6771845489899278E-2</v>
      </c>
      <c r="BB26" s="56">
        <f>+R26*F26</f>
        <v>33576.9</v>
      </c>
    </row>
    <row r="27" spans="1:54" ht="18.75" outlineLevel="1" x14ac:dyDescent="0.3">
      <c r="A27">
        <v>2</v>
      </c>
      <c r="B27" t="s">
        <v>58</v>
      </c>
      <c r="C27">
        <v>338075</v>
      </c>
      <c r="D27" t="s">
        <v>74</v>
      </c>
      <c r="E27" t="s">
        <v>62</v>
      </c>
      <c r="F27" s="21">
        <f>+VLOOKUP(C27,'[1]stock au 25-03-25'!A:D,4,FALSE)</f>
        <v>1680</v>
      </c>
      <c r="G27" t="s">
        <v>45</v>
      </c>
      <c r="H27" s="22">
        <f>+VLOOKUP(C27,'[1]stock au 25-03-25'!A:F,6,FALSE)</f>
        <v>16.330000000000002</v>
      </c>
      <c r="I27" t="s">
        <v>46</v>
      </c>
      <c r="J27" s="56">
        <f>+VLOOKUP(C27,'[1]stock au 25-03-25'!A:H,8,FALSE)</f>
        <v>27434.400000000001</v>
      </c>
      <c r="K27" t="s">
        <v>46</v>
      </c>
      <c r="L27" s="23">
        <v>16.93</v>
      </c>
      <c r="M27" t="s">
        <v>46</v>
      </c>
      <c r="N27" s="56">
        <f>+VLOOKUP(C27,'[1]stock au 25-03-25'!A:L,12,FALSE)</f>
        <v>28442.399999999998</v>
      </c>
      <c r="P27" s="57">
        <v>16.93</v>
      </c>
      <c r="Q27" t="s">
        <v>46</v>
      </c>
      <c r="R27" s="25">
        <f>H27*(1+VLOOKUP(A27,'[1]Variation MP'!$B$3:$D$22,3))</f>
        <v>16.330000000000002</v>
      </c>
      <c r="T27" s="26">
        <v>16.329999999999998</v>
      </c>
      <c r="U27" s="58">
        <f t="shared" si="10"/>
        <v>-2.1755748186163506E-16</v>
      </c>
      <c r="V27" s="10">
        <f>IFERROR(VLOOKUP(C27,'[2]INDICATEURS ACHATS - Matières P'!$C$2:$G$209999,5,0),0)</f>
        <v>630</v>
      </c>
      <c r="W27" s="60">
        <f t="shared" si="6"/>
        <v>10287.9</v>
      </c>
      <c r="X27" s="28">
        <v>16.330000000000002</v>
      </c>
      <c r="Y27" s="59">
        <v>543.52305251746407</v>
      </c>
      <c r="Z27" s="60">
        <f t="shared" si="7"/>
        <v>8875.7314476101892</v>
      </c>
      <c r="AA27" s="60">
        <f t="shared" si="0"/>
        <v>8875.7314476101892</v>
      </c>
      <c r="AB27" s="60">
        <f t="shared" si="1"/>
        <v>0</v>
      </c>
      <c r="AC27" s="60">
        <f t="shared" si="8"/>
        <v>19163.631447610191</v>
      </c>
      <c r="AD27" s="61">
        <f>+VLOOKUP(C27,'[1]pic au 25-03'!C:R,16,FALSE)</f>
        <v>1475.0915135174641</v>
      </c>
      <c r="AE27" s="31" t="s">
        <v>45</v>
      </c>
      <c r="AF27" s="62">
        <v>26775.419529401381</v>
      </c>
      <c r="AG27" s="31" t="s">
        <v>46</v>
      </c>
      <c r="AH27" s="62">
        <v>26775.419529401381</v>
      </c>
      <c r="AI27" s="31"/>
      <c r="AJ27" s="28">
        <f t="shared" si="9"/>
        <v>19163.631447610191</v>
      </c>
      <c r="AK27" s="21">
        <f>+VLOOKUP(C27,'[1]stock au 25-03-25'!A:X,24,FALSE)</f>
        <v>301.56846100000001</v>
      </c>
      <c r="AL27" t="s">
        <v>45</v>
      </c>
      <c r="AM27" s="21">
        <f t="shared" si="11"/>
        <v>1173.5230525174641</v>
      </c>
      <c r="AN27" t="s">
        <v>45</v>
      </c>
      <c r="AO27" s="63">
        <v>21883.172874759883</v>
      </c>
      <c r="AP27" s="64">
        <f t="shared" si="12"/>
        <v>19163.631447610191</v>
      </c>
      <c r="AQ27" t="s">
        <v>46</v>
      </c>
      <c r="AR27" s="36">
        <f>(AP27-AO27)/AO27</f>
        <v>-0.12427546237074329</v>
      </c>
      <c r="AS27" s="81"/>
      <c r="AT27" s="81">
        <f>(AO27-J27)/J27</f>
        <v>-0.20234549052430956</v>
      </c>
      <c r="AU27" s="81"/>
      <c r="AV27" s="66">
        <f>(AP27-J27)/J27</f>
        <v>-0.30147437350150941</v>
      </c>
      <c r="BB27" s="56">
        <f>+R27*F27</f>
        <v>27434.400000000001</v>
      </c>
    </row>
    <row r="28" spans="1:54" ht="18.75" outlineLevel="1" x14ac:dyDescent="0.3">
      <c r="A28">
        <v>2</v>
      </c>
      <c r="B28" t="s">
        <v>58</v>
      </c>
      <c r="C28">
        <v>350027</v>
      </c>
      <c r="D28" t="s">
        <v>75</v>
      </c>
      <c r="E28" t="s">
        <v>62</v>
      </c>
      <c r="F28" s="21">
        <f>+VLOOKUP(C28,'[1]stock au 25-03-25'!A:D,4,FALSE)</f>
        <v>4080</v>
      </c>
      <c r="G28" t="s">
        <v>45</v>
      </c>
      <c r="H28" s="22">
        <f>+VLOOKUP(C28,'[1]stock au 25-03-25'!A:F,6,FALSE)</f>
        <v>5</v>
      </c>
      <c r="I28" t="s">
        <v>46</v>
      </c>
      <c r="J28" s="56">
        <f>+VLOOKUP(C28,'[1]stock au 25-03-25'!A:H,8,FALSE)</f>
        <v>20400</v>
      </c>
      <c r="K28" t="s">
        <v>46</v>
      </c>
      <c r="L28" s="23">
        <v>6</v>
      </c>
      <c r="M28" t="s">
        <v>46</v>
      </c>
      <c r="N28" s="56">
        <f>+VLOOKUP(C28,'[1]stock au 25-03-25'!A:L,12,FALSE)</f>
        <v>24480</v>
      </c>
      <c r="P28" s="57">
        <v>6</v>
      </c>
      <c r="Q28" t="s">
        <v>46</v>
      </c>
      <c r="R28" s="25">
        <v>6.25</v>
      </c>
      <c r="T28" s="26">
        <v>5.2</v>
      </c>
      <c r="U28" s="58">
        <f t="shared" si="10"/>
        <v>-0.16799999999999998</v>
      </c>
      <c r="V28" s="10">
        <f>IFERROR(VLOOKUP(C28,'[2]INDICATEURS ACHATS - Matières P'!$C$2:$G$209999,5,0),0)</f>
        <v>2550</v>
      </c>
      <c r="W28" s="60">
        <f t="shared" si="6"/>
        <v>13260</v>
      </c>
      <c r="X28" s="28">
        <v>5.25</v>
      </c>
      <c r="Y28" s="59">
        <v>1444.9630189517172</v>
      </c>
      <c r="Z28" s="60">
        <f t="shared" si="7"/>
        <v>7586.0558494965153</v>
      </c>
      <c r="AA28" s="60">
        <f t="shared" si="0"/>
        <v>9031.0188684482328</v>
      </c>
      <c r="AB28" s="60">
        <f t="shared" si="1"/>
        <v>-1444.9630189517175</v>
      </c>
      <c r="AC28" s="60">
        <f t="shared" si="8"/>
        <v>20846.055849496515</v>
      </c>
      <c r="AD28" s="61">
        <f>+VLOOKUP(C28,'[1]pic au 25-03'!C:R,16,FALSE)</f>
        <v>4200.4653879517173</v>
      </c>
      <c r="AE28" s="31" t="s">
        <v>45</v>
      </c>
      <c r="AF28" s="62">
        <v>26013.394682325692</v>
      </c>
      <c r="AG28" s="31" t="s">
        <v>46</v>
      </c>
      <c r="AH28" s="62">
        <v>26013.394682325692</v>
      </c>
      <c r="AI28" s="31"/>
      <c r="AJ28" s="28">
        <f t="shared" si="9"/>
        <v>20973.555849496515</v>
      </c>
      <c r="AK28" s="21">
        <f>+VLOOKUP(C28,'[1]stock au 25-03-25'!A:X,24,FALSE)</f>
        <v>205.50236899999999</v>
      </c>
      <c r="AL28" t="s">
        <v>45</v>
      </c>
      <c r="AM28" s="21">
        <f t="shared" si="11"/>
        <v>3994.9630189517175</v>
      </c>
      <c r="AN28" t="s">
        <v>45</v>
      </c>
      <c r="AO28" s="63">
        <v>18835.204296938078</v>
      </c>
      <c r="AP28" s="64">
        <f t="shared" si="12"/>
        <v>24968.518868448235</v>
      </c>
      <c r="AQ28" t="s">
        <v>46</v>
      </c>
      <c r="AR28" s="36">
        <f>(AP28-AO28)/AO28</f>
        <v>0.32563037144795987</v>
      </c>
      <c r="AS28" s="81"/>
      <c r="AT28" s="81">
        <f>(AO28-J28)/J28</f>
        <v>-7.6705671718721655E-2</v>
      </c>
      <c r="AU28" s="81"/>
      <c r="AV28" s="66">
        <f>(AP28-J28)/J28</f>
        <v>0.22394700335530562</v>
      </c>
      <c r="BB28" s="56">
        <f>+R28*F28</f>
        <v>25500</v>
      </c>
    </row>
    <row r="29" spans="1:54" ht="18.75" outlineLevel="1" x14ac:dyDescent="0.3">
      <c r="A29">
        <v>2</v>
      </c>
      <c r="B29" t="s">
        <v>58</v>
      </c>
      <c r="C29">
        <v>360377</v>
      </c>
      <c r="D29" t="s">
        <v>76</v>
      </c>
      <c r="E29" t="s">
        <v>62</v>
      </c>
      <c r="F29" s="21">
        <f>+VLOOKUP(C29,'[1]stock au 25-03-25'!A:D,4,FALSE)</f>
        <v>3300</v>
      </c>
      <c r="G29" t="s">
        <v>45</v>
      </c>
      <c r="H29" s="22">
        <f>+VLOOKUP(C29,'[1]stock au 25-03-25'!A:F,6,FALSE)</f>
        <v>5.6327272727272728</v>
      </c>
      <c r="I29" t="s">
        <v>46</v>
      </c>
      <c r="J29" s="56">
        <f>+VLOOKUP(C29,'[1]stock au 25-03-25'!A:H,8,FALSE)</f>
        <v>18588</v>
      </c>
      <c r="K29" t="s">
        <v>46</v>
      </c>
      <c r="L29" s="23">
        <v>8.6</v>
      </c>
      <c r="M29" t="s">
        <v>46</v>
      </c>
      <c r="N29" s="56">
        <f>+VLOOKUP(C29,'[1]stock au 25-03-25'!A:L,12,FALSE)</f>
        <v>28380</v>
      </c>
      <c r="P29" s="57">
        <v>8.6</v>
      </c>
      <c r="Q29" t="s">
        <v>46</v>
      </c>
      <c r="R29" s="25">
        <v>5.3</v>
      </c>
      <c r="T29" s="26">
        <v>4.9860655737704915</v>
      </c>
      <c r="U29" s="58">
        <f t="shared" si="10"/>
        <v>-5.9232910609341188E-2</v>
      </c>
      <c r="V29" s="10">
        <f>IFERROR(VLOOKUP(C29,'[2]INDICATEURS ACHATS - Matières P'!$C$2:$G$209999,5,0),0)</f>
        <v>1525</v>
      </c>
      <c r="W29" s="60">
        <f t="shared" si="6"/>
        <v>7603.75</v>
      </c>
      <c r="X29" s="28">
        <v>4.9000000000000004</v>
      </c>
      <c r="Y29" s="59">
        <v>1427.2578042646226</v>
      </c>
      <c r="Z29" s="60">
        <f t="shared" si="7"/>
        <v>6993.5632408966512</v>
      </c>
      <c r="AA29" s="60">
        <f t="shared" si="0"/>
        <v>7564.4663626024994</v>
      </c>
      <c r="AB29" s="60">
        <f t="shared" si="1"/>
        <v>-570.90312170584821</v>
      </c>
      <c r="AC29" s="60">
        <f t="shared" si="8"/>
        <v>14597.313240896652</v>
      </c>
      <c r="AD29" s="61">
        <f>+VLOOKUP(C29,'[1]pic au 25-03'!C:R,16,FALSE)</f>
        <v>3768.4677052646225</v>
      </c>
      <c r="AE29" s="31" t="s">
        <v>45</v>
      </c>
      <c r="AF29" s="62">
        <v>33345.421616885753</v>
      </c>
      <c r="AG29" s="31" t="s">
        <v>46</v>
      </c>
      <c r="AH29" s="62">
        <v>33345.421616885753</v>
      </c>
      <c r="AI29" s="31"/>
      <c r="AJ29" s="28">
        <f t="shared" si="9"/>
        <v>14466.063240896652</v>
      </c>
      <c r="AK29" s="21">
        <f>+VLOOKUP(C29,'[1]stock au 25-03-25'!A:X,24,FALSE)</f>
        <v>816.20990099999995</v>
      </c>
      <c r="AL29" t="s">
        <v>45</v>
      </c>
      <c r="AM29" s="21">
        <f t="shared" si="11"/>
        <v>2952.2578042646228</v>
      </c>
      <c r="AN29" t="s">
        <v>45</v>
      </c>
      <c r="AO29" s="63">
        <v>20767.477628043263</v>
      </c>
      <c r="AP29" s="64">
        <f t="shared" si="12"/>
        <v>15646.966362602499</v>
      </c>
      <c r="AQ29" t="s">
        <v>46</v>
      </c>
      <c r="AR29" s="36">
        <f>(AP29-AO29)/AO29</f>
        <v>-0.24656394758920103</v>
      </c>
      <c r="AS29" s="81"/>
      <c r="AT29" s="81">
        <f>(AO29-J29)/J29</f>
        <v>0.11725186292464296</v>
      </c>
      <c r="AU29" s="81"/>
      <c r="AV29" s="66">
        <f>(AP29-J29)/J29</f>
        <v>-0.1582221668494459</v>
      </c>
      <c r="BB29" s="56">
        <f>+R29*F29</f>
        <v>17490</v>
      </c>
    </row>
    <row r="30" spans="1:54" ht="18.75" outlineLevel="1" x14ac:dyDescent="0.3">
      <c r="A30">
        <v>2</v>
      </c>
      <c r="B30" t="s">
        <v>58</v>
      </c>
      <c r="C30">
        <v>338012</v>
      </c>
      <c r="D30" t="s">
        <v>77</v>
      </c>
      <c r="E30" t="s">
        <v>62</v>
      </c>
      <c r="F30" s="21">
        <f>+VLOOKUP(C30,'[1]stock au 25-03-25'!A:D,4,FALSE)</f>
        <v>900</v>
      </c>
      <c r="G30" t="s">
        <v>45</v>
      </c>
      <c r="H30" s="22">
        <f>+VLOOKUP(C30,'[1]stock au 25-03-25'!A:F,6,FALSE)</f>
        <v>20</v>
      </c>
      <c r="I30" t="s">
        <v>46</v>
      </c>
      <c r="J30" s="56">
        <f>+VLOOKUP(C30,'[1]stock au 25-03-25'!A:H,8,FALSE)</f>
        <v>18000</v>
      </c>
      <c r="K30" t="s">
        <v>46</v>
      </c>
      <c r="L30" s="23">
        <v>20</v>
      </c>
      <c r="M30" t="s">
        <v>46</v>
      </c>
      <c r="N30" s="56">
        <f>+VLOOKUP(C30,'[1]stock au 25-03-25'!A:L,12,FALSE)</f>
        <v>18000</v>
      </c>
      <c r="P30" s="57">
        <v>20</v>
      </c>
      <c r="Q30" t="s">
        <v>46</v>
      </c>
      <c r="R30" s="25">
        <v>20.350000000000001</v>
      </c>
      <c r="T30" s="26">
        <v>20.350000000000001</v>
      </c>
      <c r="U30" s="58">
        <f t="shared" si="10"/>
        <v>0</v>
      </c>
      <c r="V30" s="10">
        <f>IFERROR(VLOOKUP(C30,'[2]INDICATEURS ACHATS - Matières P'!$C$2:$G$209999,5,0),0)</f>
        <v>450</v>
      </c>
      <c r="W30" s="60">
        <f t="shared" si="6"/>
        <v>9157.5</v>
      </c>
      <c r="X30" s="28">
        <v>20.350000000000001</v>
      </c>
      <c r="Y30" s="59">
        <v>387.88937948729779</v>
      </c>
      <c r="Z30" s="60">
        <f t="shared" si="7"/>
        <v>7893.5488725665109</v>
      </c>
      <c r="AA30" s="60">
        <f t="shared" si="0"/>
        <v>7893.5488725665109</v>
      </c>
      <c r="AB30" s="60">
        <f t="shared" si="1"/>
        <v>0</v>
      </c>
      <c r="AC30" s="60">
        <f t="shared" si="8"/>
        <v>17051.048872566513</v>
      </c>
      <c r="AD30" s="61">
        <f>+VLOOKUP(C30,'[1]pic au 25-03'!C:R,16,FALSE)</f>
        <v>958.69067248729777</v>
      </c>
      <c r="AE30" s="31" t="s">
        <v>45</v>
      </c>
      <c r="AF30" s="62">
        <v>19232.692464031668</v>
      </c>
      <c r="AG30" s="31" t="s">
        <v>46</v>
      </c>
      <c r="AH30" s="62">
        <v>19232.692464031668</v>
      </c>
      <c r="AI30" s="31"/>
      <c r="AJ30" s="28">
        <f t="shared" si="9"/>
        <v>17051.048872566513</v>
      </c>
      <c r="AK30" s="21">
        <f>+VLOOKUP(C30,'[1]stock au 25-03-25'!A:X,24,FALSE)</f>
        <v>120.801293</v>
      </c>
      <c r="AL30" t="s">
        <v>45</v>
      </c>
      <c r="AM30" s="21">
        <f t="shared" si="11"/>
        <v>837.88937948729779</v>
      </c>
      <c r="AN30" t="s">
        <v>45</v>
      </c>
      <c r="AO30" s="63">
        <v>18169.425884031669</v>
      </c>
      <c r="AP30" s="64">
        <f t="shared" si="12"/>
        <v>17051.048872566513</v>
      </c>
      <c r="AQ30" t="s">
        <v>46</v>
      </c>
      <c r="AR30" s="36">
        <f>(AP30-AO30)/AO30</f>
        <v>-6.1552688489076024E-2</v>
      </c>
      <c r="AS30" s="81"/>
      <c r="AT30" s="81">
        <f>(AO30-J30)/J30</f>
        <v>9.41254911287049E-3</v>
      </c>
      <c r="AU30" s="81"/>
      <c r="AV30" s="66">
        <f>(AP30-J30)/J30</f>
        <v>-5.2719507079638184E-2</v>
      </c>
      <c r="BB30" s="56">
        <f>+R30*F30</f>
        <v>18315</v>
      </c>
    </row>
    <row r="31" spans="1:54" ht="18.75" outlineLevel="1" x14ac:dyDescent="0.3">
      <c r="A31">
        <v>2</v>
      </c>
      <c r="B31" t="s">
        <v>58</v>
      </c>
      <c r="C31">
        <v>339719</v>
      </c>
      <c r="D31" t="s">
        <v>78</v>
      </c>
      <c r="E31" t="s">
        <v>62</v>
      </c>
      <c r="F31" s="21">
        <f>+VLOOKUP(C31,'[1]stock au 25-03-25'!A:D,4,FALSE)</f>
        <v>8325</v>
      </c>
      <c r="G31" t="s">
        <v>45</v>
      </c>
      <c r="H31" s="22">
        <f>+VLOOKUP(C31,'[1]stock au 25-03-25'!A:F,6,FALSE)</f>
        <v>2.1343099099099101</v>
      </c>
      <c r="I31" t="s">
        <v>46</v>
      </c>
      <c r="J31" s="56">
        <f>+VLOOKUP(C31,'[1]stock au 25-03-25'!A:H,8,FALSE)</f>
        <v>17768.13</v>
      </c>
      <c r="K31" t="s">
        <v>46</v>
      </c>
      <c r="L31" s="23">
        <v>2.69</v>
      </c>
      <c r="M31" t="s">
        <v>46</v>
      </c>
      <c r="N31" s="56">
        <f>+VLOOKUP(C31,'[1]stock au 25-03-25'!A:L,12,FALSE)</f>
        <v>22394.25</v>
      </c>
      <c r="P31" s="57">
        <v>2.69</v>
      </c>
      <c r="Q31" t="s">
        <v>46</v>
      </c>
      <c r="R31" s="25">
        <v>1.9</v>
      </c>
      <c r="T31" s="26">
        <v>1.7585</v>
      </c>
      <c r="U31" s="58">
        <f t="shared" si="10"/>
        <v>-7.4473684210526303E-2</v>
      </c>
      <c r="V31" s="10">
        <f>IFERROR(VLOOKUP(C31,'[2]INDICATEURS ACHATS - Matières P'!$C$2:$G$209999,5,0),0)</f>
        <v>4040</v>
      </c>
      <c r="W31" s="60">
        <f t="shared" si="6"/>
        <v>7104.34</v>
      </c>
      <c r="X31" s="28">
        <v>1.379</v>
      </c>
      <c r="Y31" s="59">
        <v>4013.6877988262358</v>
      </c>
      <c r="Z31" s="60">
        <f t="shared" si="7"/>
        <v>5534.8754745813794</v>
      </c>
      <c r="AA31" s="60">
        <f t="shared" si="0"/>
        <v>7626.0068177698477</v>
      </c>
      <c r="AB31" s="60">
        <f t="shared" si="1"/>
        <v>-2091.1313431884682</v>
      </c>
      <c r="AC31" s="60">
        <f t="shared" si="8"/>
        <v>12639.215474581379</v>
      </c>
      <c r="AD31" s="61">
        <f>+VLOOKUP(C31,'[1]pic au 25-03'!C:R,16,FALSE)</f>
        <v>8457.621798826236</v>
      </c>
      <c r="AE31" s="31" t="s">
        <v>45</v>
      </c>
      <c r="AF31" s="62">
        <v>22751.002638842569</v>
      </c>
      <c r="AG31" s="31" t="s">
        <v>46</v>
      </c>
      <c r="AH31" s="62">
        <v>22751.002638842569</v>
      </c>
      <c r="AI31" s="31"/>
      <c r="AJ31" s="28">
        <f t="shared" si="9"/>
        <v>11106.035474581378</v>
      </c>
      <c r="AK31" s="21">
        <f>+VLOOKUP(C31,'[1]stock au 25-03-25'!A:X,24,FALSE)</f>
        <v>403.93400000000003</v>
      </c>
      <c r="AL31" t="s">
        <v>45</v>
      </c>
      <c r="AM31" s="21">
        <f t="shared" si="11"/>
        <v>8053.6877988262358</v>
      </c>
      <c r="AN31" t="s">
        <v>45</v>
      </c>
      <c r="AO31" s="63">
        <v>15552.410677829235</v>
      </c>
      <c r="AP31" s="64">
        <f t="shared" si="12"/>
        <v>15302.006817769847</v>
      </c>
      <c r="AQ31" t="s">
        <v>46</v>
      </c>
      <c r="AR31" s="36">
        <f>(AP31-AO31)/AO31</f>
        <v>-1.6100646082883613E-2</v>
      </c>
      <c r="AS31" s="81"/>
      <c r="AT31" s="81">
        <f>(AO31-J31)/J31</f>
        <v>-0.12470188602687877</v>
      </c>
      <c r="AU31" s="81"/>
      <c r="AV31" s="66">
        <f>(AP31-J31)/J31</f>
        <v>-0.13879475117697551</v>
      </c>
      <c r="BB31" s="56">
        <f>+R31*F31</f>
        <v>15817.5</v>
      </c>
    </row>
    <row r="32" spans="1:54" ht="18.75" outlineLevel="1" x14ac:dyDescent="0.3">
      <c r="A32">
        <v>2</v>
      </c>
      <c r="B32" t="s">
        <v>58</v>
      </c>
      <c r="C32">
        <v>337391</v>
      </c>
      <c r="D32" t="s">
        <v>79</v>
      </c>
      <c r="E32" t="s">
        <v>62</v>
      </c>
      <c r="F32" s="21">
        <f>+VLOOKUP(C32,'[1]stock au 25-03-25'!A:D,4,FALSE)</f>
        <v>1155</v>
      </c>
      <c r="G32" t="s">
        <v>45</v>
      </c>
      <c r="H32" s="22">
        <f>+VLOOKUP(C32,'[1]stock au 25-03-25'!A:F,6,FALSE)</f>
        <v>11.5</v>
      </c>
      <c r="I32" t="s">
        <v>46</v>
      </c>
      <c r="J32" s="56">
        <f>+VLOOKUP(C32,'[1]stock au 25-03-25'!A:H,8,FALSE)</f>
        <v>13282.5</v>
      </c>
      <c r="K32" t="s">
        <v>46</v>
      </c>
      <c r="L32" s="23">
        <v>11.78</v>
      </c>
      <c r="M32" t="s">
        <v>46</v>
      </c>
      <c r="N32" s="56">
        <f>+VLOOKUP(C32,'[1]stock au 25-03-25'!A:L,12,FALSE)</f>
        <v>13605.9</v>
      </c>
      <c r="P32" s="57">
        <v>11.78</v>
      </c>
      <c r="Q32" t="s">
        <v>46</v>
      </c>
      <c r="R32" s="25">
        <v>11.74</v>
      </c>
      <c r="T32" s="26">
        <v>11.7</v>
      </c>
      <c r="U32" s="58">
        <f t="shared" si="10"/>
        <v>-3.4071550255537412E-3</v>
      </c>
      <c r="V32" s="10">
        <f>IFERROR(VLOOKUP(C32,'[2]INDICATEURS ACHATS - Matières P'!$C$2:$G$209999,5,0),0)</f>
        <v>630</v>
      </c>
      <c r="W32" s="60">
        <f t="shared" si="6"/>
        <v>7371</v>
      </c>
      <c r="X32" s="28">
        <v>11.74</v>
      </c>
      <c r="Y32" s="59">
        <v>499.00210848067888</v>
      </c>
      <c r="Z32" s="60">
        <f t="shared" si="7"/>
        <v>5858.2847535631699</v>
      </c>
      <c r="AA32" s="60">
        <f t="shared" si="0"/>
        <v>5858.2847535631699</v>
      </c>
      <c r="AB32" s="60">
        <f t="shared" si="1"/>
        <v>0</v>
      </c>
      <c r="AC32" s="60">
        <f t="shared" si="8"/>
        <v>13229.28475356317</v>
      </c>
      <c r="AD32" s="61">
        <f>+VLOOKUP(C32,'[1]pic au 25-03'!C:R,16,FALSE)</f>
        <v>1248.0860924806789</v>
      </c>
      <c r="AE32" s="31" t="s">
        <v>45</v>
      </c>
      <c r="AF32" s="62">
        <v>14702.454169422397</v>
      </c>
      <c r="AG32" s="31" t="s">
        <v>46</v>
      </c>
      <c r="AH32" s="62">
        <v>14702.454169422397</v>
      </c>
      <c r="AI32" s="31"/>
      <c r="AJ32" s="28">
        <f t="shared" si="9"/>
        <v>13254.484753563169</v>
      </c>
      <c r="AK32" s="21">
        <f>+VLOOKUP(C32,'[1]stock au 25-03-25'!A:X,24,FALSE)</f>
        <v>119.083984</v>
      </c>
      <c r="AL32" t="s">
        <v>45</v>
      </c>
      <c r="AM32" s="21">
        <f t="shared" si="11"/>
        <v>1129.0021084806788</v>
      </c>
      <c r="AN32" t="s">
        <v>45</v>
      </c>
      <c r="AO32" s="63">
        <v>13210.873302027807</v>
      </c>
      <c r="AP32" s="64">
        <f t="shared" si="12"/>
        <v>13254.484753563169</v>
      </c>
      <c r="AQ32" t="s">
        <v>46</v>
      </c>
      <c r="AR32" s="36">
        <f>(AP32-AO32)/AO32</f>
        <v>3.30117854727044E-3</v>
      </c>
      <c r="AS32" s="81"/>
      <c r="AT32" s="81">
        <f>(AO32-J32)/J32</f>
        <v>-5.3925614885897344E-3</v>
      </c>
      <c r="AU32" s="81"/>
      <c r="AV32" s="66">
        <f>(AP32-J32)/J32</f>
        <v>-2.1091847496202635E-3</v>
      </c>
      <c r="BB32" s="56">
        <f>+R32*F32</f>
        <v>13559.7</v>
      </c>
    </row>
    <row r="33" spans="1:54" ht="18.75" outlineLevel="1" x14ac:dyDescent="0.3">
      <c r="A33">
        <v>2</v>
      </c>
      <c r="B33" t="s">
        <v>58</v>
      </c>
      <c r="C33">
        <v>338192</v>
      </c>
      <c r="D33" t="s">
        <v>80</v>
      </c>
      <c r="E33" t="s">
        <v>62</v>
      </c>
      <c r="F33" s="21">
        <f>+VLOOKUP(C33,'[1]stock au 25-03-25'!A:D,4,FALSE)</f>
        <v>1230</v>
      </c>
      <c r="G33" t="s">
        <v>45</v>
      </c>
      <c r="H33" s="22">
        <f>+VLOOKUP(C33,'[1]stock au 25-03-25'!A:F,6,FALSE)</f>
        <v>11.35</v>
      </c>
      <c r="I33" t="s">
        <v>46</v>
      </c>
      <c r="J33" s="56">
        <f>+VLOOKUP(C33,'[1]stock au 25-03-25'!A:H,8,FALSE)</f>
        <v>13960.5</v>
      </c>
      <c r="K33" t="s">
        <v>46</v>
      </c>
      <c r="L33" s="23">
        <v>11.4</v>
      </c>
      <c r="M33" t="s">
        <v>46</v>
      </c>
      <c r="N33" s="56">
        <f>+VLOOKUP(C33,'[1]stock au 25-03-25'!A:L,12,FALSE)</f>
        <v>14022</v>
      </c>
      <c r="P33" s="57">
        <v>11.4</v>
      </c>
      <c r="Q33" t="s">
        <v>46</v>
      </c>
      <c r="R33" s="25">
        <v>10.4</v>
      </c>
      <c r="T33" s="26">
        <v>10.4</v>
      </c>
      <c r="U33" s="58">
        <f t="shared" si="10"/>
        <v>0</v>
      </c>
      <c r="V33" s="10">
        <f>IFERROR(VLOOKUP(C33,'[2]INDICATEURS ACHATS - Matières P'!$C$2:$G$209999,5,0),0)</f>
        <v>1050</v>
      </c>
      <c r="W33" s="60">
        <f t="shared" si="6"/>
        <v>10920</v>
      </c>
      <c r="X33" s="28">
        <v>10.4</v>
      </c>
      <c r="Y33" s="59">
        <v>84.959976477439525</v>
      </c>
      <c r="Z33" s="60">
        <f t="shared" si="7"/>
        <v>883.58375536537108</v>
      </c>
      <c r="AA33" s="60">
        <f t="shared" si="0"/>
        <v>883.58375536537108</v>
      </c>
      <c r="AB33" s="60">
        <f t="shared" si="1"/>
        <v>0</v>
      </c>
      <c r="AC33" s="60">
        <f t="shared" si="8"/>
        <v>11803.583755365371</v>
      </c>
      <c r="AD33" s="61">
        <f>+VLOOKUP(C33,'[1]pic au 25-03'!C:R,16,FALSE)</f>
        <v>1234.6529414774395</v>
      </c>
      <c r="AE33" s="31" t="s">
        <v>45</v>
      </c>
      <c r="AF33" s="62">
        <v>14515.585237156536</v>
      </c>
      <c r="AG33" s="31" t="s">
        <v>46</v>
      </c>
      <c r="AH33" s="62">
        <v>14515.585237156536</v>
      </c>
      <c r="AI33" s="31"/>
      <c r="AJ33" s="28">
        <f t="shared" si="9"/>
        <v>11803.583755365373</v>
      </c>
      <c r="AK33" s="21">
        <f>+VLOOKUP(C33,'[1]stock au 25-03-25'!A:X,24,FALSE)</f>
        <v>99.692965000000001</v>
      </c>
      <c r="AL33" t="s">
        <v>45</v>
      </c>
      <c r="AM33" s="21">
        <f t="shared" si="11"/>
        <v>1134.9599764774396</v>
      </c>
      <c r="AN33" t="s">
        <v>45</v>
      </c>
      <c r="AO33" s="63">
        <v>12181.479941525147</v>
      </c>
      <c r="AP33" s="64">
        <f t="shared" si="12"/>
        <v>11803.583755365373</v>
      </c>
      <c r="AQ33" t="s">
        <v>46</v>
      </c>
      <c r="AR33" s="36">
        <f>(AP33-AO33)/AO33</f>
        <v>-3.1022190076558227E-2</v>
      </c>
      <c r="AS33" s="81"/>
      <c r="AT33" s="81">
        <f>(AO33-J33)/J33</f>
        <v>-0.12743240274165343</v>
      </c>
      <c r="AU33" s="81"/>
      <c r="AV33" s="66">
        <f>(AP33-J33)/J33</f>
        <v>-0.15450136059844757</v>
      </c>
      <c r="BB33" s="56">
        <f>+R33*F33</f>
        <v>12792</v>
      </c>
    </row>
    <row r="34" spans="1:54" ht="18.75" outlineLevel="1" x14ac:dyDescent="0.3">
      <c r="A34">
        <v>2</v>
      </c>
      <c r="B34" t="s">
        <v>58</v>
      </c>
      <c r="C34">
        <v>338201</v>
      </c>
      <c r="D34" t="s">
        <v>81</v>
      </c>
      <c r="E34" t="s">
        <v>62</v>
      </c>
      <c r="F34" s="21">
        <f>+VLOOKUP(C34,'[1]stock au 25-03-25'!A:D,4,FALSE)</f>
        <v>3500</v>
      </c>
      <c r="G34" t="s">
        <v>45</v>
      </c>
      <c r="H34" s="22">
        <f>+VLOOKUP(C34,'[1]stock au 25-03-25'!A:F,6,FALSE)</f>
        <v>2.06</v>
      </c>
      <c r="I34" t="s">
        <v>46</v>
      </c>
      <c r="J34" s="56">
        <f>+VLOOKUP(C34,'[1]stock au 25-03-25'!A:H,8,FALSE)</f>
        <v>7210</v>
      </c>
      <c r="K34" t="s">
        <v>46</v>
      </c>
      <c r="L34" s="23">
        <v>4.7560000000000002</v>
      </c>
      <c r="M34" t="s">
        <v>46</v>
      </c>
      <c r="N34" s="56">
        <f>+VLOOKUP(C34,'[1]stock au 25-03-25'!A:L,12,FALSE)</f>
        <v>16646</v>
      </c>
      <c r="P34" s="57">
        <v>2.1</v>
      </c>
      <c r="Q34" t="s">
        <v>46</v>
      </c>
      <c r="R34" s="25">
        <f>H34*(1+VLOOKUP(A34,'[1]Variation MP'!$B$3:$D$22,3))</f>
        <v>2.06</v>
      </c>
      <c r="T34" s="26">
        <v>2.06</v>
      </c>
      <c r="U34" s="58">
        <f t="shared" si="10"/>
        <v>0</v>
      </c>
      <c r="V34" s="10">
        <f>IFERROR(VLOOKUP(C34,'[2]INDICATEURS ACHATS - Matières P'!$C$2:$G$209999,5,0),0)</f>
        <v>1995</v>
      </c>
      <c r="W34" s="60">
        <f t="shared" si="6"/>
        <v>4109.7</v>
      </c>
      <c r="X34" s="28">
        <v>2.06</v>
      </c>
      <c r="Y34" s="59">
        <v>1771.5769408456117</v>
      </c>
      <c r="Z34" s="60">
        <f t="shared" si="7"/>
        <v>3649.44849814196</v>
      </c>
      <c r="AA34" s="60">
        <f t="shared" si="0"/>
        <v>3649.44849814196</v>
      </c>
      <c r="AB34" s="60">
        <f t="shared" si="1"/>
        <v>0</v>
      </c>
      <c r="AC34" s="60">
        <f t="shared" si="8"/>
        <v>7759.1484981419599</v>
      </c>
      <c r="AD34" s="61">
        <f>+VLOOKUP(C34,'[1]pic au 25-03'!C:R,16,FALSE)</f>
        <v>4284.4048648456119</v>
      </c>
      <c r="AE34" s="31" t="s">
        <v>45</v>
      </c>
      <c r="AF34" s="62">
        <v>9017.7994121757856</v>
      </c>
      <c r="AG34" s="31" t="s">
        <v>46</v>
      </c>
      <c r="AH34" s="62">
        <v>20423.168573480016</v>
      </c>
      <c r="AI34" s="31"/>
      <c r="AJ34" s="28">
        <f t="shared" si="9"/>
        <v>7759.1484981419608</v>
      </c>
      <c r="AK34" s="21">
        <f>+VLOOKUP(C34,'[1]stock au 25-03-25'!A:X,24,FALSE)</f>
        <v>517.82792400000005</v>
      </c>
      <c r="AL34" t="s">
        <v>45</v>
      </c>
      <c r="AM34" s="21">
        <f t="shared" si="11"/>
        <v>3766.5769408456117</v>
      </c>
      <c r="AN34" t="s">
        <v>45</v>
      </c>
      <c r="AO34" s="63">
        <v>8215.8722938248175</v>
      </c>
      <c r="AP34" s="64">
        <f t="shared" si="12"/>
        <v>7759.1484981419608</v>
      </c>
      <c r="AQ34" t="s">
        <v>46</v>
      </c>
      <c r="AR34" s="36">
        <f>(AP34-AO34)/AO34</f>
        <v>-5.5590420511542969E-2</v>
      </c>
      <c r="AS34" s="81"/>
      <c r="AT34" s="81">
        <f>(AO34-J34)/J34</f>
        <v>0.13951072036405235</v>
      </c>
      <c r="AU34" s="81"/>
      <c r="AV34" s="66">
        <f>(AP34-J34)/J34</f>
        <v>7.6164840241603429E-2</v>
      </c>
      <c r="BB34" s="56">
        <f>+R34*F34</f>
        <v>7210</v>
      </c>
    </row>
    <row r="35" spans="1:54" ht="18.75" outlineLevel="1" x14ac:dyDescent="0.3">
      <c r="A35">
        <v>2</v>
      </c>
      <c r="B35" t="s">
        <v>58</v>
      </c>
      <c r="C35">
        <v>338068</v>
      </c>
      <c r="D35" t="s">
        <v>82</v>
      </c>
      <c r="E35" t="s">
        <v>62</v>
      </c>
      <c r="F35" s="21">
        <f>+VLOOKUP(C35,'[1]stock au 25-03-25'!A:D,4,FALSE)</f>
        <v>22175</v>
      </c>
      <c r="G35" t="s">
        <v>45</v>
      </c>
      <c r="H35" s="22">
        <f>+VLOOKUP(C35,'[1]stock au 25-03-25'!A:F,6,FALSE)</f>
        <v>0.29791612175873733</v>
      </c>
      <c r="I35" t="s">
        <v>46</v>
      </c>
      <c r="J35" s="56">
        <f>+VLOOKUP(C35,'[1]stock au 25-03-25'!A:H,8,FALSE)</f>
        <v>6606.29</v>
      </c>
      <c r="K35" t="s">
        <v>46</v>
      </c>
      <c r="L35" s="23">
        <v>0.38</v>
      </c>
      <c r="M35" t="s">
        <v>46</v>
      </c>
      <c r="N35" s="56">
        <f>+VLOOKUP(C35,'[1]stock au 25-03-25'!A:L,12,FALSE)</f>
        <v>43906.5</v>
      </c>
      <c r="P35" s="57">
        <v>0.31</v>
      </c>
      <c r="Q35" t="s">
        <v>46</v>
      </c>
      <c r="R35" s="25">
        <v>0.3</v>
      </c>
      <c r="T35" s="26">
        <v>0.31327567567567566</v>
      </c>
      <c r="U35" s="58">
        <f t="shared" si="10"/>
        <v>4.4252252252252232E-2</v>
      </c>
      <c r="V35" s="10">
        <f>IFERROR(VLOOKUP(C35,'[2]INDICATEURS ACHATS - Matières P'!$C$2:$G$209999,5,0),0)</f>
        <v>12950</v>
      </c>
      <c r="W35" s="60">
        <f t="shared" si="6"/>
        <v>4056.9199999999996</v>
      </c>
      <c r="X35" s="28">
        <v>0.30430769230769228</v>
      </c>
      <c r="Y35" s="59">
        <v>10033.121948719454</v>
      </c>
      <c r="Z35" s="60">
        <f t="shared" si="7"/>
        <v>3053.1561868564736</v>
      </c>
      <c r="AA35" s="60">
        <f t="shared" si="0"/>
        <v>3009.9365846158362</v>
      </c>
      <c r="AB35" s="60">
        <f t="shared" si="1"/>
        <v>43.219602240637414</v>
      </c>
      <c r="AC35" s="60">
        <f t="shared" si="8"/>
        <v>7110.0761868564732</v>
      </c>
      <c r="AD35" s="61">
        <f>+VLOOKUP(C35,'[1]pic au 25-03'!C:R,16,FALSE)</f>
        <v>23962.730668719454</v>
      </c>
      <c r="AE35" s="31" t="s">
        <v>45</v>
      </c>
      <c r="AF35" s="62">
        <v>7776.381406302673</v>
      </c>
      <c r="AG35" s="31" t="s">
        <v>46</v>
      </c>
      <c r="AH35" s="62">
        <v>49668.500595094491</v>
      </c>
      <c r="AI35" s="31"/>
      <c r="AJ35" s="28">
        <f t="shared" si="9"/>
        <v>6993.9408022410889</v>
      </c>
      <c r="AK35" s="21">
        <f>+VLOOKUP(C35,'[1]stock au 25-03-25'!A:X,24,FALSE)</f>
        <v>979.60871999999995</v>
      </c>
      <c r="AL35" t="s">
        <v>45</v>
      </c>
      <c r="AM35" s="21">
        <f t="shared" si="11"/>
        <v>22983.121948719454</v>
      </c>
      <c r="AN35" t="s">
        <v>45</v>
      </c>
      <c r="AO35" s="63">
        <v>7146.0222729996676</v>
      </c>
      <c r="AP35" s="64">
        <f t="shared" si="12"/>
        <v>6894.9365846158362</v>
      </c>
      <c r="AQ35" t="s">
        <v>46</v>
      </c>
      <c r="AR35" s="36">
        <f>(AP35-AO35)/AO35</f>
        <v>-3.5136426782844864E-2</v>
      </c>
      <c r="AS35" s="81"/>
      <c r="AT35" s="81">
        <f>(AO35-J35)/J35</f>
        <v>8.1699754779107139E-2</v>
      </c>
      <c r="AU35" s="81"/>
      <c r="AV35" s="66">
        <f>(AP35-J35)/J35</f>
        <v>4.3692690544289793E-2</v>
      </c>
      <c r="BB35" s="56">
        <f>+R35*F35</f>
        <v>6652.5</v>
      </c>
    </row>
    <row r="36" spans="1:54" ht="18.75" outlineLevel="1" x14ac:dyDescent="0.3">
      <c r="A36">
        <v>2</v>
      </c>
      <c r="B36" t="s">
        <v>58</v>
      </c>
      <c r="C36">
        <v>338470</v>
      </c>
      <c r="D36" t="s">
        <v>83</v>
      </c>
      <c r="E36" t="s">
        <v>62</v>
      </c>
      <c r="F36" s="21">
        <f>+VLOOKUP(C36,'[1]stock au 25-03-25'!A:D,4,FALSE)</f>
        <v>4860</v>
      </c>
      <c r="G36" t="s">
        <v>45</v>
      </c>
      <c r="H36" s="22">
        <f>+VLOOKUP(C36,'[1]stock au 25-03-25'!A:F,6,FALSE)</f>
        <v>1.55</v>
      </c>
      <c r="I36" t="s">
        <v>46</v>
      </c>
      <c r="J36" s="56">
        <f>+VLOOKUP(C36,'[1]stock au 25-03-25'!A:H,8,FALSE)</f>
        <v>7533</v>
      </c>
      <c r="K36" t="s">
        <v>46</v>
      </c>
      <c r="L36" s="23">
        <v>1.58</v>
      </c>
      <c r="M36" t="s">
        <v>46</v>
      </c>
      <c r="N36" s="56">
        <f>+VLOOKUP(C36,'[1]stock au 25-03-25'!A:L,12,FALSE)</f>
        <v>7678.8</v>
      </c>
      <c r="P36" s="57">
        <v>1.58</v>
      </c>
      <c r="Q36" t="s">
        <v>46</v>
      </c>
      <c r="R36" s="25">
        <f>H36*(1+VLOOKUP(A36,'[1]Variation MP'!$B$3:$D$22,3))</f>
        <v>1.55</v>
      </c>
      <c r="T36" s="26">
        <v>1.55</v>
      </c>
      <c r="U36" s="58">
        <f t="shared" si="10"/>
        <v>0</v>
      </c>
      <c r="V36" s="10">
        <f>IFERROR(VLOOKUP(C36,'[2]INDICATEURS ACHATS - Matières P'!$C$2:$G$209999,5,0),0)</f>
        <v>2160</v>
      </c>
      <c r="W36" s="60">
        <f t="shared" si="6"/>
        <v>3348</v>
      </c>
      <c r="X36" s="28">
        <v>1.55</v>
      </c>
      <c r="Y36" s="59">
        <v>2043.9673556166667</v>
      </c>
      <c r="Z36" s="60">
        <f t="shared" si="7"/>
        <v>3168.1494012058333</v>
      </c>
      <c r="AA36" s="60">
        <f t="shared" si="0"/>
        <v>3168.1494012058333</v>
      </c>
      <c r="AB36" s="60">
        <f t="shared" si="1"/>
        <v>0</v>
      </c>
      <c r="AC36" s="60">
        <f t="shared" si="8"/>
        <v>6516.1494012058338</v>
      </c>
      <c r="AD36" s="61">
        <f>+VLOOKUP(C36,'[1]pic au 25-03'!C:R,16,FALSE)</f>
        <v>4912.5091276166668</v>
      </c>
      <c r="AE36" s="31" t="s">
        <v>45</v>
      </c>
      <c r="AF36" s="62">
        <v>7761.7644216343342</v>
      </c>
      <c r="AG36" s="31" t="s">
        <v>46</v>
      </c>
      <c r="AH36" s="62">
        <v>7761.7644216343342</v>
      </c>
      <c r="AI36" s="31"/>
      <c r="AJ36" s="28">
        <f t="shared" si="9"/>
        <v>6516.1494012058347</v>
      </c>
      <c r="AK36" s="21">
        <f>+VLOOKUP(C36,'[1]stock au 25-03-25'!A:X,24,FALSE)</f>
        <v>708.54177200000004</v>
      </c>
      <c r="AL36" t="s">
        <v>45</v>
      </c>
      <c r="AM36" s="21">
        <f t="shared" si="11"/>
        <v>4203.9673556166672</v>
      </c>
      <c r="AN36" t="s">
        <v>45</v>
      </c>
      <c r="AO36" s="63">
        <v>6873.6888064058339</v>
      </c>
      <c r="AP36" s="64">
        <f t="shared" si="12"/>
        <v>6516.1494012058347</v>
      </c>
      <c r="AQ36" t="s">
        <v>46</v>
      </c>
      <c r="AR36" s="36">
        <f>(AP36-AO36)/AO36</f>
        <v>-5.2015652042145928E-2</v>
      </c>
      <c r="AS36" s="81"/>
      <c r="AT36" s="81">
        <f>(AO36-J36)/J36</f>
        <v>-8.7523057692043812E-2</v>
      </c>
      <c r="AU36" s="81"/>
      <c r="AV36" s="66">
        <f>(AP36-J36)/J36</f>
        <v>-0.13498614081961574</v>
      </c>
      <c r="BB36" s="56">
        <f>+R36*F36</f>
        <v>7533</v>
      </c>
    </row>
    <row r="37" spans="1:54" ht="18.75" outlineLevel="1" x14ac:dyDescent="0.3">
      <c r="A37">
        <v>2</v>
      </c>
      <c r="B37" t="s">
        <v>58</v>
      </c>
      <c r="C37">
        <v>338211</v>
      </c>
      <c r="D37" t="s">
        <v>84</v>
      </c>
      <c r="E37" t="s">
        <v>62</v>
      </c>
      <c r="F37" s="21">
        <f>+VLOOKUP(C37,'[1]stock au 25-03-25'!A:D,4,FALSE)</f>
        <v>1175</v>
      </c>
      <c r="G37" t="s">
        <v>45</v>
      </c>
      <c r="H37" s="22">
        <f>+VLOOKUP(C37,'[1]stock au 25-03-25'!A:F,6,FALSE)</f>
        <v>7.5053191489361701</v>
      </c>
      <c r="I37" t="s">
        <v>46</v>
      </c>
      <c r="J37" s="56">
        <f>+VLOOKUP(C37,'[1]stock au 25-03-25'!A:H,8,FALSE)</f>
        <v>8818.75</v>
      </c>
      <c r="K37" t="s">
        <v>46</v>
      </c>
      <c r="L37" s="23">
        <v>13.6</v>
      </c>
      <c r="M37" t="s">
        <v>46</v>
      </c>
      <c r="N37" s="56">
        <f>+VLOOKUP(C37,'[1]stock au 25-03-25'!A:L,12,FALSE)</f>
        <v>15980</v>
      </c>
      <c r="P37" s="57">
        <v>7.55</v>
      </c>
      <c r="Q37" t="s">
        <v>46</v>
      </c>
      <c r="R37" s="25">
        <v>8</v>
      </c>
      <c r="T37" s="26">
        <v>8.69</v>
      </c>
      <c r="U37" s="58">
        <f t="shared" si="10"/>
        <v>8.6249999999999938E-2</v>
      </c>
      <c r="V37" s="10">
        <f>IFERROR(VLOOKUP(C37,'[2]INDICATEURS ACHATS - Matières P'!$C$2:$G$209999,5,0),0)</f>
        <v>650</v>
      </c>
      <c r="W37" s="60">
        <f t="shared" si="6"/>
        <v>5648.5</v>
      </c>
      <c r="X37" s="28">
        <v>8.69</v>
      </c>
      <c r="Y37" s="59">
        <v>355.32887509944061</v>
      </c>
      <c r="Z37" s="60">
        <f t="shared" si="7"/>
        <v>3087.8079246141388</v>
      </c>
      <c r="AA37" s="60">
        <f t="shared" si="0"/>
        <v>2842.6310007955249</v>
      </c>
      <c r="AB37" s="60">
        <f t="shared" si="1"/>
        <v>245.17692381861389</v>
      </c>
      <c r="AC37" s="60">
        <f t="shared" si="8"/>
        <v>8736.3079246141388</v>
      </c>
      <c r="AD37" s="61">
        <f>+VLOOKUP(C37,'[1]pic au 25-03'!C:R,16,FALSE)</f>
        <v>1177.2800910994406</v>
      </c>
      <c r="AE37" s="31" t="s">
        <v>45</v>
      </c>
      <c r="AF37" s="62">
        <v>8927.7610559157038</v>
      </c>
      <c r="AG37" s="31" t="s">
        <v>46</v>
      </c>
      <c r="AH37" s="62">
        <v>16081.794749728952</v>
      </c>
      <c r="AI37" s="31"/>
      <c r="AJ37" s="28">
        <f t="shared" si="9"/>
        <v>8736.3079246141388</v>
      </c>
      <c r="AK37" s="21">
        <f>+VLOOKUP(C37,'[1]stock au 25-03-25'!A:X,24,FALSE)</f>
        <v>171.95121599999999</v>
      </c>
      <c r="AL37" t="s">
        <v>45</v>
      </c>
      <c r="AM37" s="21">
        <f t="shared" si="11"/>
        <v>1005.3288750994407</v>
      </c>
      <c r="AN37" t="s">
        <v>45</v>
      </c>
      <c r="AO37" s="63">
        <v>6850.7127593443383</v>
      </c>
      <c r="AP37" s="64">
        <f t="shared" si="12"/>
        <v>8042.6310007955253</v>
      </c>
      <c r="AQ37" t="s">
        <v>46</v>
      </c>
      <c r="AR37" s="36">
        <f>(AP37-AO37)/AO37</f>
        <v>0.17398455946432967</v>
      </c>
      <c r="AS37" s="81"/>
      <c r="AT37" s="81">
        <f>(AO37-J37)/J37</f>
        <v>-0.22316510170439821</v>
      </c>
      <c r="AU37" s="81"/>
      <c r="AV37" s="66">
        <f>(AP37-J37)/J37</f>
        <v>-8.8007824147920591E-2</v>
      </c>
      <c r="BB37" s="56">
        <f>+R37*F37</f>
        <v>9400</v>
      </c>
    </row>
    <row r="38" spans="1:54" ht="18.75" outlineLevel="1" x14ac:dyDescent="0.3">
      <c r="A38">
        <v>2</v>
      </c>
      <c r="B38" t="s">
        <v>58</v>
      </c>
      <c r="C38">
        <v>338070</v>
      </c>
      <c r="D38" t="s">
        <v>85</v>
      </c>
      <c r="E38" t="s">
        <v>62</v>
      </c>
      <c r="F38" s="21">
        <f>+VLOOKUP(C38,'[1]stock au 25-03-25'!A:D,4,FALSE)</f>
        <v>5665</v>
      </c>
      <c r="G38" t="s">
        <v>45</v>
      </c>
      <c r="H38" s="22">
        <f>+VLOOKUP(C38,'[1]stock au 25-03-25'!A:F,6,FALSE)</f>
        <v>1.0939894086496027</v>
      </c>
      <c r="I38" t="s">
        <v>46</v>
      </c>
      <c r="J38" s="56">
        <f>+VLOOKUP(C38,'[1]stock au 25-03-25'!A:H,8,FALSE)</f>
        <v>6197.45</v>
      </c>
      <c r="K38" t="s">
        <v>46</v>
      </c>
      <c r="L38" s="23">
        <v>1.45</v>
      </c>
      <c r="M38" t="s">
        <v>46</v>
      </c>
      <c r="N38" s="56">
        <f>+VLOOKUP(C38,'[1]stock au 25-03-25'!A:L,12,FALSE)</f>
        <v>8214.25</v>
      </c>
      <c r="P38" s="57">
        <v>1.35</v>
      </c>
      <c r="Q38" t="s">
        <v>46</v>
      </c>
      <c r="R38" s="25">
        <v>0.88</v>
      </c>
      <c r="T38" s="26">
        <v>0.85866666666666669</v>
      </c>
      <c r="U38" s="58">
        <f t="shared" si="10"/>
        <v>-2.4242424242424222E-2</v>
      </c>
      <c r="V38" s="10">
        <f>IFERROR(VLOOKUP(C38,'[2]INDICATEURS ACHATS - Matières P'!$C$2:$G$209999,5,0),0)</f>
        <v>2940</v>
      </c>
      <c r="W38" s="60">
        <f t="shared" si="6"/>
        <v>2524.48</v>
      </c>
      <c r="X38" s="28">
        <v>0.81999672001311996</v>
      </c>
      <c r="Y38" s="59">
        <v>3467.2055598518909</v>
      </c>
      <c r="Z38" s="60">
        <f t="shared" si="7"/>
        <v>2843.0971866898039</v>
      </c>
      <c r="AA38" s="60">
        <f t="shared" si="0"/>
        <v>3051.140892669664</v>
      </c>
      <c r="AB38" s="60">
        <f t="shared" si="1"/>
        <v>-208.04370597986008</v>
      </c>
      <c r="AC38" s="60">
        <f t="shared" si="8"/>
        <v>5367.577186689804</v>
      </c>
      <c r="AD38" s="61">
        <f>+VLOOKUP(C38,'[1]pic au 25-03'!C:R,16,FALSE)</f>
        <v>6544.8659988518912</v>
      </c>
      <c r="AE38" s="31" t="s">
        <v>45</v>
      </c>
      <c r="AF38" s="62">
        <v>9361.7789211712079</v>
      </c>
      <c r="AG38" s="31" t="s">
        <v>46</v>
      </c>
      <c r="AH38" s="62">
        <v>10055.244026443148</v>
      </c>
      <c r="AI38" s="31"/>
      <c r="AJ38" s="28">
        <f t="shared" si="9"/>
        <v>5253.8875435283762</v>
      </c>
      <c r="AK38" s="21">
        <f>+VLOOKUP(C38,'[1]stock au 25-03-25'!A:X,24,FALSE)</f>
        <v>137.660439</v>
      </c>
      <c r="AL38" t="s">
        <v>45</v>
      </c>
      <c r="AM38" s="21">
        <f t="shared" si="11"/>
        <v>6407.2055598518909</v>
      </c>
      <c r="AN38" t="s">
        <v>45</v>
      </c>
      <c r="AO38" s="63">
        <v>7023.911004612457</v>
      </c>
      <c r="AP38" s="64">
        <f t="shared" si="12"/>
        <v>5638.3408926696638</v>
      </c>
      <c r="AQ38" t="s">
        <v>46</v>
      </c>
      <c r="AR38" s="36">
        <f>(AP38-AO38)/AO38</f>
        <v>-0.19726475905416768</v>
      </c>
      <c r="AS38" s="81"/>
      <c r="AT38" s="81">
        <f>(AO38-J38)/J38</f>
        <v>0.13335500965920777</v>
      </c>
      <c r="AU38" s="81"/>
      <c r="AV38" s="66">
        <f>(AP38-J38)/J38</f>
        <v>-9.0215993244049733E-2</v>
      </c>
      <c r="BB38" s="56">
        <f>+R38*F38</f>
        <v>4985.2</v>
      </c>
    </row>
    <row r="39" spans="1:54" ht="18.75" outlineLevel="1" x14ac:dyDescent="0.3">
      <c r="A39">
        <v>2</v>
      </c>
      <c r="B39" t="s">
        <v>58</v>
      </c>
      <c r="C39">
        <v>340001</v>
      </c>
      <c r="D39" t="s">
        <v>86</v>
      </c>
      <c r="E39" t="s">
        <v>87</v>
      </c>
      <c r="F39" s="21">
        <f>+VLOOKUP(C39,'[1]stock au 25-03-25'!A:D,4,FALSE)</f>
        <v>240</v>
      </c>
      <c r="G39" t="s">
        <v>45</v>
      </c>
      <c r="H39" s="22">
        <f>+VLOOKUP(C39,'[1]stock au 25-03-25'!A:F,6,FALSE)</f>
        <v>39.674999999999997</v>
      </c>
      <c r="I39" t="s">
        <v>46</v>
      </c>
      <c r="J39" s="56">
        <f>+VLOOKUP(C39,'[1]stock au 25-03-25'!A:H,8,FALSE)</f>
        <v>9522</v>
      </c>
      <c r="K39" t="s">
        <v>46</v>
      </c>
      <c r="L39" s="23">
        <v>48</v>
      </c>
      <c r="M39" t="s">
        <v>46</v>
      </c>
      <c r="N39" s="56">
        <f>+VLOOKUP(C39,'[1]stock au 25-03-25'!A:L,12,FALSE)</f>
        <v>11520</v>
      </c>
      <c r="P39" s="57">
        <v>48</v>
      </c>
      <c r="Q39" t="s">
        <v>46</v>
      </c>
      <c r="R39" s="25">
        <f>H39*(1+VLOOKUP(A39,'[1]Variation MP'!$B$3:$D$22,3))</f>
        <v>39.674999999999997</v>
      </c>
      <c r="T39" s="26">
        <v>38.11</v>
      </c>
      <c r="U39" s="58">
        <f t="shared" si="10"/>
        <v>-3.9445494643982303E-2</v>
      </c>
      <c r="V39" s="10">
        <f>IFERROR(VLOOKUP(C39,'[2]INDICATEURS ACHATS - Matières P'!$C$2:$G$209999,5,0),0)</f>
        <v>100</v>
      </c>
      <c r="W39" s="60">
        <f t="shared" si="6"/>
        <v>3811</v>
      </c>
      <c r="X39" s="28">
        <v>38.11</v>
      </c>
      <c r="Y39" s="59">
        <v>50.336200357568202</v>
      </c>
      <c r="Z39" s="60">
        <f t="shared" si="7"/>
        <v>1918.3125956269241</v>
      </c>
      <c r="AA39" s="60">
        <f t="shared" si="0"/>
        <v>1997.0887491865183</v>
      </c>
      <c r="AB39" s="60">
        <f t="shared" si="1"/>
        <v>-78.77615355959415</v>
      </c>
      <c r="AC39" s="60">
        <f t="shared" si="8"/>
        <v>5729.3125956269241</v>
      </c>
      <c r="AD39" s="61">
        <f>+VLOOKUP(C39,'[1]pic au 25-03'!C:R,16,FALSE)</f>
        <v>232.79933035756821</v>
      </c>
      <c r="AE39" s="31" t="s">
        <v>45</v>
      </c>
      <c r="AF39" s="62">
        <v>11174.367857163275</v>
      </c>
      <c r="AG39" s="31" t="s">
        <v>46</v>
      </c>
      <c r="AH39" s="62">
        <v>11174.367857163275</v>
      </c>
      <c r="AI39" s="31"/>
      <c r="AJ39" s="28">
        <f t="shared" si="9"/>
        <v>5729.3125956269241</v>
      </c>
      <c r="AK39" s="21">
        <f>+VLOOKUP(C39,'[1]stock au 25-03-25'!A:X,24,FALSE)</f>
        <v>82.463130000000007</v>
      </c>
      <c r="AL39" t="s">
        <v>45</v>
      </c>
      <c r="AM39" s="21">
        <f t="shared" si="11"/>
        <v>150.3362003575682</v>
      </c>
      <c r="AN39" t="s">
        <v>45</v>
      </c>
      <c r="AO39" s="63">
        <v>5238.9345465115202</v>
      </c>
      <c r="AP39" s="64">
        <f t="shared" si="12"/>
        <v>5964.5887491865178</v>
      </c>
      <c r="AQ39" t="s">
        <v>46</v>
      </c>
      <c r="AR39" s="36">
        <f>(AP39-AO39)/AO39</f>
        <v>0.13851179018035131</v>
      </c>
      <c r="AS39" s="81"/>
      <c r="AT39" s="81">
        <f>(AO39-J39)/J39</f>
        <v>-0.44980733601013229</v>
      </c>
      <c r="AU39" s="81"/>
      <c r="AV39" s="66">
        <f>(AP39-J39)/J39</f>
        <v>-0.3735991651767992</v>
      </c>
      <c r="BB39" s="56">
        <f>+R39*F39</f>
        <v>9522</v>
      </c>
    </row>
    <row r="40" spans="1:54" ht="18.75" outlineLevel="1" x14ac:dyDescent="0.3">
      <c r="A40">
        <v>2</v>
      </c>
      <c r="B40" t="s">
        <v>58</v>
      </c>
      <c r="C40">
        <v>339733</v>
      </c>
      <c r="D40" t="s">
        <v>88</v>
      </c>
      <c r="E40" t="s">
        <v>62</v>
      </c>
      <c r="F40" s="21">
        <f>+VLOOKUP(C40,'[1]stock au 25-03-25'!A:D,4,FALSE)</f>
        <v>314</v>
      </c>
      <c r="G40" t="s">
        <v>45</v>
      </c>
      <c r="H40" s="22">
        <f>+VLOOKUP(C40,'[1]stock au 25-03-25'!A:F,6,FALSE)</f>
        <v>16.82</v>
      </c>
      <c r="I40" t="s">
        <v>46</v>
      </c>
      <c r="J40" s="56">
        <f>+VLOOKUP(C40,'[1]stock au 25-03-25'!A:H,8,FALSE)</f>
        <v>5281.48</v>
      </c>
      <c r="K40" t="s">
        <v>46</v>
      </c>
      <c r="L40" s="23">
        <v>17.16</v>
      </c>
      <c r="M40" t="s">
        <v>46</v>
      </c>
      <c r="N40" s="56">
        <f>+VLOOKUP(C40,'[1]stock au 25-03-25'!A:L,12,FALSE)</f>
        <v>5388.24</v>
      </c>
      <c r="P40" s="57">
        <v>17.16</v>
      </c>
      <c r="Q40" t="s">
        <v>46</v>
      </c>
      <c r="R40" s="25">
        <f>H40*(1+VLOOKUP(A40,'[1]Variation MP'!$B$3:$D$22,3))</f>
        <v>16.82</v>
      </c>
      <c r="T40" s="26">
        <v>16.82</v>
      </c>
      <c r="U40" s="58">
        <f t="shared" si="10"/>
        <v>0</v>
      </c>
      <c r="V40" s="10">
        <f>IFERROR(VLOOKUP(C40,'[2]INDICATEURS ACHATS - Matières P'!$C$2:$G$209999,5,0),0)</f>
        <v>133</v>
      </c>
      <c r="W40" s="60">
        <f t="shared" si="6"/>
        <v>2237.06</v>
      </c>
      <c r="X40" s="28">
        <v>16.82</v>
      </c>
      <c r="Y40" s="59">
        <v>191.95408325626659</v>
      </c>
      <c r="Z40" s="60">
        <f t="shared" si="7"/>
        <v>3228.667680370404</v>
      </c>
      <c r="AA40" s="60">
        <f t="shared" si="0"/>
        <v>3228.667680370404</v>
      </c>
      <c r="AB40" s="60">
        <f t="shared" si="1"/>
        <v>0</v>
      </c>
      <c r="AC40" s="60">
        <f t="shared" si="8"/>
        <v>5465.7276803704044</v>
      </c>
      <c r="AD40" s="61">
        <f>+VLOOKUP(C40,'[1]pic au 25-03'!C:R,16,FALSE)</f>
        <v>339.79258725626659</v>
      </c>
      <c r="AE40" s="31" t="s">
        <v>45</v>
      </c>
      <c r="AF40" s="62">
        <v>5830.8407973175345</v>
      </c>
      <c r="AG40" s="31" t="s">
        <v>46</v>
      </c>
      <c r="AH40" s="62">
        <v>5830.8407973175345</v>
      </c>
      <c r="AI40" s="31"/>
      <c r="AJ40" s="28">
        <f t="shared" si="9"/>
        <v>5465.7276803704044</v>
      </c>
      <c r="AK40" s="21">
        <f>+VLOOKUP(C40,'[1]stock au 25-03-25'!A:X,24,FALSE)</f>
        <v>14.838504</v>
      </c>
      <c r="AL40" t="s">
        <v>45</v>
      </c>
      <c r="AM40" s="21">
        <f t="shared" si="11"/>
        <v>324.95408325626659</v>
      </c>
      <c r="AN40" t="s">
        <v>45</v>
      </c>
      <c r="AO40" s="63">
        <v>5197.375816130404</v>
      </c>
      <c r="AP40" s="64">
        <f t="shared" si="12"/>
        <v>5465.7276803704044</v>
      </c>
      <c r="AQ40" t="s">
        <v>46</v>
      </c>
      <c r="AR40" s="36">
        <f>(AP40-AO40)/AO40</f>
        <v>5.1632183958518527E-2</v>
      </c>
      <c r="AS40" s="81"/>
      <c r="AT40" s="81">
        <f>(AO40-J40)/J40</f>
        <v>-1.592435905647575E-2</v>
      </c>
      <c r="AU40" s="81"/>
      <c r="AV40" s="66">
        <f>(AP40-J40)/J40</f>
        <v>3.4885615465817324E-2</v>
      </c>
      <c r="BB40" s="56">
        <f>+R40*F40</f>
        <v>5281.4800000000005</v>
      </c>
    </row>
    <row r="41" spans="1:54" ht="18.75" outlineLevel="1" x14ac:dyDescent="0.3">
      <c r="A41">
        <v>2</v>
      </c>
      <c r="B41" t="s">
        <v>58</v>
      </c>
      <c r="C41">
        <v>350056</v>
      </c>
      <c r="D41" t="s">
        <v>89</v>
      </c>
      <c r="E41" t="s">
        <v>62</v>
      </c>
      <c r="F41" s="21">
        <f>+VLOOKUP(C41,'[1]stock au 25-03-25'!A:D,4,FALSE)</f>
        <v>245</v>
      </c>
      <c r="G41" t="s">
        <v>45</v>
      </c>
      <c r="H41" s="22">
        <f>+VLOOKUP(C41,'[1]stock au 25-03-25'!A:F,6,FALSE)</f>
        <v>10.5</v>
      </c>
      <c r="I41" t="s">
        <v>46</v>
      </c>
      <c r="J41" s="56">
        <f>+VLOOKUP(C41,'[1]stock au 25-03-25'!A:H,8,FALSE)</f>
        <v>2572.5</v>
      </c>
      <c r="K41" t="s">
        <v>46</v>
      </c>
      <c r="L41" s="23">
        <v>11.5</v>
      </c>
      <c r="M41" t="s">
        <v>46</v>
      </c>
      <c r="N41" s="56">
        <f>+VLOOKUP(C41,'[1]stock au 25-03-25'!A:L,12,FALSE)</f>
        <v>2817.5</v>
      </c>
      <c r="Q41" t="s">
        <v>46</v>
      </c>
      <c r="R41" s="25">
        <v>10.94</v>
      </c>
      <c r="T41" s="26">
        <v>10.832075471698113</v>
      </c>
      <c r="U41" s="58">
        <f t="shared" si="10"/>
        <v>-9.8651305577592656E-3</v>
      </c>
      <c r="V41" s="10">
        <f>IFERROR(VLOOKUP(C41,'[2]INDICATEURS ACHATS - Matières P'!$C$2:$G$209999,5,0),0)</f>
        <v>265</v>
      </c>
      <c r="W41" s="60">
        <f t="shared" si="6"/>
        <v>2870.5</v>
      </c>
      <c r="X41" s="28">
        <v>10.94</v>
      </c>
      <c r="Y41" s="59">
        <v>167.17721468627457</v>
      </c>
      <c r="Z41" s="60">
        <f t="shared" si="7"/>
        <v>1828.9187286678437</v>
      </c>
      <c r="AA41" s="60">
        <f t="shared" si="0"/>
        <v>1828.9187286678437</v>
      </c>
      <c r="AB41" s="60">
        <f t="shared" si="1"/>
        <v>0</v>
      </c>
      <c r="AC41" s="60">
        <f t="shared" si="8"/>
        <v>4699.4187286678434</v>
      </c>
      <c r="AD41" s="61">
        <f>+VLOOKUP(C41,'[1]pic au 25-03'!C:R,16,FALSE)</f>
        <v>510.58521568627458</v>
      </c>
      <c r="AE41" s="31" t="s">
        <v>45</v>
      </c>
      <c r="AF41" s="62"/>
      <c r="AG41" s="31" t="s">
        <v>46</v>
      </c>
      <c r="AH41" s="62">
        <v>5871.7299803921569</v>
      </c>
      <c r="AI41" s="31"/>
      <c r="AJ41" s="28">
        <f t="shared" si="9"/>
        <v>4728.0187286678438</v>
      </c>
      <c r="AK41" s="21">
        <f>+VLOOKUP(C41,'[1]stock au 25-03-25'!A:X,24,FALSE)</f>
        <v>78.408000999999999</v>
      </c>
      <c r="AL41" t="s">
        <v>45</v>
      </c>
      <c r="AM41" s="21">
        <f t="shared" si="11"/>
        <v>432.17721468627457</v>
      </c>
      <c r="AN41" t="s">
        <v>45</v>
      </c>
      <c r="AO41" s="63">
        <v>4332.3967647058826</v>
      </c>
      <c r="AP41" s="64">
        <f t="shared" si="12"/>
        <v>4728.0187286678438</v>
      </c>
      <c r="AQ41" t="s">
        <v>46</v>
      </c>
      <c r="AR41" s="36">
        <f>(AP41-AO41)/AO41</f>
        <v>9.1317112778062745E-2</v>
      </c>
      <c r="AS41" s="81"/>
      <c r="AT41" s="81">
        <f>(AO41-J41)/J41</f>
        <v>0.68411924769907972</v>
      </c>
      <c r="AU41" s="81"/>
      <c r="AV41" s="66">
        <f>(AP41-J41)/J41</f>
        <v>0.8379081549729227</v>
      </c>
      <c r="BB41" s="56">
        <f>+R41*F41</f>
        <v>2680.2999999999997</v>
      </c>
    </row>
    <row r="42" spans="1:54" ht="18.75" outlineLevel="1" x14ac:dyDescent="0.3">
      <c r="A42">
        <v>2</v>
      </c>
      <c r="B42" t="s">
        <v>58</v>
      </c>
      <c r="C42">
        <v>338199</v>
      </c>
      <c r="D42" t="s">
        <v>90</v>
      </c>
      <c r="E42" t="s">
        <v>62</v>
      </c>
      <c r="F42" s="21">
        <f>+VLOOKUP(C42,'[1]stock au 25-03-25'!A:D,4,FALSE)</f>
        <v>500</v>
      </c>
      <c r="G42" t="s">
        <v>45</v>
      </c>
      <c r="H42" s="22">
        <f>+VLOOKUP(C42,'[1]stock au 25-03-25'!A:F,6,FALSE)</f>
        <v>8.2200000000000006</v>
      </c>
      <c r="I42" t="s">
        <v>46</v>
      </c>
      <c r="J42" s="56">
        <f>+VLOOKUP(C42,'[1]stock au 25-03-25'!A:H,8,FALSE)</f>
        <v>4110</v>
      </c>
      <c r="K42" t="s">
        <v>46</v>
      </c>
      <c r="L42" s="23">
        <v>8.25</v>
      </c>
      <c r="M42" t="s">
        <v>46</v>
      </c>
      <c r="N42" s="56">
        <f>+VLOOKUP(C42,'[1]stock au 25-03-25'!A:L,12,FALSE)</f>
        <v>4125</v>
      </c>
      <c r="P42" s="57">
        <v>8.25</v>
      </c>
      <c r="Q42" t="s">
        <v>46</v>
      </c>
      <c r="R42" s="25">
        <v>8.36</v>
      </c>
      <c r="T42" s="26">
        <v>7.5544444444444441</v>
      </c>
      <c r="U42" s="58">
        <f t="shared" si="10"/>
        <v>-9.6358320042530546E-2</v>
      </c>
      <c r="V42" s="10">
        <f>IFERROR(VLOOKUP(C42,'[2]INDICATEURS ACHATS - Matières P'!$C$2:$G$209999,5,0),0)</f>
        <v>1800</v>
      </c>
      <c r="W42" s="60">
        <f t="shared" si="6"/>
        <v>13598</v>
      </c>
      <c r="X42" s="28">
        <v>7.76</v>
      </c>
      <c r="Y42" s="59">
        <v>-1272.15329574201</v>
      </c>
      <c r="Z42" s="60">
        <f t="shared" si="7"/>
        <v>-9871.9095749579974</v>
      </c>
      <c r="AA42" s="60">
        <f t="shared" si="0"/>
        <v>-10635.201552403203</v>
      </c>
      <c r="AB42" s="60">
        <f t="shared" si="1"/>
        <v>763.2919774452057</v>
      </c>
      <c r="AC42" s="60">
        <f t="shared" si="8"/>
        <v>3726.0904250420026</v>
      </c>
      <c r="AD42" s="61">
        <f>+VLOOKUP(C42,'[1]pic au 25-03'!C:R,16,FALSE)</f>
        <v>543.61866625799007</v>
      </c>
      <c r="AE42" s="31" t="s">
        <v>45</v>
      </c>
      <c r="AF42" s="62">
        <v>4484.8539966284188</v>
      </c>
      <c r="AG42" s="31" t="s">
        <v>46</v>
      </c>
      <c r="AH42" s="62">
        <v>4484.8539966284188</v>
      </c>
      <c r="AI42" s="31"/>
      <c r="AJ42" s="28">
        <f t="shared" si="9"/>
        <v>4096.0904250420026</v>
      </c>
      <c r="AK42" s="21">
        <f>+VLOOKUP(C42,'[1]stock au 25-03-25'!A:X,24,FALSE)</f>
        <v>15.771962</v>
      </c>
      <c r="AL42" t="s">
        <v>45</v>
      </c>
      <c r="AM42" s="21">
        <f t="shared" si="11"/>
        <v>527.84670425799004</v>
      </c>
      <c r="AN42" t="s">
        <v>45</v>
      </c>
      <c r="AO42" s="63">
        <v>4142.8557860006795</v>
      </c>
      <c r="AP42" s="64">
        <f t="shared" si="12"/>
        <v>4412.798447596796</v>
      </c>
      <c r="AQ42" t="s">
        <v>46</v>
      </c>
      <c r="AR42" s="36">
        <f>(AP42-AO42)/AO42</f>
        <v>6.5158594829270319E-2</v>
      </c>
      <c r="AS42" s="81"/>
      <c r="AT42" s="81">
        <f>(AO42-J42)/J42</f>
        <v>7.9941085159804075E-3</v>
      </c>
      <c r="AU42" s="81"/>
      <c r="AV42" s="66">
        <f>(AP42-J42)/J42</f>
        <v>7.3673588223064718E-2</v>
      </c>
      <c r="BB42" s="56">
        <f>+R42*F42</f>
        <v>4180</v>
      </c>
    </row>
    <row r="43" spans="1:54" ht="18.75" outlineLevel="1" x14ac:dyDescent="0.3">
      <c r="A43">
        <v>2</v>
      </c>
      <c r="B43" t="s">
        <v>58</v>
      </c>
      <c r="C43">
        <v>338246</v>
      </c>
      <c r="D43" t="s">
        <v>91</v>
      </c>
      <c r="E43" t="s">
        <v>62</v>
      </c>
      <c r="F43" s="21">
        <f>+VLOOKUP(C43,'[1]stock au 25-03-25'!A:D,4,FALSE)</f>
        <v>865</v>
      </c>
      <c r="G43" t="s">
        <v>45</v>
      </c>
      <c r="H43" s="22">
        <f>+VLOOKUP(C43,'[1]stock au 25-03-25'!A:F,6,FALSE)</f>
        <v>7.2818497109826588</v>
      </c>
      <c r="I43" t="s">
        <v>46</v>
      </c>
      <c r="J43" s="56">
        <f>+VLOOKUP(C43,'[1]stock au 25-03-25'!A:H,8,FALSE)</f>
        <v>6298.8</v>
      </c>
      <c r="K43" t="s">
        <v>46</v>
      </c>
      <c r="L43" s="23">
        <v>8.25</v>
      </c>
      <c r="M43" t="s">
        <v>46</v>
      </c>
      <c r="N43" s="56">
        <f>+VLOOKUP(C43,'[1]stock au 25-03-25'!A:L,12,FALSE)</f>
        <v>7136.25</v>
      </c>
      <c r="P43" s="57">
        <v>8.25</v>
      </c>
      <c r="Q43" t="s">
        <v>46</v>
      </c>
      <c r="R43" s="25">
        <v>9.1300000000000008</v>
      </c>
      <c r="T43" s="26">
        <v>8.2663043478260878</v>
      </c>
      <c r="U43" s="58">
        <f t="shared" si="10"/>
        <v>-9.4599742844897361E-2</v>
      </c>
      <c r="V43" s="10">
        <f>IFERROR(VLOOKUP(C43,'[2]INDICATEURS ACHATS - Matières P'!$C$2:$G$209999,5,0),0)</f>
        <v>460</v>
      </c>
      <c r="W43" s="60">
        <f t="shared" si="6"/>
        <v>3802.5000000000005</v>
      </c>
      <c r="X43" s="28">
        <v>7.9</v>
      </c>
      <c r="Y43" s="59">
        <v>-128.38002401553535</v>
      </c>
      <c r="Z43" s="60">
        <f t="shared" si="7"/>
        <v>-1014.2021897227294</v>
      </c>
      <c r="AA43" s="60">
        <f t="shared" si="0"/>
        <v>-1172.1096192618379</v>
      </c>
      <c r="AB43" s="60">
        <f t="shared" si="1"/>
        <v>157.90742953910853</v>
      </c>
      <c r="AC43" s="60">
        <f t="shared" si="8"/>
        <v>2788.2978102772713</v>
      </c>
      <c r="AD43" s="61">
        <f>+VLOOKUP(C43,'[1]pic au 25-03'!C:R,16,FALSE)</f>
        <v>447.14935298446466</v>
      </c>
      <c r="AE43" s="31" t="s">
        <v>45</v>
      </c>
      <c r="AF43" s="62">
        <v>5608.3670287884997</v>
      </c>
      <c r="AG43" s="31" t="s">
        <v>46</v>
      </c>
      <c r="AH43" s="62">
        <v>5608.3670287884997</v>
      </c>
      <c r="AI43" s="31"/>
      <c r="AJ43" s="28">
        <f t="shared" si="9"/>
        <v>2619.7978102772709</v>
      </c>
      <c r="AK43" s="21">
        <f>+VLOOKUP(C43,'[1]stock au 25-03-25'!A:X,24,FALSE)</f>
        <v>115.529377</v>
      </c>
      <c r="AL43" t="s">
        <v>45</v>
      </c>
      <c r="AM43" s="21">
        <f t="shared" si="11"/>
        <v>331.61997598446465</v>
      </c>
      <c r="AN43" t="s">
        <v>45</v>
      </c>
      <c r="AO43" s="63">
        <v>3646.5306279866036</v>
      </c>
      <c r="AP43" s="64">
        <f t="shared" si="12"/>
        <v>3027.6903807381623</v>
      </c>
      <c r="AQ43" t="s">
        <v>46</v>
      </c>
      <c r="AR43" s="36">
        <f>(AP43-AO43)/AO43</f>
        <v>-0.16970658151036233</v>
      </c>
      <c r="AS43" s="81"/>
      <c r="AT43" s="81">
        <f>(AO43-J43)/J43</f>
        <v>-0.42107534324210905</v>
      </c>
      <c r="AU43" s="81"/>
      <c r="AV43" s="66">
        <f>(AP43-J43)/J43</f>
        <v>-0.51932266769255064</v>
      </c>
      <c r="BB43" s="56">
        <f>+R43*F43</f>
        <v>7897.4500000000007</v>
      </c>
    </row>
    <row r="44" spans="1:54" ht="18.75" outlineLevel="1" x14ac:dyDescent="0.3">
      <c r="A44">
        <v>2</v>
      </c>
      <c r="B44" t="s">
        <v>58</v>
      </c>
      <c r="C44">
        <v>338054</v>
      </c>
      <c r="D44" t="s">
        <v>92</v>
      </c>
      <c r="E44" t="s">
        <v>62</v>
      </c>
      <c r="F44" s="21">
        <f>+VLOOKUP(C44,'[1]stock au 25-03-25'!A:D,4,FALSE)</f>
        <v>1070</v>
      </c>
      <c r="G44" t="s">
        <v>45</v>
      </c>
      <c r="H44" s="22">
        <f>+VLOOKUP(C44,'[1]stock au 25-03-25'!A:F,6,FALSE)</f>
        <v>4.28</v>
      </c>
      <c r="I44" t="s">
        <v>46</v>
      </c>
      <c r="J44" s="56">
        <f>+VLOOKUP(C44,'[1]stock au 25-03-25'!A:H,8,FALSE)</f>
        <v>4579.6000000000004</v>
      </c>
      <c r="K44" t="s">
        <v>46</v>
      </c>
      <c r="L44" s="23">
        <v>5.62</v>
      </c>
      <c r="M44" t="s">
        <v>46</v>
      </c>
      <c r="N44" s="56">
        <f>+VLOOKUP(C44,'[1]stock au 25-03-25'!A:L,12,FALSE)</f>
        <v>6013.4000000000005</v>
      </c>
      <c r="P44" s="57">
        <v>4.28</v>
      </c>
      <c r="Q44" t="s">
        <v>46</v>
      </c>
      <c r="R44" s="25">
        <f>H44*(1+VLOOKUP(A44,'[1]Variation MP'!$B$3:$D$22,3))</f>
        <v>4.28</v>
      </c>
      <c r="T44" s="26">
        <v>4.28</v>
      </c>
      <c r="U44" s="58">
        <f t="shared" si="10"/>
        <v>0</v>
      </c>
      <c r="V44" s="10">
        <f>IFERROR(VLOOKUP(C44,'[2]INDICATEURS ACHATS - Matières P'!$C$2:$G$209999,5,0),0)</f>
        <v>500</v>
      </c>
      <c r="W44" s="60">
        <f t="shared" si="6"/>
        <v>2140</v>
      </c>
      <c r="X44" s="28">
        <v>4.28</v>
      </c>
      <c r="Y44" s="59">
        <v>285.65830288461541</v>
      </c>
      <c r="Z44" s="60">
        <f t="shared" si="7"/>
        <v>1222.6175363461541</v>
      </c>
      <c r="AA44" s="60">
        <f t="shared" si="0"/>
        <v>1222.6175363461541</v>
      </c>
      <c r="AB44" s="60">
        <f t="shared" si="1"/>
        <v>0</v>
      </c>
      <c r="AC44" s="60">
        <f t="shared" si="8"/>
        <v>3362.6175363461543</v>
      </c>
      <c r="AD44" s="61">
        <f>+VLOOKUP(C44,'[1]pic au 25-03'!C:R,16,FALSE)</f>
        <v>967.82393288461537</v>
      </c>
      <c r="AE44" s="31" t="s">
        <v>45</v>
      </c>
      <c r="AF44" s="62">
        <v>4142.2864327461539</v>
      </c>
      <c r="AG44" s="31" t="s">
        <v>46</v>
      </c>
      <c r="AH44" s="62">
        <v>5439.1705028115384</v>
      </c>
      <c r="AI44" s="31"/>
      <c r="AJ44" s="28">
        <f t="shared" si="9"/>
        <v>3362.6175363461543</v>
      </c>
      <c r="AK44" s="21">
        <f>+VLOOKUP(C44,'[1]stock au 25-03-25'!A:X,24,FALSE)</f>
        <v>182.16562999999999</v>
      </c>
      <c r="AL44" t="s">
        <v>45</v>
      </c>
      <c r="AM44" s="21">
        <f t="shared" si="11"/>
        <v>785.65830288461541</v>
      </c>
      <c r="AN44" t="s">
        <v>45</v>
      </c>
      <c r="AO44" s="63">
        <v>3779.8491847461542</v>
      </c>
      <c r="AP44" s="64">
        <f t="shared" si="12"/>
        <v>3362.6175363461543</v>
      </c>
      <c r="AQ44" t="s">
        <v>46</v>
      </c>
      <c r="AR44" s="36">
        <f>(AP44-AO44)/AO44</f>
        <v>-0.11038314705352989</v>
      </c>
      <c r="AS44" s="81"/>
      <c r="AT44" s="81">
        <f>(AO44-J44)/J44</f>
        <v>-0.17463333375269591</v>
      </c>
      <c r="AU44" s="81"/>
      <c r="AV44" s="66">
        <f>(AP44-J44)/J44</f>
        <v>-0.26573990384615381</v>
      </c>
      <c r="BB44" s="56">
        <f>+R44*F44</f>
        <v>4579.6000000000004</v>
      </c>
    </row>
    <row r="45" spans="1:54" ht="18.75" outlineLevel="1" x14ac:dyDescent="0.3">
      <c r="A45">
        <v>2</v>
      </c>
      <c r="B45" t="s">
        <v>58</v>
      </c>
      <c r="C45">
        <v>340339</v>
      </c>
      <c r="D45" t="s">
        <v>93</v>
      </c>
      <c r="E45" t="s">
        <v>62</v>
      </c>
      <c r="F45" s="21">
        <f>+VLOOKUP(C45,'[1]stock au 25-03-25'!A:D,4,FALSE)</f>
        <v>481</v>
      </c>
      <c r="G45" t="s">
        <v>45</v>
      </c>
      <c r="H45" s="22">
        <f>+VLOOKUP(C45,'[1]stock au 25-03-25'!A:F,6,FALSE)</f>
        <v>7.8800000000000008</v>
      </c>
      <c r="I45" t="s">
        <v>46</v>
      </c>
      <c r="J45" s="56">
        <f>+VLOOKUP(C45,'[1]stock au 25-03-25'!A:H,8,FALSE)</f>
        <v>3790.28</v>
      </c>
      <c r="K45" t="s">
        <v>46</v>
      </c>
      <c r="L45" s="23">
        <v>7.88</v>
      </c>
      <c r="M45" t="s">
        <v>46</v>
      </c>
      <c r="N45" s="56">
        <f>+VLOOKUP(C45,'[1]stock au 25-03-25'!A:L,12,FALSE)</f>
        <v>3790.2799999999997</v>
      </c>
      <c r="P45" s="57">
        <v>7.88</v>
      </c>
      <c r="Q45" t="s">
        <v>46</v>
      </c>
      <c r="R45" s="25">
        <v>8.07</v>
      </c>
      <c r="T45" s="26">
        <v>8.07</v>
      </c>
      <c r="U45" s="58">
        <f t="shared" si="10"/>
        <v>0</v>
      </c>
      <c r="V45" s="10">
        <f>IFERROR(VLOOKUP(C45,'[2]INDICATEURS ACHATS - Matières P'!$C$2:$G$209999,5,0),0)</f>
        <v>275</v>
      </c>
      <c r="W45" s="60">
        <f t="shared" si="6"/>
        <v>2219.25</v>
      </c>
      <c r="X45" s="28">
        <v>8.07</v>
      </c>
      <c r="Y45" s="59">
        <v>152.5437111827157</v>
      </c>
      <c r="Z45" s="60">
        <f t="shared" si="7"/>
        <v>1231.0277492445157</v>
      </c>
      <c r="AA45" s="60">
        <f t="shared" si="0"/>
        <v>1231.0277492445157</v>
      </c>
      <c r="AB45" s="60">
        <f t="shared" si="1"/>
        <v>0</v>
      </c>
      <c r="AC45" s="60">
        <f t="shared" si="8"/>
        <v>3450.2777492445157</v>
      </c>
      <c r="AD45" s="61">
        <f>+VLOOKUP(C45,'[1]pic au 25-03'!C:R,16,FALSE)</f>
        <v>468.73215318271571</v>
      </c>
      <c r="AE45" s="31" t="s">
        <v>45</v>
      </c>
      <c r="AF45" s="62">
        <v>3693.6093670797991</v>
      </c>
      <c r="AG45" s="31" t="s">
        <v>46</v>
      </c>
      <c r="AH45" s="62">
        <v>3693.6093670797991</v>
      </c>
      <c r="AI45" s="31"/>
      <c r="AJ45" s="28">
        <f t="shared" si="9"/>
        <v>3450.2777492445157</v>
      </c>
      <c r="AK45" s="21">
        <f>+VLOOKUP(C45,'[1]stock au 25-03-25'!A:X,24,FALSE)</f>
        <v>41.188442000000002</v>
      </c>
      <c r="AL45" t="s">
        <v>45</v>
      </c>
      <c r="AM45" s="21">
        <f t="shared" si="11"/>
        <v>427.5437111827157</v>
      </c>
      <c r="AN45" t="s">
        <v>45</v>
      </c>
      <c r="AO45" s="63">
        <v>3345.4385960397999</v>
      </c>
      <c r="AP45" s="64">
        <f t="shared" si="12"/>
        <v>3450.2777492445157</v>
      </c>
      <c r="AQ45" t="s">
        <v>46</v>
      </c>
      <c r="AR45" s="36">
        <f>(AP45-AO45)/AO45</f>
        <v>3.1337939763360266E-2</v>
      </c>
      <c r="AS45" s="81"/>
      <c r="AT45" s="81">
        <f>(AO45-J45)/J45</f>
        <v>-0.11736373142886548</v>
      </c>
      <c r="AU45" s="81"/>
      <c r="AV45" s="66">
        <f>(AP45-J45)/J45</f>
        <v>-8.9703729211426192E-2</v>
      </c>
      <c r="BB45" s="56">
        <f>+R45*F45</f>
        <v>3881.67</v>
      </c>
    </row>
    <row r="46" spans="1:54" ht="18.75" outlineLevel="1" x14ac:dyDescent="0.3">
      <c r="A46">
        <v>2</v>
      </c>
      <c r="B46" t="s">
        <v>58</v>
      </c>
      <c r="C46">
        <v>338212</v>
      </c>
      <c r="D46" t="s">
        <v>94</v>
      </c>
      <c r="E46" t="s">
        <v>62</v>
      </c>
      <c r="F46" s="21">
        <f>+VLOOKUP(C46,'[1]stock au 25-03-25'!A:D,4,FALSE)</f>
        <v>70</v>
      </c>
      <c r="G46" t="s">
        <v>45</v>
      </c>
      <c r="H46" s="22">
        <f>+VLOOKUP(C46,'[1]stock au 25-03-25'!A:F,6,FALSE)</f>
        <v>45.413285714285713</v>
      </c>
      <c r="I46" t="s">
        <v>46</v>
      </c>
      <c r="J46" s="56">
        <f>+VLOOKUP(C46,'[1]stock au 25-03-25'!A:H,8,FALSE)</f>
        <v>3178.93</v>
      </c>
      <c r="K46" t="s">
        <v>46</v>
      </c>
      <c r="L46" s="23">
        <v>44.06</v>
      </c>
      <c r="M46" t="s">
        <v>46</v>
      </c>
      <c r="N46" s="56">
        <f>+VLOOKUP(C46,'[1]stock au 25-03-25'!A:L,12,FALSE)</f>
        <v>3084.2000000000003</v>
      </c>
      <c r="P46" s="57">
        <v>44.06</v>
      </c>
      <c r="Q46" t="s">
        <v>46</v>
      </c>
      <c r="R46" s="25">
        <f>H46*(1+VLOOKUP(A46,'[1]Variation MP'!$B$3:$D$22,3))</f>
        <v>45.413285714285713</v>
      </c>
      <c r="T46" s="26">
        <v>45.8675</v>
      </c>
      <c r="U46" s="58">
        <f t="shared" si="10"/>
        <v>1.0001793056154128E-2</v>
      </c>
      <c r="V46" s="10">
        <f>IFERROR(VLOOKUP(C46,'[2]INDICATEURS ACHATS - Matières P'!$C$2:$G$209999,5,0),0)</f>
        <v>40</v>
      </c>
      <c r="W46" s="60">
        <f t="shared" si="6"/>
        <v>1834.7</v>
      </c>
      <c r="X46" s="28">
        <v>45.87</v>
      </c>
      <c r="Y46" s="59">
        <v>36.677847861682437</v>
      </c>
      <c r="Z46" s="60">
        <f t="shared" si="7"/>
        <v>1682.4128814153732</v>
      </c>
      <c r="AA46" s="60">
        <f t="shared" si="0"/>
        <v>1665.6615843276879</v>
      </c>
      <c r="AB46" s="60">
        <f t="shared" si="1"/>
        <v>16.751297087685316</v>
      </c>
      <c r="AC46" s="60">
        <f t="shared" si="8"/>
        <v>3517.1128814153735</v>
      </c>
      <c r="AD46" s="61">
        <f>+VLOOKUP(C46,'[1]pic au 25-03'!C:R,16,FALSE)</f>
        <v>81.205946861682435</v>
      </c>
      <c r="AE46" s="31" t="s">
        <v>45</v>
      </c>
      <c r="AF46" s="62">
        <v>3577.9340187257271</v>
      </c>
      <c r="AG46" s="31" t="s">
        <v>46</v>
      </c>
      <c r="AH46" s="62">
        <v>3577.9340187257271</v>
      </c>
      <c r="AI46" s="31"/>
      <c r="AJ46" s="28">
        <f t="shared" si="9"/>
        <v>3517.212881415373</v>
      </c>
      <c r="AK46" s="21">
        <f>+VLOOKUP(C46,'[1]stock au 25-03-25'!A:X,24,FALSE)</f>
        <v>4.5280990000000001</v>
      </c>
      <c r="AL46" t="s">
        <v>45</v>
      </c>
      <c r="AM46" s="21">
        <f t="shared" si="11"/>
        <v>76.677847861682437</v>
      </c>
      <c r="AN46" t="s">
        <v>45</v>
      </c>
      <c r="AO46" s="63">
        <v>3110.3438523559721</v>
      </c>
      <c r="AP46" s="64">
        <f t="shared" si="12"/>
        <v>3482.1930128991162</v>
      </c>
      <c r="AQ46" t="s">
        <v>46</v>
      </c>
      <c r="AR46" s="36">
        <f>(AP46-AO46)/AO46</f>
        <v>0.11955242834694367</v>
      </c>
      <c r="AS46" s="81"/>
      <c r="AT46" s="81">
        <f>(AO46-J46)/J46</f>
        <v>-2.1575230547394166E-2</v>
      </c>
      <c r="AU46" s="81"/>
      <c r="AV46" s="66">
        <f>(AP46-J46)/J46</f>
        <v>9.5397826595463364E-2</v>
      </c>
      <c r="BB46" s="56">
        <f>+R46*F46</f>
        <v>3178.93</v>
      </c>
    </row>
    <row r="47" spans="1:54" ht="18.75" outlineLevel="1" x14ac:dyDescent="0.3">
      <c r="A47">
        <v>2</v>
      </c>
      <c r="B47" t="s">
        <v>58</v>
      </c>
      <c r="C47">
        <v>338188</v>
      </c>
      <c r="D47" t="s">
        <v>95</v>
      </c>
      <c r="E47" t="s">
        <v>62</v>
      </c>
      <c r="F47" s="21">
        <f>+VLOOKUP(C47,'[1]stock au 25-03-25'!A:D,4,FALSE)</f>
        <v>105</v>
      </c>
      <c r="G47" t="s">
        <v>45</v>
      </c>
      <c r="H47" s="22">
        <f>+VLOOKUP(C47,'[1]stock au 25-03-25'!A:F,6,FALSE)</f>
        <v>28.3</v>
      </c>
      <c r="I47" t="s">
        <v>46</v>
      </c>
      <c r="J47" s="56">
        <f>+VLOOKUP(C47,'[1]stock au 25-03-25'!A:H,8,FALSE)</f>
        <v>2971.5</v>
      </c>
      <c r="K47" t="s">
        <v>46</v>
      </c>
      <c r="L47" s="23">
        <v>28.3</v>
      </c>
      <c r="M47" t="s">
        <v>46</v>
      </c>
      <c r="N47" s="56">
        <f>+VLOOKUP(C47,'[1]stock au 25-03-25'!A:L,12,FALSE)</f>
        <v>2971.5</v>
      </c>
      <c r="P47" s="57">
        <v>28.3</v>
      </c>
      <c r="Q47" t="s">
        <v>46</v>
      </c>
      <c r="R47" s="25">
        <v>36.17</v>
      </c>
      <c r="T47" s="26">
        <v>36.17</v>
      </c>
      <c r="U47" s="58">
        <f t="shared" si="10"/>
        <v>0</v>
      </c>
      <c r="V47" s="10">
        <f>IFERROR(VLOOKUP(C47,'[2]INDICATEURS ACHATS - Matières P'!$C$2:$G$209999,5,0),0)</f>
        <v>50</v>
      </c>
      <c r="W47" s="60">
        <f t="shared" si="6"/>
        <v>1808.5</v>
      </c>
      <c r="X47" s="28">
        <v>36.17</v>
      </c>
      <c r="Y47" s="59">
        <v>61.710872737697862</v>
      </c>
      <c r="Z47" s="60">
        <f t="shared" si="7"/>
        <v>2232.0822669225317</v>
      </c>
      <c r="AA47" s="60">
        <f t="shared" si="0"/>
        <v>2232.0822669225317</v>
      </c>
      <c r="AB47" s="60">
        <f t="shared" si="1"/>
        <v>0</v>
      </c>
      <c r="AC47" s="60">
        <f t="shared" si="8"/>
        <v>4040.5822669225317</v>
      </c>
      <c r="AD47" s="61">
        <f>+VLOOKUP(C47,'[1]pic au 25-03'!C:R,16,FALSE)</f>
        <v>119.22542573769786</v>
      </c>
      <c r="AE47" s="31" t="s">
        <v>45</v>
      </c>
      <c r="AF47" s="62">
        <v>3374.0795483768497</v>
      </c>
      <c r="AG47" s="31" t="s">
        <v>46</v>
      </c>
      <c r="AH47" s="62">
        <v>3374.0795483768497</v>
      </c>
      <c r="AI47" s="31"/>
      <c r="AJ47" s="28">
        <f t="shared" si="9"/>
        <v>4040.5822669225317</v>
      </c>
      <c r="AK47" s="21">
        <f>+VLOOKUP(C47,'[1]stock au 25-03-25'!A:X,24,FALSE)</f>
        <v>7.5145530000000003</v>
      </c>
      <c r="AL47" t="s">
        <v>45</v>
      </c>
      <c r="AM47" s="21">
        <f t="shared" si="11"/>
        <v>111.71087273769785</v>
      </c>
      <c r="AN47" t="s">
        <v>45</v>
      </c>
      <c r="AO47" s="63">
        <v>3024.5797838768494</v>
      </c>
      <c r="AP47" s="64">
        <f t="shared" si="12"/>
        <v>4040.5822669225317</v>
      </c>
      <c r="AQ47" t="s">
        <v>46</v>
      </c>
      <c r="AR47" s="36">
        <f>(AP47-AO47)/AO47</f>
        <v>0.3359152529094106</v>
      </c>
      <c r="AS47" s="81"/>
      <c r="AT47" s="81">
        <f>(AO47-J47)/J47</f>
        <v>1.7862959406646284E-2</v>
      </c>
      <c r="AU47" s="81"/>
      <c r="AV47" s="66">
        <f>(AP47-J47)/J47</f>
        <v>0.35977865284285099</v>
      </c>
      <c r="BB47" s="56">
        <f>+R47*F47</f>
        <v>3797.8500000000004</v>
      </c>
    </row>
    <row r="48" spans="1:54" ht="18.75" outlineLevel="1" x14ac:dyDescent="0.3">
      <c r="A48">
        <v>2</v>
      </c>
      <c r="B48" t="s">
        <v>58</v>
      </c>
      <c r="C48">
        <v>338299</v>
      </c>
      <c r="D48" t="s">
        <v>96</v>
      </c>
      <c r="E48" t="s">
        <v>62</v>
      </c>
      <c r="F48" s="21">
        <f>+VLOOKUP(C48,'[1]stock au 25-03-25'!A:D,4,FALSE)</f>
        <v>2107.7199999999998</v>
      </c>
      <c r="G48" t="s">
        <v>45</v>
      </c>
      <c r="H48" s="22">
        <f>+VLOOKUP(C48,'[1]stock au 25-03-25'!A:F,6,FALSE)</f>
        <v>2.4768897196971138</v>
      </c>
      <c r="I48" t="s">
        <v>46</v>
      </c>
      <c r="J48" s="56">
        <f>+VLOOKUP(C48,'[1]stock au 25-03-25'!A:H,8,FALSE)</f>
        <v>5220.59</v>
      </c>
      <c r="K48" t="s">
        <v>46</v>
      </c>
      <c r="L48" s="23">
        <v>2.48</v>
      </c>
      <c r="M48" t="s">
        <v>46</v>
      </c>
      <c r="N48" s="56">
        <f>+VLOOKUP(C48,'[1]stock au 25-03-25'!A:L,12,FALSE)</f>
        <v>5227.1455999999998</v>
      </c>
      <c r="P48" s="57">
        <v>2.41</v>
      </c>
      <c r="Q48" t="s">
        <v>46</v>
      </c>
      <c r="R48" s="25">
        <v>2.67</v>
      </c>
      <c r="T48" s="26">
        <v>2.5885273492286114</v>
      </c>
      <c r="U48" s="58">
        <f t="shared" si="10"/>
        <v>-3.0514101412505074E-2</v>
      </c>
      <c r="V48" s="10">
        <f>IFERROR(VLOOKUP(C48,'[2]INDICATEURS ACHATS - Matières P'!$C$2:$G$209999,5,0),0)</f>
        <v>1426</v>
      </c>
      <c r="W48" s="60">
        <f t="shared" si="6"/>
        <v>3691.24</v>
      </c>
      <c r="X48" s="28">
        <v>2.5800011392116655</v>
      </c>
      <c r="Y48" s="59">
        <v>-24.151248833998238</v>
      </c>
      <c r="Z48" s="60">
        <f t="shared" si="7"/>
        <v>-62.310249505099861</v>
      </c>
      <c r="AA48" s="60">
        <f t="shared" si="0"/>
        <v>-64.4838343867753</v>
      </c>
      <c r="AB48" s="60">
        <f t="shared" si="1"/>
        <v>2.1735848816754384</v>
      </c>
      <c r="AC48" s="60">
        <f t="shared" si="8"/>
        <v>3628.9297504949</v>
      </c>
      <c r="AD48" s="61">
        <f>+VLOOKUP(C48,'[1]pic au 25-03'!C:R,16,FALSE)</f>
        <v>1956.7473071660017</v>
      </c>
      <c r="AE48" s="31" t="s">
        <v>45</v>
      </c>
      <c r="AF48" s="62">
        <v>4715.7610102700646</v>
      </c>
      <c r="AG48" s="31" t="s">
        <v>46</v>
      </c>
      <c r="AH48" s="62">
        <v>4852.7333217716841</v>
      </c>
      <c r="AI48" s="31"/>
      <c r="AJ48" s="28">
        <f t="shared" si="9"/>
        <v>3616.7713750107355</v>
      </c>
      <c r="AK48" s="21">
        <f>+VLOOKUP(C48,'[1]stock au 25-03-25'!A:X,24,FALSE)</f>
        <v>554.89855599999999</v>
      </c>
      <c r="AL48" t="s">
        <v>45</v>
      </c>
      <c r="AM48" s="21">
        <f t="shared" si="11"/>
        <v>1401.8487511660019</v>
      </c>
      <c r="AN48" t="s">
        <v>45</v>
      </c>
      <c r="AO48" s="63">
        <v>2996.0869316337025</v>
      </c>
      <c r="AP48" s="64">
        <f t="shared" si="12"/>
        <v>3742.9361656132251</v>
      </c>
      <c r="AQ48" t="s">
        <v>46</v>
      </c>
      <c r="AR48" s="36">
        <f>(AP48-AO48)/AO48</f>
        <v>0.24927488788594046</v>
      </c>
      <c r="AS48" s="81"/>
      <c r="AT48" s="81">
        <f>(AO48-J48)/J48</f>
        <v>-0.42610185215967877</v>
      </c>
      <c r="AU48" s="81"/>
      <c r="AV48" s="66">
        <f>(AP48-J48)/J48</f>
        <v>-0.28304345569883388</v>
      </c>
      <c r="BB48" s="56">
        <f>+R48*F48</f>
        <v>5627.6123999999991</v>
      </c>
    </row>
    <row r="49" spans="1:54" ht="18.75" outlineLevel="1" x14ac:dyDescent="0.3">
      <c r="A49">
        <v>2</v>
      </c>
      <c r="B49" t="s">
        <v>58</v>
      </c>
      <c r="C49">
        <v>338193</v>
      </c>
      <c r="D49" t="s">
        <v>97</v>
      </c>
      <c r="E49" t="s">
        <v>62</v>
      </c>
      <c r="F49" s="21">
        <f>+VLOOKUP(C49,'[1]stock au 25-03-25'!A:D,4,FALSE)</f>
        <v>402</v>
      </c>
      <c r="G49" t="s">
        <v>45</v>
      </c>
      <c r="H49" s="22">
        <f>+VLOOKUP(C49,'[1]stock au 25-03-25'!A:F,6,FALSE)</f>
        <v>4.2643283582089548</v>
      </c>
      <c r="I49" t="s">
        <v>46</v>
      </c>
      <c r="J49" s="56">
        <f>+VLOOKUP(C49,'[1]stock au 25-03-25'!A:H,8,FALSE)</f>
        <v>1714.26</v>
      </c>
      <c r="K49" t="s">
        <v>46</v>
      </c>
      <c r="L49" s="23">
        <v>4.4000000000000004</v>
      </c>
      <c r="M49" t="s">
        <v>46</v>
      </c>
      <c r="N49" s="56">
        <f>+VLOOKUP(C49,'[1]stock au 25-03-25'!A:L,12,FALSE)</f>
        <v>1768.8000000000002</v>
      </c>
      <c r="P49" s="57">
        <v>4.4000000000000004</v>
      </c>
      <c r="Q49" t="s">
        <v>46</v>
      </c>
      <c r="R49" s="25">
        <v>4.8499999999999996</v>
      </c>
      <c r="T49" s="26">
        <v>4.8499999999999996</v>
      </c>
      <c r="U49" s="58">
        <f t="shared" si="10"/>
        <v>0</v>
      </c>
      <c r="V49" s="10">
        <f>IFERROR(VLOOKUP(C49,'[2]INDICATEURS ACHATS - Matières P'!$C$2:$G$209999,5,0),0)</f>
        <v>456</v>
      </c>
      <c r="W49" s="60">
        <f t="shared" si="6"/>
        <v>2211.6</v>
      </c>
      <c r="X49" s="28">
        <v>5.3890000000000002</v>
      </c>
      <c r="Y49" s="59">
        <v>-44.450007930379115</v>
      </c>
      <c r="Z49" s="60">
        <f t="shared" si="7"/>
        <v>-239.54109273681306</v>
      </c>
      <c r="AA49" s="60">
        <f t="shared" si="0"/>
        <v>-215.5825384623387</v>
      </c>
      <c r="AB49" s="60">
        <f t="shared" si="1"/>
        <v>-23.958554274474352</v>
      </c>
      <c r="AC49" s="60">
        <f t="shared" si="8"/>
        <v>1972.0589072631869</v>
      </c>
      <c r="AD49" s="61">
        <f>+VLOOKUP(C49,'[1]pic au 25-03'!C:R,16,FALSE)</f>
        <v>445.05147806962088</v>
      </c>
      <c r="AE49" s="31" t="s">
        <v>45</v>
      </c>
      <c r="AF49" s="62">
        <v>3139.3256611888719</v>
      </c>
      <c r="AG49" s="31" t="s">
        <v>46</v>
      </c>
      <c r="AH49" s="62">
        <v>3139.3256611888719</v>
      </c>
      <c r="AI49" s="31"/>
      <c r="AJ49" s="28">
        <f t="shared" si="9"/>
        <v>2217.842907263187</v>
      </c>
      <c r="AK49" s="21">
        <f>+VLOOKUP(C49,'[1]stock au 25-03-25'!A:X,24,FALSE)</f>
        <v>33.501486</v>
      </c>
      <c r="AL49" t="s">
        <v>45</v>
      </c>
      <c r="AM49" s="21">
        <f t="shared" si="11"/>
        <v>411.54999206962088</v>
      </c>
      <c r="AN49" t="s">
        <v>45</v>
      </c>
      <c r="AO49" s="63">
        <v>2893.310349637024</v>
      </c>
      <c r="AP49" s="64">
        <f t="shared" si="12"/>
        <v>1996.0174615376611</v>
      </c>
      <c r="AQ49" t="s">
        <v>46</v>
      </c>
      <c r="AR49" s="36">
        <f>(AP49-AO49)/AO49</f>
        <v>-0.31012673362604587</v>
      </c>
      <c r="AS49" s="81"/>
      <c r="AT49" s="81">
        <f>(AO49-J49)/J49</f>
        <v>0.68778968746690938</v>
      </c>
      <c r="AU49" s="81"/>
      <c r="AV49" s="66">
        <f>(AP49-J49)/J49</f>
        <v>0.16436098464507201</v>
      </c>
      <c r="BB49" s="56">
        <f>+R49*F49</f>
        <v>1949.6999999999998</v>
      </c>
    </row>
    <row r="50" spans="1:54" ht="18.75" outlineLevel="1" x14ac:dyDescent="0.3">
      <c r="A50">
        <v>2</v>
      </c>
      <c r="B50" t="s">
        <v>58</v>
      </c>
      <c r="C50">
        <v>336823</v>
      </c>
      <c r="D50" t="s">
        <v>98</v>
      </c>
      <c r="E50" t="s">
        <v>62</v>
      </c>
      <c r="F50" s="21">
        <f>+VLOOKUP(C50,'[1]stock au 25-03-25'!A:D,4,FALSE)</f>
        <v>680</v>
      </c>
      <c r="G50" t="s">
        <v>45</v>
      </c>
      <c r="H50" s="22">
        <f>+VLOOKUP(C50,'[1]stock au 25-03-25'!A:F,6,FALSE)</f>
        <v>6.3304705882352943</v>
      </c>
      <c r="I50" t="s">
        <v>46</v>
      </c>
      <c r="J50" s="56">
        <f>+VLOOKUP(C50,'[1]stock au 25-03-25'!A:H,8,FALSE)</f>
        <v>4304.72</v>
      </c>
      <c r="K50" t="s">
        <v>46</v>
      </c>
      <c r="L50" s="23">
        <v>13.3</v>
      </c>
      <c r="M50" t="s">
        <v>46</v>
      </c>
      <c r="N50" s="56">
        <f>+VLOOKUP(C50,'[1]stock au 25-03-25'!A:L,12,FALSE)</f>
        <v>9044</v>
      </c>
      <c r="P50" s="57">
        <v>5.46</v>
      </c>
      <c r="Q50" t="s">
        <v>46</v>
      </c>
      <c r="R50" s="25">
        <f>H50*(1+VLOOKUP(A50,'[1]Variation MP'!$B$3:$D$22,3))</f>
        <v>6.3304705882352943</v>
      </c>
      <c r="T50" s="26">
        <v>7.95</v>
      </c>
      <c r="U50" s="58">
        <f t="shared" si="10"/>
        <v>0.25583080897247673</v>
      </c>
      <c r="V50" s="10">
        <f>IFERROR(VLOOKUP(C50,'[2]INDICATEURS ACHATS - Matières P'!$C$2:$G$209999,5,0),0)</f>
        <v>650</v>
      </c>
      <c r="W50" s="60">
        <f t="shared" si="6"/>
        <v>5167.5</v>
      </c>
      <c r="X50" s="28">
        <v>7.95</v>
      </c>
      <c r="Y50" s="59">
        <v>-206.01814583333334</v>
      </c>
      <c r="Z50" s="60">
        <f t="shared" si="7"/>
        <v>-1637.8442593750001</v>
      </c>
      <c r="AA50" s="60">
        <f t="shared" si="0"/>
        <v>-1304.1918128406862</v>
      </c>
      <c r="AB50" s="60">
        <f t="shared" si="1"/>
        <v>-333.65244653431387</v>
      </c>
      <c r="AC50" s="60">
        <f t="shared" si="8"/>
        <v>3529.6557406249999</v>
      </c>
      <c r="AD50" s="61">
        <f>+VLOOKUP(C50,'[1]pic au 25-03'!C:R,16,FALSE)</f>
        <v>472.98185416666666</v>
      </c>
      <c r="AE50" s="31" t="s">
        <v>45</v>
      </c>
      <c r="AF50" s="62">
        <v>2582.4809237499999</v>
      </c>
      <c r="AG50" s="31" t="s">
        <v>46</v>
      </c>
      <c r="AH50" s="62">
        <v>6290.6586604166669</v>
      </c>
      <c r="AI50" s="31"/>
      <c r="AJ50" s="28">
        <f t="shared" si="9"/>
        <v>3529.6557406249999</v>
      </c>
      <c r="AK50" s="21">
        <f>+VLOOKUP(C50,'[1]stock au 25-03-25'!A:X,24,FALSE)</f>
        <v>29</v>
      </c>
      <c r="AL50" t="s">
        <v>45</v>
      </c>
      <c r="AM50" s="21">
        <f t="shared" si="11"/>
        <v>443.98185416666666</v>
      </c>
      <c r="AN50" t="s">
        <v>45</v>
      </c>
      <c r="AO50" s="63">
        <v>2696.6655989240198</v>
      </c>
      <c r="AP50" s="64">
        <f t="shared" si="12"/>
        <v>2810.6140695122549</v>
      </c>
      <c r="AQ50" t="s">
        <v>46</v>
      </c>
      <c r="AR50" s="36">
        <f>(AP50-AO50)/AO50</f>
        <v>4.2255321028199032E-2</v>
      </c>
      <c r="AS50" s="81"/>
      <c r="AT50" s="81">
        <f>(AO50-J50)/J50</f>
        <v>-0.37355609681372548</v>
      </c>
      <c r="AU50" s="81"/>
      <c r="AV50" s="66">
        <f>(AP50-J50)/J50</f>
        <v>-0.3470855085784314</v>
      </c>
      <c r="BB50" s="56">
        <f>+R50*F50</f>
        <v>4304.72</v>
      </c>
    </row>
    <row r="51" spans="1:54" ht="18.75" outlineLevel="1" x14ac:dyDescent="0.3">
      <c r="A51">
        <v>2</v>
      </c>
      <c r="B51" t="s">
        <v>58</v>
      </c>
      <c r="C51">
        <v>338191</v>
      </c>
      <c r="D51" t="s">
        <v>99</v>
      </c>
      <c r="E51" t="s">
        <v>62</v>
      </c>
      <c r="F51" s="21">
        <f>+VLOOKUP(C51,'[1]stock au 25-03-25'!A:D,4,FALSE)</f>
        <v>580</v>
      </c>
      <c r="G51" t="s">
        <v>45</v>
      </c>
      <c r="H51" s="22">
        <f>+VLOOKUP(C51,'[1]stock au 25-03-25'!A:F,6,FALSE)</f>
        <v>3.8800000000000003</v>
      </c>
      <c r="I51" t="s">
        <v>46</v>
      </c>
      <c r="J51" s="56">
        <f>+VLOOKUP(C51,'[1]stock au 25-03-25'!A:H,8,FALSE)</f>
        <v>2250.4</v>
      </c>
      <c r="K51" t="s">
        <v>46</v>
      </c>
      <c r="L51" s="23">
        <v>3.9</v>
      </c>
      <c r="M51" t="s">
        <v>46</v>
      </c>
      <c r="N51" s="56">
        <f>+VLOOKUP(C51,'[1]stock au 25-03-25'!A:L,12,FALSE)</f>
        <v>2262</v>
      </c>
      <c r="P51" s="57">
        <v>3.9</v>
      </c>
      <c r="Q51" t="s">
        <v>46</v>
      </c>
      <c r="R51" s="25">
        <v>3.93</v>
      </c>
      <c r="T51" s="26">
        <v>3.9299999999999997</v>
      </c>
      <c r="U51" s="58">
        <f t="shared" si="10"/>
        <v>-1.1299979894403629E-16</v>
      </c>
      <c r="V51" s="10">
        <f>IFERROR(VLOOKUP(C51,'[2]INDICATEURS ACHATS - Matières P'!$C$2:$G$209999,5,0),0)</f>
        <v>460</v>
      </c>
      <c r="W51" s="60">
        <f t="shared" si="6"/>
        <v>1807.8</v>
      </c>
      <c r="X51" s="28">
        <v>3.93</v>
      </c>
      <c r="Y51" s="59">
        <v>219.259483551958</v>
      </c>
      <c r="Z51" s="60">
        <f t="shared" si="7"/>
        <v>861.68977035919499</v>
      </c>
      <c r="AA51" s="60">
        <f t="shared" si="0"/>
        <v>861.68977035919499</v>
      </c>
      <c r="AB51" s="60">
        <f t="shared" si="1"/>
        <v>0</v>
      </c>
      <c r="AC51" s="60">
        <f t="shared" si="8"/>
        <v>2669.4897703591951</v>
      </c>
      <c r="AD51" s="61">
        <f>+VLOOKUP(C51,'[1]pic au 25-03'!C:R,16,FALSE)</f>
        <v>732.848120551958</v>
      </c>
      <c r="AE51" s="31" t="s">
        <v>45</v>
      </c>
      <c r="AF51" s="62">
        <v>2858.1076701526358</v>
      </c>
      <c r="AG51" s="31" t="s">
        <v>46</v>
      </c>
      <c r="AH51" s="62">
        <v>2858.1076701526358</v>
      </c>
      <c r="AI51" s="31"/>
      <c r="AJ51" s="28">
        <f t="shared" si="9"/>
        <v>2669.4897703591951</v>
      </c>
      <c r="AK51" s="21">
        <f>+VLOOKUP(C51,'[1]stock au 25-03-25'!A:X,24,FALSE)</f>
        <v>53.588636999999999</v>
      </c>
      <c r="AL51" t="s">
        <v>45</v>
      </c>
      <c r="AM51" s="21">
        <f t="shared" si="11"/>
        <v>679.25948355195806</v>
      </c>
      <c r="AN51" t="s">
        <v>45</v>
      </c>
      <c r="AO51" s="63">
        <v>2474.7495251015971</v>
      </c>
      <c r="AP51" s="64">
        <f t="shared" si="12"/>
        <v>2669.4897703591951</v>
      </c>
      <c r="AQ51" t="s">
        <v>46</v>
      </c>
      <c r="AR51" s="36">
        <f>(AP51-AO51)/AO51</f>
        <v>7.8690891050722883E-2</v>
      </c>
      <c r="AS51" s="81"/>
      <c r="AT51" s="81">
        <f>(AO51-J51)/J51</f>
        <v>9.9693176813720669E-2</v>
      </c>
      <c r="AU51" s="81"/>
      <c r="AV51" s="66">
        <f>(AP51-J51)/J51</f>
        <v>0.1862290127795925</v>
      </c>
      <c r="BB51" s="56">
        <f>+R51*F51</f>
        <v>2279.4</v>
      </c>
    </row>
    <row r="52" spans="1:54" ht="18.75" outlineLevel="1" x14ac:dyDescent="0.3">
      <c r="A52">
        <v>2</v>
      </c>
      <c r="B52" t="s">
        <v>58</v>
      </c>
      <c r="C52">
        <v>338202</v>
      </c>
      <c r="D52" t="s">
        <v>100</v>
      </c>
      <c r="E52" t="s">
        <v>62</v>
      </c>
      <c r="F52" s="21">
        <f>+VLOOKUP(C52,'[1]stock au 25-03-25'!A:D,4,FALSE)</f>
        <v>804</v>
      </c>
      <c r="G52" t="s">
        <v>45</v>
      </c>
      <c r="H52" s="22">
        <f>+VLOOKUP(C52,'[1]stock au 25-03-25'!A:F,6,FALSE)</f>
        <v>2.0943283582089549</v>
      </c>
      <c r="I52" t="s">
        <v>46</v>
      </c>
      <c r="J52" s="56">
        <f>+VLOOKUP(C52,'[1]stock au 25-03-25'!A:H,8,FALSE)</f>
        <v>1683.84</v>
      </c>
      <c r="K52" t="s">
        <v>46</v>
      </c>
      <c r="L52" s="23">
        <v>4.08</v>
      </c>
      <c r="M52" t="s">
        <v>46</v>
      </c>
      <c r="N52" s="56">
        <f>+VLOOKUP(C52,'[1]stock au 25-03-25'!A:L,12,FALSE)</f>
        <v>3280.32</v>
      </c>
      <c r="P52" s="57">
        <v>1.69</v>
      </c>
      <c r="Q52" t="s">
        <v>46</v>
      </c>
      <c r="R52" s="25">
        <f>H52*(1+VLOOKUP(A52,'[1]Variation MP'!$B$3:$D$22,3))</f>
        <v>2.0943283582089549</v>
      </c>
      <c r="T52" s="26">
        <v>1.7602446982055464</v>
      </c>
      <c r="U52" s="58">
        <f t="shared" si="10"/>
        <v>-0.15951828121599468</v>
      </c>
      <c r="V52" s="10">
        <f>IFERROR(VLOOKUP(C52,'[2]INDICATEURS ACHATS - Matières P'!$C$2:$G$209999,5,0),0)</f>
        <v>613</v>
      </c>
      <c r="W52" s="60">
        <f t="shared" si="6"/>
        <v>1079.03</v>
      </c>
      <c r="X52" s="28">
        <v>1.7469999999999999</v>
      </c>
      <c r="Y52" s="59">
        <v>254.90665399914536</v>
      </c>
      <c r="Z52" s="60">
        <f t="shared" si="7"/>
        <v>445.32192453650691</v>
      </c>
      <c r="AA52" s="60">
        <f t="shared" si="0"/>
        <v>533.8582341665682</v>
      </c>
      <c r="AB52" s="60">
        <f t="shared" si="1"/>
        <v>-88.536309630061282</v>
      </c>
      <c r="AC52" s="60">
        <f t="shared" si="8"/>
        <v>1524.3519245365069</v>
      </c>
      <c r="AD52" s="61">
        <f>+VLOOKUP(C52,'[1]pic au 25-03'!C:R,16,FALSE)</f>
        <v>928.70053999914535</v>
      </c>
      <c r="AE52" s="31" t="s">
        <v>45</v>
      </c>
      <c r="AF52" s="62">
        <v>1569.5039125985556</v>
      </c>
      <c r="AG52" s="31" t="s">
        <v>46</v>
      </c>
      <c r="AH52" s="62">
        <v>3789.0982031965132</v>
      </c>
      <c r="AI52" s="31"/>
      <c r="AJ52" s="28">
        <f t="shared" si="9"/>
        <v>1516.2329245365067</v>
      </c>
      <c r="AK52" s="21">
        <f>+VLOOKUP(C52,'[1]stock au 25-03-25'!A:X,24,FALSE)</f>
        <v>60.793886000000001</v>
      </c>
      <c r="AL52" t="s">
        <v>45</v>
      </c>
      <c r="AM52" s="21">
        <f t="shared" si="11"/>
        <v>867.90665399914531</v>
      </c>
      <c r="AN52" t="s">
        <v>45</v>
      </c>
      <c r="AO52" s="63">
        <v>1830.2517156219551</v>
      </c>
      <c r="AP52" s="64">
        <f t="shared" si="12"/>
        <v>1817.6815177486574</v>
      </c>
      <c r="AQ52" t="s">
        <v>46</v>
      </c>
      <c r="AR52" s="36">
        <f>(AP52-AO52)/AO52</f>
        <v>-6.8680158942105579E-3</v>
      </c>
      <c r="AS52" s="81"/>
      <c r="AT52" s="81">
        <f>(AO52-J52)/J52</f>
        <v>8.6951085389321545E-2</v>
      </c>
      <c r="AU52" s="81"/>
      <c r="AV52" s="66">
        <f>(AP52-J52)/J52</f>
        <v>7.9485888058638265E-2</v>
      </c>
      <c r="BB52" s="56">
        <f>+R52*F52</f>
        <v>1683.8399999999997</v>
      </c>
    </row>
    <row r="53" spans="1:54" ht="18.75" outlineLevel="1" x14ac:dyDescent="0.3">
      <c r="A53">
        <v>2</v>
      </c>
      <c r="B53" t="s">
        <v>58</v>
      </c>
      <c r="C53">
        <v>340371</v>
      </c>
      <c r="D53" t="s">
        <v>101</v>
      </c>
      <c r="E53" t="s">
        <v>62</v>
      </c>
      <c r="F53" s="21">
        <f>+VLOOKUP(C53,'[1]stock au 25-03-25'!A:D,4,FALSE)</f>
        <v>240</v>
      </c>
      <c r="G53" t="s">
        <v>45</v>
      </c>
      <c r="H53" s="22">
        <f>+VLOOKUP(C53,'[1]stock au 25-03-25'!A:F,6,FALSE)</f>
        <v>9.1649999999999991</v>
      </c>
      <c r="I53" t="s">
        <v>46</v>
      </c>
      <c r="J53" s="56">
        <f>+VLOOKUP(C53,'[1]stock au 25-03-25'!A:H,8,FALSE)</f>
        <v>2199.6</v>
      </c>
      <c r="K53" t="s">
        <v>46</v>
      </c>
      <c r="L53" s="23">
        <v>8.6</v>
      </c>
      <c r="M53" t="s">
        <v>46</v>
      </c>
      <c r="N53" s="56">
        <f>+VLOOKUP(C53,'[1]stock au 25-03-25'!A:L,12,FALSE)</f>
        <v>2064</v>
      </c>
      <c r="P53" s="57">
        <v>8.6</v>
      </c>
      <c r="Q53" t="s">
        <v>46</v>
      </c>
      <c r="R53" s="25">
        <v>9.73</v>
      </c>
      <c r="T53" s="26">
        <v>9.7299999999999986</v>
      </c>
      <c r="U53" s="58">
        <f t="shared" si="10"/>
        <v>-1.8256493724565781E-16</v>
      </c>
      <c r="V53" s="10">
        <f>IFERROR(VLOOKUP(C53,'[2]INDICATEURS ACHATS - Matières P'!$C$2:$G$209999,5,0),0)</f>
        <v>120</v>
      </c>
      <c r="W53" s="60">
        <f t="shared" si="6"/>
        <v>1167.5999999999999</v>
      </c>
      <c r="X53" s="28">
        <v>9.7299999999999986</v>
      </c>
      <c r="Y53" s="59">
        <v>74.818903313725528</v>
      </c>
      <c r="Z53" s="60">
        <f t="shared" si="7"/>
        <v>727.98792924254928</v>
      </c>
      <c r="AA53" s="60">
        <f t="shared" si="0"/>
        <v>727.9879292425494</v>
      </c>
      <c r="AB53" s="60">
        <f t="shared" si="1"/>
        <v>0</v>
      </c>
      <c r="AC53" s="60">
        <f t="shared" si="8"/>
        <v>1895.5879292425493</v>
      </c>
      <c r="AD53" s="61">
        <f>+VLOOKUP(C53,'[1]pic au 25-03'!C:R,16,FALSE)</f>
        <v>296.98928431372553</v>
      </c>
      <c r="AE53" s="31" t="s">
        <v>45</v>
      </c>
      <c r="AF53" s="62">
        <v>2554.107845098039</v>
      </c>
      <c r="AG53" s="31" t="s">
        <v>46</v>
      </c>
      <c r="AH53" s="62">
        <v>2554.107845098039</v>
      </c>
      <c r="AI53" s="31"/>
      <c r="AJ53" s="28">
        <f t="shared" si="9"/>
        <v>1895.5879292425491</v>
      </c>
      <c r="AK53" s="21">
        <f>+VLOOKUP(C53,'[1]stock au 25-03-25'!A:X,24,FALSE)</f>
        <v>102.17038100000001</v>
      </c>
      <c r="AL53" t="s">
        <v>45</v>
      </c>
      <c r="AM53" s="21">
        <f t="shared" si="11"/>
        <v>194.81890331372551</v>
      </c>
      <c r="AN53" t="s">
        <v>45</v>
      </c>
      <c r="AO53" s="63">
        <v>1535.9046683652939</v>
      </c>
      <c r="AP53" s="64">
        <f t="shared" si="12"/>
        <v>1895.5879292425493</v>
      </c>
      <c r="AQ53" t="s">
        <v>46</v>
      </c>
      <c r="AR53" s="36">
        <f>(AP53-AO53)/AO53</f>
        <v>0.23418332419034596</v>
      </c>
      <c r="AS53" s="81"/>
      <c r="AT53" s="81">
        <f>(AO53-J53)/J53</f>
        <v>-0.30173455702614388</v>
      </c>
      <c r="AU53" s="81"/>
      <c r="AV53" s="66">
        <f>(AP53-J53)/J53</f>
        <v>-0.13821243442328179</v>
      </c>
      <c r="BB53" s="56">
        <f>+R53*F53</f>
        <v>2335.2000000000003</v>
      </c>
    </row>
    <row r="54" spans="1:54" ht="18.75" outlineLevel="1" x14ac:dyDescent="0.3">
      <c r="A54">
        <v>2</v>
      </c>
      <c r="B54" t="s">
        <v>58</v>
      </c>
      <c r="C54">
        <v>338059</v>
      </c>
      <c r="D54" t="s">
        <v>102</v>
      </c>
      <c r="E54" t="s">
        <v>62</v>
      </c>
      <c r="F54" s="21">
        <f>+VLOOKUP(C54,'[1]stock au 25-03-25'!A:D,4,FALSE)</f>
        <v>450</v>
      </c>
      <c r="G54" t="s">
        <v>45</v>
      </c>
      <c r="H54" s="22">
        <f>+VLOOKUP(C54,'[1]stock au 25-03-25'!A:F,6,FALSE)</f>
        <v>4.05</v>
      </c>
      <c r="I54" t="s">
        <v>46</v>
      </c>
      <c r="J54" s="56">
        <f>+VLOOKUP(C54,'[1]stock au 25-03-25'!A:H,8,FALSE)</f>
        <v>1822.5</v>
      </c>
      <c r="K54" t="s">
        <v>46</v>
      </c>
      <c r="L54" s="23">
        <v>4.1500000000000004</v>
      </c>
      <c r="M54" t="s">
        <v>46</v>
      </c>
      <c r="N54" s="56">
        <f>+VLOOKUP(C54,'[1]stock au 25-03-25'!A:L,12,FALSE)</f>
        <v>1867.5000000000002</v>
      </c>
      <c r="P54" s="57">
        <v>4.0999999999999996</v>
      </c>
      <c r="Q54" t="s">
        <v>46</v>
      </c>
      <c r="R54" s="25">
        <f>H54*(1+VLOOKUP(A54,'[1]Variation MP'!$B$3:$D$22,3))</f>
        <v>4.05</v>
      </c>
      <c r="T54" s="26">
        <v>4.05</v>
      </c>
      <c r="U54" s="58">
        <f t="shared" si="10"/>
        <v>0</v>
      </c>
      <c r="V54" s="10">
        <f>IFERROR(VLOOKUP(C54,'[2]INDICATEURS ACHATS - Matières P'!$C$2:$G$209999,5,0),0)</f>
        <v>225</v>
      </c>
      <c r="W54" s="60">
        <f t="shared" si="6"/>
        <v>911.25</v>
      </c>
      <c r="X54" s="28">
        <v>4.05</v>
      </c>
      <c r="Y54" s="59">
        <v>143.72028745140875</v>
      </c>
      <c r="Z54" s="60">
        <f t="shared" si="7"/>
        <v>582.06716417820542</v>
      </c>
      <c r="AA54" s="60">
        <f t="shared" si="0"/>
        <v>582.06716417820542</v>
      </c>
      <c r="AB54" s="60">
        <f t="shared" si="1"/>
        <v>0</v>
      </c>
      <c r="AC54" s="60">
        <f t="shared" si="8"/>
        <v>1493.3171641782055</v>
      </c>
      <c r="AD54" s="61">
        <f>+VLOOKUP(C54,'[1]pic au 25-03'!C:R,16,FALSE)</f>
        <v>424.60450245140873</v>
      </c>
      <c r="AE54" s="31" t="s">
        <v>45</v>
      </c>
      <c r="AF54" s="62">
        <v>1899.3188975671155</v>
      </c>
      <c r="AG54" s="31" t="s">
        <v>46</v>
      </c>
      <c r="AH54" s="62">
        <v>1922.4813231472026</v>
      </c>
      <c r="AI54" s="31"/>
      <c r="AJ54" s="28">
        <f t="shared" si="9"/>
        <v>1493.3171641782053</v>
      </c>
      <c r="AK54" s="21">
        <f>+VLOOKUP(C54,'[1]stock au 25-03-25'!A:X,24,FALSE)</f>
        <v>55.884214999999998</v>
      </c>
      <c r="AL54" t="s">
        <v>45</v>
      </c>
      <c r="AM54" s="21">
        <f t="shared" si="11"/>
        <v>368.72028745140875</v>
      </c>
      <c r="AN54" t="s">
        <v>45</v>
      </c>
      <c r="AO54" s="63">
        <v>1583.352346237029</v>
      </c>
      <c r="AP54" s="64">
        <f t="shared" si="12"/>
        <v>1493.3171641782053</v>
      </c>
      <c r="AQ54" t="s">
        <v>46</v>
      </c>
      <c r="AR54" s="36">
        <f>(AP54-AO54)/AO54</f>
        <v>-5.6863642683702038E-2</v>
      </c>
      <c r="AS54" s="81"/>
      <c r="AT54" s="81">
        <f>(AO54-J54)/J54</f>
        <v>-0.13121956310725433</v>
      </c>
      <c r="AU54" s="81"/>
      <c r="AV54" s="66">
        <f>(AP54-J54)/J54</f>
        <v>-0.18062158344131396</v>
      </c>
      <c r="BB54" s="56">
        <f>+R54*F54</f>
        <v>1822.5</v>
      </c>
    </row>
    <row r="55" spans="1:54" ht="18.75" outlineLevel="1" x14ac:dyDescent="0.3">
      <c r="A55">
        <v>2</v>
      </c>
      <c r="B55" t="s">
        <v>58</v>
      </c>
      <c r="C55">
        <v>338194</v>
      </c>
      <c r="D55" t="s">
        <v>103</v>
      </c>
      <c r="E55" t="s">
        <v>62</v>
      </c>
      <c r="F55" s="21">
        <f>+VLOOKUP(C55,'[1]stock au 25-03-25'!A:D,4,FALSE)</f>
        <v>290</v>
      </c>
      <c r="G55" t="s">
        <v>45</v>
      </c>
      <c r="H55" s="22">
        <f>+VLOOKUP(C55,'[1]stock au 25-03-25'!A:F,6,FALSE)</f>
        <v>4.8100000000000005</v>
      </c>
      <c r="I55" t="s">
        <v>46</v>
      </c>
      <c r="J55" s="56">
        <f>+VLOOKUP(C55,'[1]stock au 25-03-25'!A:H,8,FALSE)</f>
        <v>1394.9</v>
      </c>
      <c r="K55" t="s">
        <v>46</v>
      </c>
      <c r="L55" s="23">
        <v>4.82</v>
      </c>
      <c r="M55" t="s">
        <v>46</v>
      </c>
      <c r="N55" s="56">
        <f>+VLOOKUP(C55,'[1]stock au 25-03-25'!A:L,12,FALSE)</f>
        <v>1397.8000000000002</v>
      </c>
      <c r="P55" s="57">
        <v>4.82</v>
      </c>
      <c r="Q55" t="s">
        <v>46</v>
      </c>
      <c r="R55" s="25">
        <v>5.19</v>
      </c>
      <c r="T55" s="26">
        <v>5.19</v>
      </c>
      <c r="U55" s="58">
        <f t="shared" si="10"/>
        <v>0</v>
      </c>
      <c r="V55" s="10">
        <f>IFERROR(VLOOKUP(C55,'[2]INDICATEURS ACHATS - Matières P'!$C$2:$G$209999,5,0),0)</f>
        <v>180</v>
      </c>
      <c r="W55" s="60">
        <f t="shared" si="6"/>
        <v>934.2</v>
      </c>
      <c r="X55" s="28">
        <v>5.1899999999999995</v>
      </c>
      <c r="Y55" s="59">
        <v>135.00210129682608</v>
      </c>
      <c r="Z55" s="60">
        <f t="shared" si="7"/>
        <v>700.66090573052736</v>
      </c>
      <c r="AA55" s="60">
        <f t="shared" si="0"/>
        <v>700.66090573052747</v>
      </c>
      <c r="AB55" s="60">
        <f t="shared" si="1"/>
        <v>0</v>
      </c>
      <c r="AC55" s="60">
        <f t="shared" si="8"/>
        <v>1634.8609057305275</v>
      </c>
      <c r="AD55" s="61">
        <f>+VLOOKUP(C55,'[1]pic au 25-03'!C:R,16,FALSE)</f>
        <v>321.69290929682609</v>
      </c>
      <c r="AE55" s="31" t="s">
        <v>45</v>
      </c>
      <c r="AF55" s="62">
        <v>1550.5598228107015</v>
      </c>
      <c r="AG55" s="31" t="s">
        <v>46</v>
      </c>
      <c r="AH55" s="62">
        <v>1550.5598228107015</v>
      </c>
      <c r="AI55" s="31"/>
      <c r="AJ55" s="28">
        <f t="shared" si="9"/>
        <v>1634.8609057305273</v>
      </c>
      <c r="AK55" s="21">
        <f>+VLOOKUP(C55,'[1]stock au 25-03-25'!A:X,24,FALSE)</f>
        <v>6.6908079999999996</v>
      </c>
      <c r="AL55" t="s">
        <v>45</v>
      </c>
      <c r="AM55" s="21">
        <f t="shared" si="11"/>
        <v>315.00210129682608</v>
      </c>
      <c r="AN55" t="s">
        <v>45</v>
      </c>
      <c r="AO55" s="63">
        <v>1453.1595727977333</v>
      </c>
      <c r="AP55" s="64">
        <f t="shared" si="12"/>
        <v>1634.8609057305275</v>
      </c>
      <c r="AQ55" t="s">
        <v>46</v>
      </c>
      <c r="AR55" s="36">
        <f>(AP55-AO55)/AO55</f>
        <v>0.12503880257483974</v>
      </c>
      <c r="AS55" s="81"/>
      <c r="AT55" s="81">
        <f>(AO55-J55)/J55</f>
        <v>4.1766128609744928E-2</v>
      </c>
      <c r="AU55" s="81"/>
      <c r="AV55" s="66">
        <f>(AP55-J55)/J55</f>
        <v>0.17202731789413392</v>
      </c>
      <c r="BB55" s="56">
        <f>+R55*F55</f>
        <v>1505.1000000000001</v>
      </c>
    </row>
    <row r="56" spans="1:54" ht="18.75" outlineLevel="1" x14ac:dyDescent="0.3">
      <c r="A56">
        <v>2</v>
      </c>
      <c r="B56" t="s">
        <v>58</v>
      </c>
      <c r="C56">
        <v>338022</v>
      </c>
      <c r="D56" t="s">
        <v>104</v>
      </c>
      <c r="E56" t="s">
        <v>62</v>
      </c>
      <c r="F56" s="21">
        <f>+VLOOKUP(C56,'[1]stock au 25-03-25'!A:D,4,FALSE)</f>
        <v>624</v>
      </c>
      <c r="G56" t="s">
        <v>45</v>
      </c>
      <c r="H56" s="22">
        <f>+VLOOKUP(C56,'[1]stock au 25-03-25'!A:F,6,FALSE)</f>
        <v>2.8129807692307693</v>
      </c>
      <c r="I56" t="s">
        <v>46</v>
      </c>
      <c r="J56" s="56">
        <f>+VLOOKUP(C56,'[1]stock au 25-03-25'!A:H,8,FALSE)</f>
        <v>1755.3</v>
      </c>
      <c r="K56" t="s">
        <v>46</v>
      </c>
      <c r="L56" s="23">
        <v>2.92</v>
      </c>
      <c r="M56" t="s">
        <v>46</v>
      </c>
      <c r="N56" s="56">
        <f>+VLOOKUP(C56,'[1]stock au 25-03-25'!A:L,12,FALSE)</f>
        <v>1822.08</v>
      </c>
      <c r="P56" s="57">
        <v>2.92</v>
      </c>
      <c r="Q56" t="s">
        <v>46</v>
      </c>
      <c r="R56" s="25">
        <f>H56*(1+VLOOKUP(A56,'[1]Variation MP'!$B$3:$D$22,3))</f>
        <v>2.8129807692307693</v>
      </c>
      <c r="T56" s="26">
        <v>2.3939903846153845</v>
      </c>
      <c r="U56" s="58">
        <f t="shared" si="10"/>
        <v>-0.1489488976243378</v>
      </c>
      <c r="V56" s="10">
        <f>IFERROR(VLOOKUP(C56,'[2]INDICATEURS ACHATS - Matières P'!$C$2:$G$209999,5,0),0)</f>
        <v>208</v>
      </c>
      <c r="W56" s="60">
        <f t="shared" si="6"/>
        <v>497.95</v>
      </c>
      <c r="X56" s="28">
        <v>2.7529807692307693</v>
      </c>
      <c r="Y56" s="59">
        <v>345.2965727107366</v>
      </c>
      <c r="Z56" s="60">
        <f t="shared" si="7"/>
        <v>950.59482435395194</v>
      </c>
      <c r="AA56" s="60">
        <f t="shared" si="0"/>
        <v>971.31261871659615</v>
      </c>
      <c r="AB56" s="60">
        <f t="shared" si="1"/>
        <v>-20.717794362644213</v>
      </c>
      <c r="AC56" s="60">
        <f t="shared" si="8"/>
        <v>1448.544824353952</v>
      </c>
      <c r="AD56" s="61">
        <f>+VLOOKUP(C56,'[1]pic au 25-03'!C:R,16,FALSE)</f>
        <v>680.3961547107366</v>
      </c>
      <c r="AE56" s="31" t="s">
        <v>45</v>
      </c>
      <c r="AF56" s="62">
        <v>1989.54140704424</v>
      </c>
      <c r="AG56" s="31" t="s">
        <v>46</v>
      </c>
      <c r="AH56" s="62">
        <v>1989.54140704424</v>
      </c>
      <c r="AI56" s="31"/>
      <c r="AJ56" s="28">
        <f t="shared" si="9"/>
        <v>1523.2148243539521</v>
      </c>
      <c r="AK56" s="21">
        <f>+VLOOKUP(C56,'[1]stock au 25-03-25'!A:X,24,FALSE)</f>
        <v>127.099582</v>
      </c>
      <c r="AL56" t="s">
        <v>45</v>
      </c>
      <c r="AM56" s="21">
        <f t="shared" si="11"/>
        <v>553.29657271073665</v>
      </c>
      <c r="AN56" t="s">
        <v>45</v>
      </c>
      <c r="AO56" s="63">
        <v>1426.2425671662227</v>
      </c>
      <c r="AP56" s="64">
        <f t="shared" si="12"/>
        <v>1556.4126187165964</v>
      </c>
      <c r="AQ56" t="s">
        <v>46</v>
      </c>
      <c r="AR56" s="36">
        <f>(AP56-AO56)/AO56</f>
        <v>9.1267821159626727E-2</v>
      </c>
      <c r="AS56" s="81"/>
      <c r="AT56" s="81">
        <f>(AO56-J56)/J56</f>
        <v>-0.18746506741512978</v>
      </c>
      <c r="AU56" s="81"/>
      <c r="AV56" s="66">
        <f>(AP56-J56)/J56</f>
        <v>-0.11330677450202448</v>
      </c>
      <c r="BB56" s="56">
        <f>+R56*F56</f>
        <v>1755.3000000000002</v>
      </c>
    </row>
    <row r="57" spans="1:54" ht="18.75" outlineLevel="1" x14ac:dyDescent="0.3">
      <c r="A57">
        <v>2</v>
      </c>
      <c r="B57" t="s">
        <v>58</v>
      </c>
      <c r="C57">
        <v>343938</v>
      </c>
      <c r="D57" t="s">
        <v>105</v>
      </c>
      <c r="E57" t="s">
        <v>62</v>
      </c>
      <c r="F57" s="21">
        <f>+VLOOKUP(C57,'[1]stock au 25-03-25'!A:D,4,FALSE)</f>
        <v>30</v>
      </c>
      <c r="G57" t="s">
        <v>45</v>
      </c>
      <c r="H57" s="22">
        <f>+VLOOKUP(C57,'[1]stock au 25-03-25'!A:F,6,FALSE)</f>
        <v>14.15</v>
      </c>
      <c r="I57" t="s">
        <v>46</v>
      </c>
      <c r="J57" s="56">
        <f>+VLOOKUP(C57,'[1]stock au 25-03-25'!A:H,8,FALSE)</f>
        <v>424.5</v>
      </c>
      <c r="K57" t="s">
        <v>46</v>
      </c>
      <c r="L57" s="23">
        <v>14.97</v>
      </c>
      <c r="M57" t="s">
        <v>46</v>
      </c>
      <c r="N57" s="56">
        <f>+VLOOKUP(C57,'[1]stock au 25-03-25'!A:L,12,FALSE)</f>
        <v>449.1</v>
      </c>
      <c r="P57" s="57">
        <v>14.15</v>
      </c>
      <c r="Q57" t="s">
        <v>46</v>
      </c>
      <c r="R57" s="25">
        <v>16.149999999999999</v>
      </c>
      <c r="T57" s="26">
        <v>16.750388802488335</v>
      </c>
      <c r="U57" s="58">
        <f t="shared" si="10"/>
        <v>3.7175777243859814E-2</v>
      </c>
      <c r="V57" s="10">
        <f>IFERROR(VLOOKUP(C57,'[2]INDICATEURS ACHATS - Matières P'!$C$2:$G$209999,5,0),0)</f>
        <v>64.3</v>
      </c>
      <c r="W57" s="60">
        <f t="shared" si="6"/>
        <v>1077.05</v>
      </c>
      <c r="X57" s="28">
        <v>16.149999999999999</v>
      </c>
      <c r="Y57" s="59">
        <v>46.278370364789836</v>
      </c>
      <c r="Z57" s="60">
        <f t="shared" si="7"/>
        <v>747.39568139135577</v>
      </c>
      <c r="AA57" s="60">
        <f t="shared" si="0"/>
        <v>747.39568139135577</v>
      </c>
      <c r="AB57" s="60">
        <f t="shared" si="1"/>
        <v>0</v>
      </c>
      <c r="AC57" s="60">
        <f t="shared" si="8"/>
        <v>1824.4456813913557</v>
      </c>
      <c r="AD57" s="61">
        <f>+VLOOKUP(C57,'[1]pic au 25-03'!C:R,16,FALSE)</f>
        <v>137.98163736478983</v>
      </c>
      <c r="AE57" s="31" t="s">
        <v>45</v>
      </c>
      <c r="AF57" s="62">
        <v>1952.4401687117766</v>
      </c>
      <c r="AG57" s="31" t="s">
        <v>46</v>
      </c>
      <c r="AH57" s="62">
        <v>2065.5851113509043</v>
      </c>
      <c r="AI57" s="31"/>
      <c r="AJ57" s="28">
        <f t="shared" si="9"/>
        <v>1785.8406813913557</v>
      </c>
      <c r="AK57" s="21">
        <f>+VLOOKUP(C57,'[1]stock au 25-03-25'!A:X,24,FALSE)</f>
        <v>27.403267</v>
      </c>
      <c r="AL57" t="s">
        <v>45</v>
      </c>
      <c r="AM57" s="21">
        <f t="shared" si="11"/>
        <v>110.57837036478983</v>
      </c>
      <c r="AN57" t="s">
        <v>45</v>
      </c>
      <c r="AO57" s="63">
        <v>1347.1976482617765</v>
      </c>
      <c r="AP57" s="64">
        <f t="shared" si="12"/>
        <v>1785.8406813913557</v>
      </c>
      <c r="AQ57" t="s">
        <v>46</v>
      </c>
      <c r="AR57" s="36">
        <f>(AP57-AO57)/AO57</f>
        <v>0.32559664403774674</v>
      </c>
      <c r="AS57" s="81"/>
      <c r="AT57" s="81">
        <f>(AO57-J57)/J57</f>
        <v>2.1736104788263289</v>
      </c>
      <c r="AU57" s="81"/>
      <c r="AV57" s="66">
        <f>(AP57-J57)/J57</f>
        <v>3.2069274002152079</v>
      </c>
      <c r="BB57" s="56">
        <f>+R57*F57</f>
        <v>484.49999999999994</v>
      </c>
    </row>
    <row r="58" spans="1:54" ht="18.75" outlineLevel="1" x14ac:dyDescent="0.3">
      <c r="A58">
        <v>2</v>
      </c>
      <c r="B58" t="s">
        <v>58</v>
      </c>
      <c r="C58">
        <v>338027</v>
      </c>
      <c r="D58" t="s">
        <v>106</v>
      </c>
      <c r="E58" t="s">
        <v>62</v>
      </c>
      <c r="F58" s="21">
        <f>+VLOOKUP(C58,'[1]stock au 25-03-25'!A:D,4,FALSE)</f>
        <v>200</v>
      </c>
      <c r="G58" t="s">
        <v>45</v>
      </c>
      <c r="H58" s="22">
        <f>+VLOOKUP(C58,'[1]stock au 25-03-25'!A:F,6,FALSE)</f>
        <v>13.13</v>
      </c>
      <c r="I58" t="s">
        <v>46</v>
      </c>
      <c r="J58" s="56">
        <f>+VLOOKUP(C58,'[1]stock au 25-03-25'!A:H,8,FALSE)</f>
        <v>2626</v>
      </c>
      <c r="K58" t="s">
        <v>46</v>
      </c>
      <c r="L58" s="23">
        <v>13.15</v>
      </c>
      <c r="M58" t="s">
        <v>46</v>
      </c>
      <c r="N58" s="56">
        <f>+VLOOKUP(C58,'[1]stock au 25-03-25'!A:L,12,FALSE)</f>
        <v>2630</v>
      </c>
      <c r="P58" s="57">
        <v>13.15</v>
      </c>
      <c r="Q58" t="s">
        <v>46</v>
      </c>
      <c r="R58" s="25">
        <v>13.13</v>
      </c>
      <c r="T58" s="26">
        <v>13.13</v>
      </c>
      <c r="U58" s="58">
        <f t="shared" si="10"/>
        <v>0</v>
      </c>
      <c r="V58" s="10">
        <f>IFERROR(VLOOKUP(C58,'[2]INDICATEURS ACHATS - Matières P'!$C$2:$G$209999,5,0),0)</f>
        <v>50</v>
      </c>
      <c r="W58" s="60">
        <f t="shared" si="6"/>
        <v>656.5</v>
      </c>
      <c r="X58" s="28">
        <v>12.63</v>
      </c>
      <c r="Y58" s="59">
        <v>58.920461889871781</v>
      </c>
      <c r="Z58" s="60">
        <f t="shared" si="7"/>
        <v>744.16543366908058</v>
      </c>
      <c r="AA58" s="60">
        <f t="shared" si="0"/>
        <v>773.6256646140165</v>
      </c>
      <c r="AB58" s="60">
        <f t="shared" si="1"/>
        <v>-29.460230944935915</v>
      </c>
      <c r="AC58" s="60">
        <f t="shared" si="8"/>
        <v>1400.6654336690806</v>
      </c>
      <c r="AD58" s="61">
        <f>+VLOOKUP(C58,'[1]pic au 25-03'!C:R,16,FALSE)</f>
        <v>145.08790888987178</v>
      </c>
      <c r="AE58" s="31" t="s">
        <v>45</v>
      </c>
      <c r="AF58" s="62">
        <v>1907.9060019018132</v>
      </c>
      <c r="AG58" s="31" t="s">
        <v>46</v>
      </c>
      <c r="AH58" s="62">
        <v>1907.9060019018132</v>
      </c>
      <c r="AI58" s="31"/>
      <c r="AJ58" s="28">
        <f t="shared" si="9"/>
        <v>1375.6654336690806</v>
      </c>
      <c r="AK58" s="21">
        <f>+VLOOKUP(C58,'[1]stock au 25-03-25'!A:X,24,FALSE)</f>
        <v>36.167447000000003</v>
      </c>
      <c r="AL58" t="s">
        <v>45</v>
      </c>
      <c r="AM58" s="21">
        <f t="shared" si="11"/>
        <v>108.92046188987177</v>
      </c>
      <c r="AN58" t="s">
        <v>45</v>
      </c>
      <c r="AO58" s="63">
        <v>1232.5512937240157</v>
      </c>
      <c r="AP58" s="64">
        <f t="shared" si="12"/>
        <v>1430.1256646140164</v>
      </c>
      <c r="AQ58" t="s">
        <v>46</v>
      </c>
      <c r="AR58" s="36">
        <f>(AP58-AO58)/AO58</f>
        <v>0.16029707801697388</v>
      </c>
      <c r="AS58" s="81"/>
      <c r="AT58" s="81">
        <f>(AO58-J58)/J58</f>
        <v>-0.5306354555506414</v>
      </c>
      <c r="AU58" s="81"/>
      <c r="AV58" s="66">
        <f>(AP58-J58)/J58</f>
        <v>-0.45539769055064111</v>
      </c>
      <c r="BB58" s="56">
        <f>+R58*F58</f>
        <v>2626</v>
      </c>
    </row>
    <row r="59" spans="1:54" ht="18.75" outlineLevel="1" x14ac:dyDescent="0.3">
      <c r="A59">
        <v>2</v>
      </c>
      <c r="B59" t="s">
        <v>58</v>
      </c>
      <c r="C59">
        <v>341485</v>
      </c>
      <c r="D59" t="s">
        <v>107</v>
      </c>
      <c r="E59" t="s">
        <v>62</v>
      </c>
      <c r="F59" s="21">
        <f>+VLOOKUP(C59,'[1]stock au 25-03-25'!A:D,4,FALSE)</f>
        <v>170</v>
      </c>
      <c r="G59" t="s">
        <v>45</v>
      </c>
      <c r="H59" s="22">
        <f>+VLOOKUP(C59,'[1]stock au 25-03-25'!A:F,6,FALSE)</f>
        <v>7.09</v>
      </c>
      <c r="I59" t="s">
        <v>46</v>
      </c>
      <c r="J59" s="56">
        <f>+VLOOKUP(C59,'[1]stock au 25-03-25'!A:H,8,FALSE)</f>
        <v>1205.3</v>
      </c>
      <c r="K59" t="s">
        <v>46</v>
      </c>
      <c r="L59" s="23">
        <v>12.95</v>
      </c>
      <c r="M59" t="s">
        <v>46</v>
      </c>
      <c r="N59" s="56">
        <f>+VLOOKUP(C59,'[1]stock au 25-03-25'!A:L,12,FALSE)</f>
        <v>2201.5</v>
      </c>
      <c r="P59" s="57">
        <v>7.1</v>
      </c>
      <c r="Q59" t="s">
        <v>46</v>
      </c>
      <c r="R59" s="25">
        <v>9.8000000000000007</v>
      </c>
      <c r="T59" s="26">
        <v>9.77</v>
      </c>
      <c r="U59" s="58">
        <f t="shared" si="10"/>
        <v>-3.061224489796034E-3</v>
      </c>
      <c r="V59" s="10">
        <f>IFERROR(VLOOKUP(C59,'[2]INDICATEURS ACHATS - Matières P'!$C$2:$G$209999,5,0),0)</f>
        <v>310</v>
      </c>
      <c r="W59" s="60">
        <f t="shared" si="6"/>
        <v>3028.7</v>
      </c>
      <c r="X59" s="28">
        <v>9.77</v>
      </c>
      <c r="Y59" s="59">
        <v>-180.25</v>
      </c>
      <c r="Z59" s="60">
        <f t="shared" si="7"/>
        <v>-1761.0425</v>
      </c>
      <c r="AA59" s="60">
        <f t="shared" si="0"/>
        <v>-1766.45</v>
      </c>
      <c r="AB59" s="60">
        <f t="shared" si="1"/>
        <v>5.4075000000000273</v>
      </c>
      <c r="AC59" s="60">
        <f t="shared" si="8"/>
        <v>1267.6574999999998</v>
      </c>
      <c r="AD59" s="61">
        <f>+VLOOKUP(C59,'[1]pic au 25-03'!C:R,16,FALSE)</f>
        <v>140.25</v>
      </c>
      <c r="AE59" s="31" t="s">
        <v>45</v>
      </c>
      <c r="AF59" s="62">
        <v>995.77499999999998</v>
      </c>
      <c r="AG59" s="31" t="s">
        <v>46</v>
      </c>
      <c r="AH59" s="62">
        <v>1816.2375</v>
      </c>
      <c r="AI59" s="31"/>
      <c r="AJ59" s="28">
        <f t="shared" si="9"/>
        <v>1267.6575</v>
      </c>
      <c r="AK59" s="21">
        <f>+VLOOKUP(C59,'[1]stock au 25-03-25'!A:X,24,FALSE)</f>
        <v>10.5</v>
      </c>
      <c r="AL59" t="s">
        <v>45</v>
      </c>
      <c r="AM59" s="21">
        <f t="shared" si="11"/>
        <v>129.75</v>
      </c>
      <c r="AN59" t="s">
        <v>45</v>
      </c>
      <c r="AO59" s="63">
        <v>890.14949999999999</v>
      </c>
      <c r="AP59" s="64">
        <f t="shared" si="12"/>
        <v>1271.5500000000002</v>
      </c>
      <c r="AQ59" t="s">
        <v>46</v>
      </c>
      <c r="AR59" s="36">
        <f>(AP59-AO59)/AO59</f>
        <v>0.42846791465927936</v>
      </c>
      <c r="AS59" s="81"/>
      <c r="AT59" s="81">
        <f>(AO59-J59)/J59</f>
        <v>-0.26147058823529412</v>
      </c>
      <c r="AU59" s="81"/>
      <c r="AV59" s="66">
        <f>(AP59-J59)/J59</f>
        <v>5.4965568738073699E-2</v>
      </c>
      <c r="BB59" s="56">
        <f>+R59*F59</f>
        <v>1666.0000000000002</v>
      </c>
    </row>
    <row r="60" spans="1:54" ht="18.75" outlineLevel="1" x14ac:dyDescent="0.3">
      <c r="A60">
        <v>2</v>
      </c>
      <c r="B60" t="s">
        <v>58</v>
      </c>
      <c r="C60">
        <v>338207</v>
      </c>
      <c r="D60" t="s">
        <v>108</v>
      </c>
      <c r="E60" t="s">
        <v>62</v>
      </c>
      <c r="F60" s="21">
        <f>+VLOOKUP(C60,'[1]stock au 25-03-25'!A:D,4,FALSE)</f>
        <v>175</v>
      </c>
      <c r="G60" t="s">
        <v>45</v>
      </c>
      <c r="H60" s="22">
        <f>+VLOOKUP(C60,'[1]stock au 25-03-25'!A:F,6,FALSE)</f>
        <v>5</v>
      </c>
      <c r="I60" t="s">
        <v>46</v>
      </c>
      <c r="J60" s="56">
        <f>+VLOOKUP(C60,'[1]stock au 25-03-25'!A:H,8,FALSE)</f>
        <v>875</v>
      </c>
      <c r="K60" t="s">
        <v>46</v>
      </c>
      <c r="L60" s="23">
        <v>5.05</v>
      </c>
      <c r="M60" t="s">
        <v>46</v>
      </c>
      <c r="N60" s="56">
        <f>+VLOOKUP(C60,'[1]stock au 25-03-25'!A:L,12,FALSE)</f>
        <v>883.75</v>
      </c>
      <c r="P60" s="57">
        <v>5</v>
      </c>
      <c r="Q60" t="s">
        <v>46</v>
      </c>
      <c r="R60" s="25">
        <f>H60*(1+VLOOKUP(A60,'[1]Variation MP'!$B$3:$D$22,3))</f>
        <v>5</v>
      </c>
      <c r="T60" s="26">
        <v>5</v>
      </c>
      <c r="U60" s="58">
        <f t="shared" si="10"/>
        <v>0</v>
      </c>
      <c r="V60" s="10">
        <f>IFERROR(VLOOKUP(C60,'[2]INDICATEURS ACHATS - Matières P'!$C$2:$G$209999,5,0),0)</f>
        <v>125</v>
      </c>
      <c r="W60" s="60">
        <f t="shared" si="6"/>
        <v>625</v>
      </c>
      <c r="X60" s="28">
        <v>5</v>
      </c>
      <c r="Y60" s="59">
        <v>35.830316712702299</v>
      </c>
      <c r="Z60" s="60">
        <f t="shared" si="7"/>
        <v>179.15158356351151</v>
      </c>
      <c r="AA60" s="60">
        <f t="shared" si="0"/>
        <v>179.15158356351151</v>
      </c>
      <c r="AB60" s="60">
        <f t="shared" si="1"/>
        <v>0</v>
      </c>
      <c r="AC60" s="60">
        <f t="shared" si="8"/>
        <v>804.15158356351151</v>
      </c>
      <c r="AD60" s="61">
        <f>+VLOOKUP(C60,'[1]pic au 25-03'!C:R,16,FALSE)</f>
        <v>186.1174387127023</v>
      </c>
      <c r="AE60" s="31" t="s">
        <v>45</v>
      </c>
      <c r="AF60" s="62">
        <v>1085.4192935635117</v>
      </c>
      <c r="AG60" s="31" t="s">
        <v>46</v>
      </c>
      <c r="AH60" s="62">
        <v>1096.2734864991467</v>
      </c>
      <c r="AI60" s="31"/>
      <c r="AJ60" s="28">
        <f t="shared" si="9"/>
        <v>804.15158356351139</v>
      </c>
      <c r="AK60" s="21">
        <f>+VLOOKUP(C60,'[1]stock au 25-03-25'!A:X,24,FALSE)</f>
        <v>25.287122</v>
      </c>
      <c r="AL60" t="s">
        <v>45</v>
      </c>
      <c r="AM60" s="21">
        <f t="shared" si="11"/>
        <v>160.83031671270228</v>
      </c>
      <c r="AN60" t="s">
        <v>45</v>
      </c>
      <c r="AO60" s="63">
        <v>1017.1791135635117</v>
      </c>
      <c r="AP60" s="64">
        <f t="shared" si="12"/>
        <v>804.15158356351139</v>
      </c>
      <c r="AQ60" t="s">
        <v>46</v>
      </c>
      <c r="AR60" s="36">
        <f>(AP60-AO60)/AO60</f>
        <v>-0.20942971317381368</v>
      </c>
      <c r="AS60" s="81"/>
      <c r="AT60" s="81">
        <f>(AO60-J60)/J60</f>
        <v>0.16249041550115623</v>
      </c>
      <c r="AU60" s="81"/>
      <c r="AV60" s="66">
        <f>(AP60-J60)/J60</f>
        <v>-8.0969618784558411E-2</v>
      </c>
      <c r="BB60" s="56">
        <f>+R60*F60</f>
        <v>875</v>
      </c>
    </row>
    <row r="61" spans="1:54" ht="18.75" outlineLevel="1" x14ac:dyDescent="0.3">
      <c r="A61">
        <v>2</v>
      </c>
      <c r="B61" t="s">
        <v>58</v>
      </c>
      <c r="C61">
        <v>338203</v>
      </c>
      <c r="D61" t="s">
        <v>109</v>
      </c>
      <c r="E61" t="s">
        <v>62</v>
      </c>
      <c r="F61" s="21">
        <f>+VLOOKUP(C61,'[1]stock au 25-03-25'!A:D,4,FALSE)</f>
        <v>50</v>
      </c>
      <c r="G61" t="s">
        <v>45</v>
      </c>
      <c r="H61" s="22">
        <f>+VLOOKUP(C61,'[1]stock au 25-03-25'!A:F,6,FALSE)</f>
        <v>15.81</v>
      </c>
      <c r="I61" t="s">
        <v>46</v>
      </c>
      <c r="J61" s="56">
        <f>+VLOOKUP(C61,'[1]stock au 25-03-25'!A:H,8,FALSE)</f>
        <v>790.5</v>
      </c>
      <c r="K61" t="s">
        <v>46</v>
      </c>
      <c r="L61" s="23">
        <v>19.2</v>
      </c>
      <c r="M61" t="s">
        <v>46</v>
      </c>
      <c r="N61" s="56">
        <f>+VLOOKUP(C61,'[1]stock au 25-03-25'!A:L,12,FALSE)</f>
        <v>960</v>
      </c>
      <c r="P61" s="57">
        <v>15.81</v>
      </c>
      <c r="Q61" t="s">
        <v>46</v>
      </c>
      <c r="R61" s="25">
        <v>13.69</v>
      </c>
      <c r="T61" s="26">
        <v>13.690000000000001</v>
      </c>
      <c r="U61" s="58">
        <f t="shared" si="10"/>
        <v>1.2975579542733752E-16</v>
      </c>
      <c r="V61" s="10">
        <f>IFERROR(VLOOKUP(C61,'[2]INDICATEURS ACHATS - Matières P'!$C$2:$G$209999,5,0),0)</f>
        <v>40</v>
      </c>
      <c r="W61" s="60">
        <f t="shared" si="6"/>
        <v>547.6</v>
      </c>
      <c r="X61" s="28">
        <v>13.690000000000001</v>
      </c>
      <c r="Y61" s="59">
        <v>28.633650371551582</v>
      </c>
      <c r="Z61" s="60">
        <f t="shared" si="7"/>
        <v>391.99467358654118</v>
      </c>
      <c r="AA61" s="60">
        <f t="shared" si="0"/>
        <v>391.99467358654113</v>
      </c>
      <c r="AB61" s="60">
        <f t="shared" si="1"/>
        <v>0</v>
      </c>
      <c r="AC61" s="60">
        <f t="shared" si="8"/>
        <v>939.59467358654115</v>
      </c>
      <c r="AD61" s="61">
        <f>+VLOOKUP(C61,'[1]pic au 25-03'!C:R,16,FALSE)</f>
        <v>72.274055371551583</v>
      </c>
      <c r="AE61" s="31" t="s">
        <v>45</v>
      </c>
      <c r="AF61" s="62">
        <v>1142.6528154242308</v>
      </c>
      <c r="AG61" s="31" t="s">
        <v>46</v>
      </c>
      <c r="AH61" s="62">
        <v>1387.6618631337906</v>
      </c>
      <c r="AI61" s="31"/>
      <c r="AJ61" s="28">
        <f t="shared" si="9"/>
        <v>939.59467358654126</v>
      </c>
      <c r="AK61" s="21">
        <f>+VLOOKUP(C61,'[1]stock au 25-03-25'!A:X,24,FALSE)</f>
        <v>3.6404049999999999</v>
      </c>
      <c r="AL61" t="s">
        <v>45</v>
      </c>
      <c r="AM61" s="21">
        <f t="shared" si="11"/>
        <v>68.633650371551582</v>
      </c>
      <c r="AN61" t="s">
        <v>45</v>
      </c>
      <c r="AO61" s="63">
        <v>1016.7819114842308</v>
      </c>
      <c r="AP61" s="64">
        <f t="shared" si="12"/>
        <v>939.59467358654115</v>
      </c>
      <c r="AQ61" t="s">
        <v>46</v>
      </c>
      <c r="AR61" s="36">
        <f>(AP61-AO61)/AO61</f>
        <v>-7.591326815109925E-2</v>
      </c>
      <c r="AS61" s="81"/>
      <c r="AT61" s="81">
        <f>(AO61-J61)/J61</f>
        <v>0.28625162743103205</v>
      </c>
      <c r="AU61" s="81"/>
      <c r="AV61" s="66">
        <f>(AP61-J61)/J61</f>
        <v>0.18860806272807229</v>
      </c>
      <c r="BB61" s="56">
        <f>+R61*F61</f>
        <v>684.5</v>
      </c>
    </row>
    <row r="62" spans="1:54" ht="18.75" outlineLevel="1" x14ac:dyDescent="0.3">
      <c r="A62">
        <v>2</v>
      </c>
      <c r="B62" t="s">
        <v>58</v>
      </c>
      <c r="C62">
        <v>339884</v>
      </c>
      <c r="D62" t="s">
        <v>110</v>
      </c>
      <c r="E62" t="s">
        <v>62</v>
      </c>
      <c r="F62" s="21">
        <f>+VLOOKUP(C62,'[1]stock au 25-03-25'!A:D,4,FALSE)</f>
        <v>440</v>
      </c>
      <c r="G62" t="s">
        <v>45</v>
      </c>
      <c r="H62" s="22">
        <f>+VLOOKUP(C62,'[1]stock au 25-03-25'!A:F,6,FALSE)</f>
        <v>5.2799999999999994</v>
      </c>
      <c r="I62" t="s">
        <v>46</v>
      </c>
      <c r="J62" s="56">
        <f>+VLOOKUP(C62,'[1]stock au 25-03-25'!A:H,8,FALSE)</f>
        <v>2323.1999999999998</v>
      </c>
      <c r="K62" t="s">
        <v>46</v>
      </c>
      <c r="L62" s="23">
        <v>5.3</v>
      </c>
      <c r="M62" t="s">
        <v>46</v>
      </c>
      <c r="N62" s="56">
        <f>+VLOOKUP(C62,'[1]stock au 25-03-25'!A:L,12,FALSE)</f>
        <v>2332</v>
      </c>
      <c r="P62" s="57">
        <v>5.3</v>
      </c>
      <c r="Q62" t="s">
        <v>46</v>
      </c>
      <c r="R62" s="25">
        <f>H62*(1+VLOOKUP(A62,'[1]Variation MP'!$B$3:$D$22,3))</f>
        <v>5.2799999999999994</v>
      </c>
      <c r="T62" s="26">
        <v>5.28</v>
      </c>
      <c r="U62" s="58">
        <f t="shared" si="10"/>
        <v>1.6821560979169041E-16</v>
      </c>
      <c r="V62" s="10">
        <f>IFERROR(VLOOKUP(C62,'[2]INDICATEURS ACHATS - Matières P'!$C$2:$G$209999,5,0),0)</f>
        <v>50</v>
      </c>
      <c r="W62" s="60">
        <f t="shared" si="6"/>
        <v>264</v>
      </c>
      <c r="X62" s="28">
        <v>5.28</v>
      </c>
      <c r="Y62" s="59">
        <v>207.59304027985462</v>
      </c>
      <c r="Z62" s="60">
        <f t="shared" si="7"/>
        <v>1096.0912526776324</v>
      </c>
      <c r="AA62" s="60">
        <f t="shared" si="0"/>
        <v>1096.0912526776322</v>
      </c>
      <c r="AB62" s="60">
        <f t="shared" si="1"/>
        <v>0</v>
      </c>
      <c r="AC62" s="60">
        <f t="shared" si="8"/>
        <v>1360.0912526776324</v>
      </c>
      <c r="AD62" s="61">
        <f>+VLOOKUP(C62,'[1]pic au 25-03'!C:R,16,FALSE)</f>
        <v>301.59304027985462</v>
      </c>
      <c r="AE62" s="31" t="s">
        <v>45</v>
      </c>
      <c r="AF62" s="62">
        <v>1598.4431134832298</v>
      </c>
      <c r="AG62" s="31" t="s">
        <v>46</v>
      </c>
      <c r="AH62" s="62">
        <v>1598.4431134832298</v>
      </c>
      <c r="AI62" s="31"/>
      <c r="AJ62" s="28">
        <f t="shared" si="9"/>
        <v>1360.0912526776324</v>
      </c>
      <c r="AK62" s="21">
        <f>+VLOOKUP(C62,'[1]stock au 25-03-25'!A:X,24,FALSE)</f>
        <v>44</v>
      </c>
      <c r="AL62" t="s">
        <v>45</v>
      </c>
      <c r="AM62" s="21">
        <f t="shared" si="11"/>
        <v>257.59304027985462</v>
      </c>
      <c r="AN62" t="s">
        <v>45</v>
      </c>
      <c r="AO62" s="63">
        <v>1012.9565966776327</v>
      </c>
      <c r="AP62" s="64">
        <f t="shared" si="12"/>
        <v>1360.0912526776322</v>
      </c>
      <c r="AQ62" t="s">
        <v>46</v>
      </c>
      <c r="AR62" s="36">
        <f>(AP62-AO62)/AO62</f>
        <v>0.34269450155964876</v>
      </c>
      <c r="AS62" s="81"/>
      <c r="AT62" s="81">
        <f>(AO62-J62)/J62</f>
        <v>-0.56398218118214849</v>
      </c>
      <c r="AU62" s="81"/>
      <c r="AV62" s="66">
        <f>(AP62-J62)/J62</f>
        <v>-0.41456127209123955</v>
      </c>
      <c r="BB62" s="56">
        <f>+R62*F62</f>
        <v>2323.1999999999998</v>
      </c>
    </row>
    <row r="63" spans="1:54" ht="18.75" outlineLevel="1" x14ac:dyDescent="0.3">
      <c r="A63">
        <v>2</v>
      </c>
      <c r="B63" t="s">
        <v>58</v>
      </c>
      <c r="C63">
        <v>338208</v>
      </c>
      <c r="D63" t="s">
        <v>111</v>
      </c>
      <c r="E63" t="s">
        <v>62</v>
      </c>
      <c r="F63" s="21">
        <f>+VLOOKUP(C63,'[1]stock au 25-03-25'!A:D,4,FALSE)</f>
        <v>20</v>
      </c>
      <c r="G63" t="s">
        <v>45</v>
      </c>
      <c r="H63" s="22">
        <f>+VLOOKUP(C63,'[1]stock au 25-03-25'!A:F,6,FALSE)</f>
        <v>72.7</v>
      </c>
      <c r="I63" t="s">
        <v>46</v>
      </c>
      <c r="J63" s="56">
        <f>+VLOOKUP(C63,'[1]stock au 25-03-25'!A:H,8,FALSE)</f>
        <v>1454</v>
      </c>
      <c r="K63" t="s">
        <v>46</v>
      </c>
      <c r="L63" s="23">
        <v>74.5</v>
      </c>
      <c r="M63" t="s">
        <v>46</v>
      </c>
      <c r="N63" s="56">
        <f>+VLOOKUP(C63,'[1]stock au 25-03-25'!A:L,12,FALSE)</f>
        <v>1490</v>
      </c>
      <c r="P63" s="57">
        <v>73</v>
      </c>
      <c r="Q63" t="s">
        <v>46</v>
      </c>
      <c r="R63" s="25">
        <f>H63*(1+VLOOKUP(A63,'[1]Variation MP'!$B$3:$D$22,3))</f>
        <v>72.7</v>
      </c>
      <c r="T63" s="26">
        <v>72.7</v>
      </c>
      <c r="U63" s="58">
        <f t="shared" si="10"/>
        <v>0</v>
      </c>
      <c r="V63" s="10">
        <f>IFERROR(VLOOKUP(C63,'[2]INDICATEURS ACHATS - Matières P'!$C$2:$G$209999,5,0),0)</f>
        <v>10</v>
      </c>
      <c r="W63" s="60">
        <f t="shared" si="6"/>
        <v>727</v>
      </c>
      <c r="X63" s="28">
        <v>72.7</v>
      </c>
      <c r="Y63" s="59">
        <v>4.7053225819547819</v>
      </c>
      <c r="Z63" s="60">
        <f t="shared" si="7"/>
        <v>342.07695170811263</v>
      </c>
      <c r="AA63" s="60">
        <f t="shared" si="0"/>
        <v>342.07695170811263</v>
      </c>
      <c r="AB63" s="60">
        <f t="shared" si="1"/>
        <v>0</v>
      </c>
      <c r="AC63" s="60">
        <f t="shared" si="8"/>
        <v>1069.0769517081126</v>
      </c>
      <c r="AD63" s="61">
        <f>+VLOOKUP(C63,'[1]pic au 25-03'!C:R,16,FALSE)</f>
        <v>17.592923581954782</v>
      </c>
      <c r="AE63" s="31" t="s">
        <v>45</v>
      </c>
      <c r="AF63" s="62">
        <v>1284.2834214826992</v>
      </c>
      <c r="AG63" s="31" t="s">
        <v>46</v>
      </c>
      <c r="AH63" s="62">
        <v>1310.6728068556313</v>
      </c>
      <c r="AI63" s="31"/>
      <c r="AJ63" s="28">
        <f t="shared" si="9"/>
        <v>1069.0769517081126</v>
      </c>
      <c r="AK63" s="21">
        <f>+VLOOKUP(C63,'[1]stock au 25-03-25'!A:X,24,FALSE)</f>
        <v>2.8876010000000001</v>
      </c>
      <c r="AL63" t="s">
        <v>45</v>
      </c>
      <c r="AM63" s="21">
        <f t="shared" si="11"/>
        <v>14.705322581954782</v>
      </c>
      <c r="AN63" t="s">
        <v>45</v>
      </c>
      <c r="AO63" s="63">
        <v>996.74597690811277</v>
      </c>
      <c r="AP63" s="64">
        <f t="shared" si="12"/>
        <v>1069.0769517081126</v>
      </c>
      <c r="AQ63" t="s">
        <v>46</v>
      </c>
      <c r="AR63" s="36">
        <f>(AP63-AO63)/AO63</f>
        <v>7.2567109851167017E-2</v>
      </c>
      <c r="AS63" s="81"/>
      <c r="AT63" s="81">
        <f>(AO63-J63)/J63</f>
        <v>-0.31448007090226082</v>
      </c>
      <c r="AU63" s="81"/>
      <c r="AV63" s="66">
        <f>(AP63-J63)/J63</f>
        <v>-0.26473387090226097</v>
      </c>
      <c r="BB63" s="56">
        <f>+R63*F63</f>
        <v>1454</v>
      </c>
    </row>
    <row r="64" spans="1:54" ht="18.75" outlineLevel="1" x14ac:dyDescent="0.3">
      <c r="A64">
        <v>2</v>
      </c>
      <c r="B64" t="s">
        <v>58</v>
      </c>
      <c r="C64">
        <v>340997</v>
      </c>
      <c r="D64" t="s">
        <v>112</v>
      </c>
      <c r="E64" t="s">
        <v>87</v>
      </c>
      <c r="F64" s="21">
        <f>+VLOOKUP(C64,'[1]stock au 25-03-25'!A:D,4,FALSE)</f>
        <v>225</v>
      </c>
      <c r="G64" t="s">
        <v>45</v>
      </c>
      <c r="H64" s="22">
        <f>+VLOOKUP(C64,'[1]stock au 25-03-25'!A:F,6,FALSE)</f>
        <v>4.5811111111111114</v>
      </c>
      <c r="I64" t="s">
        <v>46</v>
      </c>
      <c r="J64" s="56">
        <f>+VLOOKUP(C64,'[1]stock au 25-03-25'!A:H,8,FALSE)</f>
        <v>1030.75</v>
      </c>
      <c r="K64" t="s">
        <v>46</v>
      </c>
      <c r="L64" s="23">
        <v>4.3099999999999996</v>
      </c>
      <c r="M64" t="s">
        <v>46</v>
      </c>
      <c r="N64" s="56">
        <f>+VLOOKUP(C64,'[1]stock au 25-03-25'!A:L,12,FALSE)</f>
        <v>969.74999999999989</v>
      </c>
      <c r="Q64" t="s">
        <v>46</v>
      </c>
      <c r="R64" s="25">
        <f>H64*(1+VLOOKUP(A64,'[1]Variation MP'!$B$3:$D$22,3))</f>
        <v>4.5811111111111114</v>
      </c>
      <c r="T64" s="26">
        <v>4.76</v>
      </c>
      <c r="U64" s="58">
        <f t="shared" si="10"/>
        <v>3.9049235993208725E-2</v>
      </c>
      <c r="V64" s="10">
        <f>IFERROR(VLOOKUP(C64,'[2]INDICATEURS ACHATS - Matières P'!$C$2:$G$209999,5,0),0)</f>
        <v>100</v>
      </c>
      <c r="W64" s="60">
        <f t="shared" si="6"/>
        <v>476</v>
      </c>
      <c r="X64" s="28">
        <v>4.76</v>
      </c>
      <c r="Y64" s="59">
        <v>30.785421888888919</v>
      </c>
      <c r="Z64" s="60">
        <f t="shared" si="7"/>
        <v>146.53860819111125</v>
      </c>
      <c r="AA64" s="60">
        <f t="shared" si="0"/>
        <v>141.03143827543224</v>
      </c>
      <c r="AB64" s="60">
        <f t="shared" si="1"/>
        <v>5.5071699156790146</v>
      </c>
      <c r="AC64" s="60">
        <f t="shared" si="8"/>
        <v>622.53860819111128</v>
      </c>
      <c r="AD64" s="61">
        <f>+VLOOKUP(C64,'[1]pic au 25-03'!C:R,16,FALSE)</f>
        <v>231.48638688888892</v>
      </c>
      <c r="AE64" s="31" t="s">
        <v>45</v>
      </c>
      <c r="AF64" s="62"/>
      <c r="AG64" s="31" t="s">
        <v>46</v>
      </c>
      <c r="AH64" s="62">
        <v>997.70632749111098</v>
      </c>
      <c r="AI64" s="31"/>
      <c r="AJ64" s="28">
        <f t="shared" si="9"/>
        <v>622.53860819111128</v>
      </c>
      <c r="AK64" s="21">
        <f>+VLOOKUP(C64,'[1]stock au 25-03-25'!A:X,24,FALSE)</f>
        <v>100.700965</v>
      </c>
      <c r="AL64" t="s">
        <v>45</v>
      </c>
      <c r="AM64" s="21">
        <f t="shared" si="11"/>
        <v>130.78542188888892</v>
      </c>
      <c r="AN64" t="s">
        <v>45</v>
      </c>
      <c r="AO64" s="63">
        <v>964.98455341088879</v>
      </c>
      <c r="AP64" s="64">
        <f t="shared" si="12"/>
        <v>599.14254938654335</v>
      </c>
      <c r="AQ64" t="s">
        <v>46</v>
      </c>
      <c r="AR64" s="36">
        <f>(AP64-AO64)/AO64</f>
        <v>-0.37911695345922342</v>
      </c>
      <c r="AS64" s="81"/>
      <c r="AT64" s="81">
        <f>(AO64-J64)/J64</f>
        <v>-6.3803489293340968E-2</v>
      </c>
      <c r="AU64" s="81"/>
      <c r="AV64" s="66">
        <f>(AP64-J64)/J64</f>
        <v>-0.4187314582716048</v>
      </c>
      <c r="BB64" s="56">
        <f>+R64*F64</f>
        <v>1030.75</v>
      </c>
    </row>
    <row r="65" spans="1:54" ht="18.75" outlineLevel="1" x14ac:dyDescent="0.3">
      <c r="A65">
        <v>2</v>
      </c>
      <c r="B65" t="s">
        <v>58</v>
      </c>
      <c r="C65">
        <v>340368</v>
      </c>
      <c r="D65" t="s">
        <v>113</v>
      </c>
      <c r="E65" t="s">
        <v>62</v>
      </c>
      <c r="F65" s="21">
        <f>+VLOOKUP(C65,'[1]stock au 25-03-25'!A:D,4,FALSE)</f>
        <v>75</v>
      </c>
      <c r="G65" t="s">
        <v>45</v>
      </c>
      <c r="H65" s="22">
        <f>+VLOOKUP(C65,'[1]stock au 25-03-25'!A:F,6,FALSE)</f>
        <v>4.41</v>
      </c>
      <c r="I65" t="s">
        <v>46</v>
      </c>
      <c r="J65" s="56">
        <f>+VLOOKUP(C65,'[1]stock au 25-03-25'!A:H,8,FALSE)</f>
        <v>330.75</v>
      </c>
      <c r="K65" t="s">
        <v>46</v>
      </c>
      <c r="L65" s="23">
        <v>4.45</v>
      </c>
      <c r="M65" t="s">
        <v>46</v>
      </c>
      <c r="N65" s="56">
        <f>+VLOOKUP(C65,'[1]stock au 25-03-25'!A:L,12,FALSE)</f>
        <v>333.75</v>
      </c>
      <c r="P65" s="57">
        <v>2.059685</v>
      </c>
      <c r="Q65" t="s">
        <v>46</v>
      </c>
      <c r="R65" s="25">
        <f>H65*(1+VLOOKUP(A65,'[1]Variation MP'!$B$3:$D$22,3))</f>
        <v>4.41</v>
      </c>
      <c r="T65" s="26">
        <v>4.41</v>
      </c>
      <c r="U65" s="58">
        <f t="shared" si="10"/>
        <v>0</v>
      </c>
      <c r="V65" s="10">
        <f>IFERROR(VLOOKUP(C65,'[2]INDICATEURS ACHATS - Matières P'!$C$2:$G$209999,5,0),0)</f>
        <v>125</v>
      </c>
      <c r="W65" s="60">
        <f t="shared" si="6"/>
        <v>551.25</v>
      </c>
      <c r="X65" s="28">
        <v>4.41</v>
      </c>
      <c r="Y65" s="59">
        <v>45.853155215686314</v>
      </c>
      <c r="Z65" s="60">
        <f t="shared" si="7"/>
        <v>202.21241450117665</v>
      </c>
      <c r="AA65" s="60">
        <f t="shared" si="0"/>
        <v>202.21241450117665</v>
      </c>
      <c r="AB65" s="60">
        <f t="shared" si="1"/>
        <v>0</v>
      </c>
      <c r="AC65" s="60">
        <f t="shared" si="8"/>
        <v>753.46241450117668</v>
      </c>
      <c r="AD65" s="61">
        <f>+VLOOKUP(C65,'[1]pic au 25-03'!C:R,16,FALSE)</f>
        <v>206.87853921568632</v>
      </c>
      <c r="AE65" s="31" t="s">
        <v>45</v>
      </c>
      <c r="AF65" s="62">
        <v>426.10462404446082</v>
      </c>
      <c r="AG65" s="31" t="s">
        <v>46</v>
      </c>
      <c r="AH65" s="62">
        <v>920.60949950980398</v>
      </c>
      <c r="AI65" s="31"/>
      <c r="AJ65" s="28">
        <f t="shared" si="9"/>
        <v>753.46241450117668</v>
      </c>
      <c r="AK65" s="21">
        <f>+VLOOKUP(C65,'[1]stock au 25-03-25'!A:X,24,FALSE)</f>
        <v>36.025384000000003</v>
      </c>
      <c r="AL65" t="s">
        <v>45</v>
      </c>
      <c r="AM65" s="21">
        <f t="shared" si="11"/>
        <v>170.85315521568631</v>
      </c>
      <c r="AN65" t="s">
        <v>45</v>
      </c>
      <c r="AO65" s="63">
        <v>841.76384450117655</v>
      </c>
      <c r="AP65" s="64">
        <f t="shared" si="12"/>
        <v>753.46241450117668</v>
      </c>
      <c r="AQ65" t="s">
        <v>46</v>
      </c>
      <c r="AR65" s="36">
        <f>(AP65-AO65)/AO65</f>
        <v>-0.10490047841425963</v>
      </c>
      <c r="AS65" s="81"/>
      <c r="AT65" s="81">
        <f>(AO65-J65)/J65</f>
        <v>1.5450154028758172</v>
      </c>
      <c r="AU65" s="81"/>
      <c r="AV65" s="66">
        <f>(AP65-J65)/J65</f>
        <v>1.2780420695424843</v>
      </c>
      <c r="BB65" s="56">
        <f>+R65*F65</f>
        <v>330.75</v>
      </c>
    </row>
    <row r="66" spans="1:54" ht="18.75" outlineLevel="1" x14ac:dyDescent="0.3">
      <c r="A66">
        <v>2</v>
      </c>
      <c r="B66" t="s">
        <v>58</v>
      </c>
      <c r="C66">
        <v>343918</v>
      </c>
      <c r="D66" t="s">
        <v>114</v>
      </c>
      <c r="E66" t="s">
        <v>62</v>
      </c>
      <c r="F66" s="21">
        <f>+VLOOKUP(C66,'[1]stock au 25-03-25'!A:D,4,FALSE)</f>
        <v>75</v>
      </c>
      <c r="G66" t="s">
        <v>45</v>
      </c>
      <c r="H66" s="22">
        <f>+VLOOKUP(C66,'[1]stock au 25-03-25'!A:F,6,FALSE)</f>
        <v>15.8</v>
      </c>
      <c r="I66" t="s">
        <v>46</v>
      </c>
      <c r="J66" s="56">
        <f>+VLOOKUP(C66,'[1]stock au 25-03-25'!A:H,8,FALSE)</f>
        <v>1185</v>
      </c>
      <c r="K66" t="s">
        <v>46</v>
      </c>
      <c r="L66" s="23">
        <v>15.8</v>
      </c>
      <c r="M66" t="s">
        <v>46</v>
      </c>
      <c r="N66" s="56">
        <f>+VLOOKUP(C66,'[1]stock au 25-03-25'!A:L,12,FALSE)</f>
        <v>1185</v>
      </c>
      <c r="Q66" t="s">
        <v>46</v>
      </c>
      <c r="R66" s="25">
        <f>H66*(1+VLOOKUP(A66,'[1]Variation MP'!$B$3:$D$22,3))</f>
        <v>15.8</v>
      </c>
      <c r="T66" s="26">
        <v>15.8</v>
      </c>
      <c r="U66" s="58">
        <f t="shared" si="10"/>
        <v>0</v>
      </c>
      <c r="V66" s="10">
        <f>IFERROR(VLOOKUP(C66,'[2]INDICATEURS ACHATS - Matières P'!$C$2:$G$209999,5,0),0)</f>
        <v>30</v>
      </c>
      <c r="W66" s="60">
        <f t="shared" si="6"/>
        <v>474</v>
      </c>
      <c r="X66" s="28">
        <v>15.8</v>
      </c>
      <c r="Y66" s="59">
        <v>20.493671538461541</v>
      </c>
      <c r="Z66" s="60">
        <f t="shared" si="7"/>
        <v>323.80001030769239</v>
      </c>
      <c r="AA66" s="60">
        <f t="shared" si="0"/>
        <v>323.80001030769239</v>
      </c>
      <c r="AB66" s="60">
        <f t="shared" si="1"/>
        <v>0</v>
      </c>
      <c r="AC66" s="60">
        <f t="shared" si="8"/>
        <v>797.80001030769245</v>
      </c>
      <c r="AD66" s="61">
        <f>+VLOOKUP(C66,'[1]pic au 25-03'!C:R,16,FALSE)</f>
        <v>59.58497653846154</v>
      </c>
      <c r="AE66" s="31" t="s">
        <v>45</v>
      </c>
      <c r="AF66" s="62"/>
      <c r="AG66" s="31" t="s">
        <v>46</v>
      </c>
      <c r="AH66" s="62">
        <v>941.44262930769241</v>
      </c>
      <c r="AI66" s="31"/>
      <c r="AJ66" s="28">
        <f t="shared" si="9"/>
        <v>797.80001030769233</v>
      </c>
      <c r="AK66" s="21">
        <f>+VLOOKUP(C66,'[1]stock au 25-03-25'!A:X,24,FALSE)</f>
        <v>9.0913050000000002</v>
      </c>
      <c r="AL66" t="s">
        <v>45</v>
      </c>
      <c r="AM66" s="21">
        <f t="shared" si="11"/>
        <v>50.493671538461541</v>
      </c>
      <c r="AN66" t="s">
        <v>45</v>
      </c>
      <c r="AO66" s="63">
        <v>797.80001030769233</v>
      </c>
      <c r="AP66" s="64">
        <f t="shared" si="12"/>
        <v>797.80001030769233</v>
      </c>
      <c r="AQ66" t="s">
        <v>46</v>
      </c>
      <c r="AR66" s="36">
        <f>(AP66-AO66)/AO66</f>
        <v>0</v>
      </c>
      <c r="AS66" s="81"/>
      <c r="AT66" s="81">
        <f>(AO66-J66)/J66</f>
        <v>-0.32675104615384615</v>
      </c>
      <c r="AU66" s="81"/>
      <c r="AV66" s="66">
        <f>(AP66-J66)/J66</f>
        <v>-0.32675104615384615</v>
      </c>
      <c r="BB66" s="56">
        <f>+R66*F66</f>
        <v>1185</v>
      </c>
    </row>
    <row r="67" spans="1:54" ht="18.75" outlineLevel="1" x14ac:dyDescent="0.3">
      <c r="A67">
        <v>2</v>
      </c>
      <c r="B67" t="s">
        <v>58</v>
      </c>
      <c r="C67">
        <v>340998</v>
      </c>
      <c r="D67" t="s">
        <v>115</v>
      </c>
      <c r="E67" t="s">
        <v>87</v>
      </c>
      <c r="F67" s="21">
        <f>+VLOOKUP(C67,'[1]stock au 25-03-25'!A:D,4,FALSE)</f>
        <v>98</v>
      </c>
      <c r="G67" t="s">
        <v>45</v>
      </c>
      <c r="H67" s="22">
        <f>+VLOOKUP(C67,'[1]stock au 25-03-25'!A:F,6,FALSE)</f>
        <v>4.6183673469387756</v>
      </c>
      <c r="I67" t="s">
        <v>46</v>
      </c>
      <c r="J67" s="56">
        <f>+VLOOKUP(C67,'[1]stock au 25-03-25'!A:H,8,FALSE)</f>
        <v>452.6</v>
      </c>
      <c r="K67" t="s">
        <v>46</v>
      </c>
      <c r="L67" s="23">
        <v>4.95</v>
      </c>
      <c r="M67" t="s">
        <v>46</v>
      </c>
      <c r="N67" s="56">
        <f>+VLOOKUP(C67,'[1]stock au 25-03-25'!A:L,12,FALSE)</f>
        <v>485.1</v>
      </c>
      <c r="Q67" t="s">
        <v>46</v>
      </c>
      <c r="R67" s="25">
        <f>H67*(1+VLOOKUP(A67,'[1]Variation MP'!$B$3:$D$22,3))</f>
        <v>4.6183673469387756</v>
      </c>
      <c r="T67" s="26">
        <v>4.4000000000000004</v>
      </c>
      <c r="U67" s="58">
        <f t="shared" si="10"/>
        <v>-4.7282368537339754E-2</v>
      </c>
      <c r="V67" s="10">
        <f>IFERROR(VLOOKUP(C67,'[2]INDICATEURS ACHATS - Matières P'!$C$2:$G$209999,5,0),0)</f>
        <v>50</v>
      </c>
      <c r="W67" s="60">
        <f t="shared" si="6"/>
        <v>220.00000000000003</v>
      </c>
      <c r="X67" s="28">
        <v>4.4000000000000004</v>
      </c>
      <c r="Y67" s="59">
        <v>58.537394055555509</v>
      </c>
      <c r="Z67" s="60">
        <f t="shared" si="7"/>
        <v>257.56453384444427</v>
      </c>
      <c r="AA67" s="60">
        <f t="shared" si="0"/>
        <v>270.34718928106554</v>
      </c>
      <c r="AB67" s="60">
        <f t="shared" si="1"/>
        <v>-12.782655436621269</v>
      </c>
      <c r="AC67" s="60">
        <f t="shared" si="8"/>
        <v>477.56453384444433</v>
      </c>
      <c r="AD67" s="61">
        <f>+VLOOKUP(C67,'[1]pic au 25-03'!C:R,16,FALSE)</f>
        <v>180.28516805555552</v>
      </c>
      <c r="AE67" s="31" t="s">
        <v>45</v>
      </c>
      <c r="AF67" s="62"/>
      <c r="AG67" s="31" t="s">
        <v>46</v>
      </c>
      <c r="AH67" s="62">
        <v>892.41158187500002</v>
      </c>
      <c r="AI67" s="31"/>
      <c r="AJ67" s="28">
        <f t="shared" si="9"/>
        <v>477.56453384444427</v>
      </c>
      <c r="AK67" s="21">
        <f>+VLOOKUP(C67,'[1]stock au 25-03-25'!A:X,24,FALSE)</f>
        <v>71.747774000000007</v>
      </c>
      <c r="AL67" t="s">
        <v>45</v>
      </c>
      <c r="AM67" s="21">
        <f t="shared" si="11"/>
        <v>108.53739405555551</v>
      </c>
      <c r="AN67" t="s">
        <v>45</v>
      </c>
      <c r="AO67" s="63">
        <v>752.28161112499993</v>
      </c>
      <c r="AP67" s="64">
        <f t="shared" si="12"/>
        <v>501.26555662800433</v>
      </c>
      <c r="AQ67" t="s">
        <v>46</v>
      </c>
      <c r="AR67" s="36">
        <f>(AP67-AO67)/AO67</f>
        <v>-0.33367298998790296</v>
      </c>
      <c r="AS67" s="81"/>
      <c r="AT67" s="81">
        <f>(AO67-J67)/J67</f>
        <v>0.66213347575121495</v>
      </c>
      <c r="AU67" s="81"/>
      <c r="AV67" s="66">
        <f>(AP67-J67)/J67</f>
        <v>0.1075244291383215</v>
      </c>
      <c r="BB67" s="56">
        <f>+R67*F67</f>
        <v>452.6</v>
      </c>
    </row>
    <row r="68" spans="1:54" ht="18.75" outlineLevel="1" x14ac:dyDescent="0.3">
      <c r="A68">
        <v>2</v>
      </c>
      <c r="B68" t="s">
        <v>58</v>
      </c>
      <c r="C68">
        <v>338187</v>
      </c>
      <c r="D68" t="s">
        <v>116</v>
      </c>
      <c r="E68" t="s">
        <v>62</v>
      </c>
      <c r="F68" s="21">
        <f>+VLOOKUP(C68,'[1]stock au 25-03-25'!A:D,4,FALSE)</f>
        <v>80</v>
      </c>
      <c r="G68" t="s">
        <v>45</v>
      </c>
      <c r="H68" s="22">
        <f>+VLOOKUP(C68,'[1]stock au 25-03-25'!A:F,6,FALSE)</f>
        <v>7.6440000000000001</v>
      </c>
      <c r="I68" t="s">
        <v>46</v>
      </c>
      <c r="J68" s="56">
        <f>+VLOOKUP(C68,'[1]stock au 25-03-25'!A:H,8,FALSE)</f>
        <v>611.52</v>
      </c>
      <c r="K68" t="s">
        <v>46</v>
      </c>
      <c r="L68" s="23">
        <v>7.61</v>
      </c>
      <c r="M68" t="s">
        <v>46</v>
      </c>
      <c r="N68" s="56">
        <f>+VLOOKUP(C68,'[1]stock au 25-03-25'!A:L,12,FALSE)</f>
        <v>608.80000000000007</v>
      </c>
      <c r="P68" s="57">
        <v>7.61</v>
      </c>
      <c r="Q68" t="s">
        <v>46</v>
      </c>
      <c r="R68" s="25">
        <v>7.56</v>
      </c>
      <c r="T68" s="26">
        <v>18.04111111111111</v>
      </c>
      <c r="U68" s="58">
        <f t="shared" si="10"/>
        <v>1.386390358612581</v>
      </c>
      <c r="V68" s="10">
        <f>IFERROR(VLOOKUP(C68,'[2]INDICATEURS ACHATS - Matières P'!$C$2:$G$209999,5,0),0)</f>
        <v>81</v>
      </c>
      <c r="W68" s="60">
        <f t="shared" si="6"/>
        <v>1461.33</v>
      </c>
      <c r="X68" s="28">
        <v>60.48</v>
      </c>
      <c r="Y68" s="59">
        <v>4.9999852551063517</v>
      </c>
      <c r="Z68" s="60">
        <f t="shared" si="7"/>
        <v>302.39910822883212</v>
      </c>
      <c r="AA68" s="60">
        <f t="shared" ref="AA68:AA131" si="13">SUM(Y68*R68)</f>
        <v>37.799888528604015</v>
      </c>
      <c r="AB68" s="60">
        <f t="shared" ref="AB68:AB131" si="14">Z68-AA68</f>
        <v>264.5992197002281</v>
      </c>
      <c r="AC68" s="60">
        <f t="shared" si="8"/>
        <v>1763.729108228832</v>
      </c>
      <c r="AD68" s="61">
        <f>+VLOOKUP(C68,'[1]pic au 25-03'!C:R,16,FALSE)</f>
        <v>87.726514255106352</v>
      </c>
      <c r="AE68" s="31" t="s">
        <v>45</v>
      </c>
      <c r="AF68" s="62">
        <v>667.59877348135944</v>
      </c>
      <c r="AG68" s="31" t="s">
        <v>46</v>
      </c>
      <c r="AH68" s="62">
        <v>667.59877348135944</v>
      </c>
      <c r="AI68" s="31"/>
      <c r="AJ68" s="28">
        <f t="shared" si="9"/>
        <v>5201.2791082288322</v>
      </c>
      <c r="AK68" s="21">
        <f>+VLOOKUP(C68,'[1]stock au 25-03-25'!A:X,24,FALSE)</f>
        <v>1.726529</v>
      </c>
      <c r="AL68" t="s">
        <v>45</v>
      </c>
      <c r="AM68" s="21">
        <f t="shared" si="11"/>
        <v>85.999985255106353</v>
      </c>
      <c r="AN68" t="s">
        <v>45</v>
      </c>
      <c r="AO68" s="63">
        <v>627.50739737403308</v>
      </c>
      <c r="AP68" s="64">
        <f t="shared" si="12"/>
        <v>650.15988852860403</v>
      </c>
      <c r="AQ68" t="s">
        <v>46</v>
      </c>
      <c r="AR68" s="36">
        <f>(AP68-AO68)/AO68</f>
        <v>3.6099161937159875E-2</v>
      </c>
      <c r="AS68" s="81"/>
      <c r="AT68" s="81">
        <f>(AO68-J68)/J68</f>
        <v>2.614370318882963E-2</v>
      </c>
      <c r="AU68" s="81"/>
      <c r="AV68" s="66">
        <f>(AP68-J68)/J68</f>
        <v>6.3186630901040111E-2</v>
      </c>
      <c r="BB68" s="56">
        <f>+R68*F68</f>
        <v>604.79999999999995</v>
      </c>
    </row>
    <row r="69" spans="1:54" ht="18.75" outlineLevel="1" x14ac:dyDescent="0.3">
      <c r="A69">
        <v>2</v>
      </c>
      <c r="B69" t="s">
        <v>58</v>
      </c>
      <c r="C69">
        <v>338215</v>
      </c>
      <c r="D69" t="s">
        <v>117</v>
      </c>
      <c r="E69" t="s">
        <v>62</v>
      </c>
      <c r="F69" s="21">
        <f>+VLOOKUP(C69,'[1]stock au 25-03-25'!A:D,4,FALSE)</f>
        <v>100</v>
      </c>
      <c r="G69" t="s">
        <v>45</v>
      </c>
      <c r="H69" s="22">
        <f>+VLOOKUP(C69,'[1]stock au 25-03-25'!A:F,6,FALSE)</f>
        <v>6.11</v>
      </c>
      <c r="I69" t="s">
        <v>46</v>
      </c>
      <c r="J69" s="56">
        <f>+VLOOKUP(C69,'[1]stock au 25-03-25'!A:H,8,FALSE)</f>
        <v>611</v>
      </c>
      <c r="K69" t="s">
        <v>46</v>
      </c>
      <c r="L69" s="23">
        <v>13.8</v>
      </c>
      <c r="M69" t="s">
        <v>46</v>
      </c>
      <c r="N69" s="56">
        <f>+VLOOKUP(C69,'[1]stock au 25-03-25'!A:L,12,FALSE)</f>
        <v>1380</v>
      </c>
      <c r="P69" s="57">
        <v>6.12</v>
      </c>
      <c r="Q69" t="s">
        <v>46</v>
      </c>
      <c r="R69" s="25">
        <f>H69*(1+VLOOKUP(A69,'[1]Variation MP'!$B$3:$D$22,3))</f>
        <v>6.11</v>
      </c>
      <c r="T69" s="26">
        <v>6.11</v>
      </c>
      <c r="U69" s="58">
        <f t="shared" si="10"/>
        <v>0</v>
      </c>
      <c r="V69" s="10">
        <f>IFERROR(VLOOKUP(C69,'[2]INDICATEURS ACHATS - Matières P'!$C$2:$G$209999,5,0),0)</f>
        <v>20</v>
      </c>
      <c r="W69" s="60">
        <f t="shared" ref="W69:W132" si="15">IFERROR(V69*T69,0)</f>
        <v>122.2</v>
      </c>
      <c r="X69" s="28">
        <v>6.11</v>
      </c>
      <c r="Y69" s="59">
        <v>39.118517304347826</v>
      </c>
      <c r="Z69" s="60">
        <f t="shared" ref="Z69:Z132" si="16">Y69*X69</f>
        <v>239.01414072956524</v>
      </c>
      <c r="AA69" s="60">
        <f t="shared" si="13"/>
        <v>239.01414072956524</v>
      </c>
      <c r="AB69" s="60">
        <f t="shared" si="14"/>
        <v>0</v>
      </c>
      <c r="AC69" s="60">
        <f t="shared" ref="AC69:AC132" si="17">+W69+Z69</f>
        <v>361.21414072956526</v>
      </c>
      <c r="AD69" s="61">
        <f>+VLOOKUP(C69,'[1]pic au 25-03'!C:R,16,FALSE)</f>
        <v>71.958245304347827</v>
      </c>
      <c r="AE69" s="31" t="s">
        <v>45</v>
      </c>
      <c r="AF69" s="62">
        <v>440.38446126260868</v>
      </c>
      <c r="AG69" s="31" t="s">
        <v>46</v>
      </c>
      <c r="AH69" s="62">
        <v>993.02378520000002</v>
      </c>
      <c r="AI69" s="31"/>
      <c r="AJ69" s="28">
        <f t="shared" ref="AJ69:AJ132" si="18">X69*AM69</f>
        <v>361.21414072956526</v>
      </c>
      <c r="AK69" s="21">
        <f>+VLOOKUP(C69,'[1]stock au 25-03-25'!A:X,24,FALSE)</f>
        <v>12.839727999999999</v>
      </c>
      <c r="AL69" t="s">
        <v>45</v>
      </c>
      <c r="AM69" s="21">
        <f t="shared" si="11"/>
        <v>59.118517304347826</v>
      </c>
      <c r="AN69" t="s">
        <v>45</v>
      </c>
      <c r="AO69" s="63">
        <v>393.24089106956518</v>
      </c>
      <c r="AP69" s="64">
        <f t="shared" si="12"/>
        <v>361.21414072956526</v>
      </c>
      <c r="AQ69" t="s">
        <v>46</v>
      </c>
      <c r="AR69" s="36">
        <f>(AP69-AO69)/AO69</f>
        <v>-8.1443082515887999E-2</v>
      </c>
      <c r="AS69" s="81"/>
      <c r="AT69" s="81">
        <f>(AO69-J69)/J69</f>
        <v>-0.3563978869565218</v>
      </c>
      <c r="AU69" s="81"/>
      <c r="AV69" s="66">
        <f>(AP69-J69)/J69</f>
        <v>-0.40881482695652166</v>
      </c>
      <c r="BB69" s="56">
        <f>+R69*F69</f>
        <v>611</v>
      </c>
    </row>
    <row r="70" spans="1:54" ht="18.75" outlineLevel="1" x14ac:dyDescent="0.3">
      <c r="A70">
        <v>2</v>
      </c>
      <c r="B70" t="s">
        <v>58</v>
      </c>
      <c r="C70">
        <v>338480</v>
      </c>
      <c r="D70" t="s">
        <v>118</v>
      </c>
      <c r="E70" t="s">
        <v>62</v>
      </c>
      <c r="F70" s="21">
        <f>+VLOOKUP(C70,'[1]stock au 25-03-25'!A:D,4,FALSE)</f>
        <v>60</v>
      </c>
      <c r="G70" t="s">
        <v>45</v>
      </c>
      <c r="H70" s="22">
        <f>+VLOOKUP(C70,'[1]stock au 25-03-25'!A:F,6,FALSE)</f>
        <v>4.5699999999999994</v>
      </c>
      <c r="I70" t="s">
        <v>46</v>
      </c>
      <c r="J70" s="56">
        <f>+VLOOKUP(C70,'[1]stock au 25-03-25'!A:H,8,FALSE)</f>
        <v>274.2</v>
      </c>
      <c r="K70" t="s">
        <v>46</v>
      </c>
      <c r="L70" s="23">
        <v>4.5999999999999996</v>
      </c>
      <c r="M70" t="s">
        <v>46</v>
      </c>
      <c r="N70" s="56">
        <f>+VLOOKUP(C70,'[1]stock au 25-03-25'!A:L,12,FALSE)</f>
        <v>276</v>
      </c>
      <c r="Q70" t="s">
        <v>46</v>
      </c>
      <c r="R70" s="25">
        <v>5.05</v>
      </c>
      <c r="T70" s="26">
        <v>5.05</v>
      </c>
      <c r="U70" s="58">
        <f t="shared" si="10"/>
        <v>0</v>
      </c>
      <c r="V70" s="10">
        <f>IFERROR(VLOOKUP(C70,'[2]INDICATEURS ACHATS - Matières P'!$C$2:$G$209999,5,0),0)</f>
        <v>40</v>
      </c>
      <c r="W70" s="60">
        <f t="shared" si="15"/>
        <v>202</v>
      </c>
      <c r="X70" s="28">
        <v>5.05</v>
      </c>
      <c r="Y70" s="59">
        <v>12.162521837104059</v>
      </c>
      <c r="Z70" s="60">
        <f t="shared" si="16"/>
        <v>61.420735277375492</v>
      </c>
      <c r="AA70" s="60">
        <f t="shared" si="13"/>
        <v>61.420735277375492</v>
      </c>
      <c r="AB70" s="60">
        <f t="shared" si="14"/>
        <v>0</v>
      </c>
      <c r="AC70" s="60">
        <f t="shared" si="17"/>
        <v>263.42073527737551</v>
      </c>
      <c r="AD70" s="61">
        <f>+VLOOKUP(C70,'[1]pic au 25-03'!C:R,16,FALSE)</f>
        <v>82.153107837104059</v>
      </c>
      <c r="AE70" s="31" t="s">
        <v>45</v>
      </c>
      <c r="AF70" s="62"/>
      <c r="AG70" s="31" t="s">
        <v>46</v>
      </c>
      <c r="AH70" s="62">
        <v>377.90429605067868</v>
      </c>
      <c r="AI70" s="31"/>
      <c r="AJ70" s="28">
        <f t="shared" si="18"/>
        <v>263.42073527737551</v>
      </c>
      <c r="AK70" s="21">
        <f>+VLOOKUP(C70,'[1]stock au 25-03-25'!A:X,24,FALSE)</f>
        <v>29.990586</v>
      </c>
      <c r="AL70" t="s">
        <v>45</v>
      </c>
      <c r="AM70" s="21">
        <f t="shared" si="11"/>
        <v>52.162521837104059</v>
      </c>
      <c r="AN70" t="s">
        <v>45</v>
      </c>
      <c r="AO70" s="63">
        <v>322.29706479556563</v>
      </c>
      <c r="AP70" s="64">
        <f t="shared" si="12"/>
        <v>263.42073527737551</v>
      </c>
      <c r="AQ70" t="s">
        <v>46</v>
      </c>
      <c r="AR70" s="36">
        <f>(AP70-AO70)/AO70</f>
        <v>-0.18267721288599267</v>
      </c>
      <c r="AS70" s="81"/>
      <c r="AT70" s="81">
        <f>(AO70-J70)/J70</f>
        <v>0.175408697285068</v>
      </c>
      <c r="AU70" s="81"/>
      <c r="AV70" s="66">
        <f>(AP70-J70)/J70</f>
        <v>-3.9311687536923691E-2</v>
      </c>
      <c r="BB70" s="56">
        <f>+R70*F70</f>
        <v>303</v>
      </c>
    </row>
    <row r="71" spans="1:54" ht="18.75" outlineLevel="1" x14ac:dyDescent="0.3">
      <c r="A71">
        <v>2</v>
      </c>
      <c r="B71" t="s">
        <v>58</v>
      </c>
      <c r="C71">
        <v>338183</v>
      </c>
      <c r="D71" t="s">
        <v>119</v>
      </c>
      <c r="E71" t="s">
        <v>62</v>
      </c>
      <c r="F71" s="21">
        <f>+VLOOKUP(C71,'[1]stock au 25-03-25'!A:D,4,FALSE)</f>
        <v>35</v>
      </c>
      <c r="G71" t="s">
        <v>45</v>
      </c>
      <c r="H71" s="22">
        <f>+VLOOKUP(C71,'[1]stock au 25-03-25'!A:F,6,FALSE)</f>
        <v>5.46</v>
      </c>
      <c r="I71" t="s">
        <v>46</v>
      </c>
      <c r="J71" s="56">
        <f>+VLOOKUP(C71,'[1]stock au 25-03-25'!A:H,8,FALSE)</f>
        <v>191.1</v>
      </c>
      <c r="K71" t="s">
        <v>46</v>
      </c>
      <c r="L71" s="23">
        <v>5.57</v>
      </c>
      <c r="M71" t="s">
        <v>46</v>
      </c>
      <c r="N71" s="56">
        <f>+VLOOKUP(C71,'[1]stock au 25-03-25'!A:L,12,FALSE)</f>
        <v>194.95000000000002</v>
      </c>
      <c r="P71" s="57">
        <v>5.57</v>
      </c>
      <c r="Q71" t="s">
        <v>46</v>
      </c>
      <c r="R71" s="25">
        <f>H71*(1+VLOOKUP(A71,'[1]Variation MP'!$B$3:$D$22,3))</f>
        <v>5.46</v>
      </c>
      <c r="T71" s="26" t="s">
        <v>53</v>
      </c>
      <c r="U71" s="58" t="str">
        <f t="shared" si="10"/>
        <v/>
      </c>
      <c r="V71" s="10">
        <f>IFERROR(VLOOKUP(C71,'[2]INDICATEURS ACHATS - Matières P'!$C$2:$G$209999,5,0),0)</f>
        <v>0</v>
      </c>
      <c r="W71" s="60">
        <f t="shared" si="15"/>
        <v>0</v>
      </c>
      <c r="X71" s="28">
        <v>5.46</v>
      </c>
      <c r="Y71" s="59">
        <v>-3.3784429999999999</v>
      </c>
      <c r="Z71" s="60">
        <f t="shared" si="16"/>
        <v>-18.446298779999999</v>
      </c>
      <c r="AA71" s="60">
        <f t="shared" si="13"/>
        <v>-18.446298779999999</v>
      </c>
      <c r="AB71" s="60">
        <f t="shared" si="14"/>
        <v>0</v>
      </c>
      <c r="AC71" s="60">
        <f t="shared" si="17"/>
        <v>-18.446298779999999</v>
      </c>
      <c r="AD71" s="61">
        <v>0</v>
      </c>
      <c r="AE71" s="31" t="s">
        <v>45</v>
      </c>
      <c r="AF71" s="62">
        <v>259.17501241830064</v>
      </c>
      <c r="AG71" s="31" t="s">
        <v>46</v>
      </c>
      <c r="AH71" s="62">
        <v>259.17501241830064</v>
      </c>
      <c r="AI71" s="31"/>
      <c r="AJ71" s="28">
        <f t="shared" si="18"/>
        <v>-18.446298779999999</v>
      </c>
      <c r="AK71" s="21">
        <f>+VLOOKUP(C71,'[1]stock au 25-03-25'!A:X,24,FALSE)</f>
        <v>3.3784429999999999</v>
      </c>
      <c r="AL71" t="s">
        <v>45</v>
      </c>
      <c r="AM71" s="21">
        <f t="shared" si="11"/>
        <v>-3.3784429999999999</v>
      </c>
      <c r="AN71" t="s">
        <v>45</v>
      </c>
      <c r="AO71" s="63">
        <v>235.61035612196079</v>
      </c>
      <c r="AP71" s="64">
        <f t="shared" si="12"/>
        <v>0</v>
      </c>
      <c r="AQ71" t="s">
        <v>46</v>
      </c>
      <c r="AR71" s="36">
        <f>(AP71-AO71)/AO71</f>
        <v>-1</v>
      </c>
      <c r="AS71" s="81"/>
      <c r="AT71" s="81">
        <f>(AO71-J71)/J71</f>
        <v>0.23291656788048559</v>
      </c>
      <c r="AU71" s="81"/>
      <c r="AV71" s="66">
        <f>(AP71-J71)/J71</f>
        <v>-1</v>
      </c>
      <c r="BB71" s="56">
        <f>+R71*F71</f>
        <v>191.1</v>
      </c>
    </row>
    <row r="72" spans="1:54" ht="18.75" outlineLevel="1" x14ac:dyDescent="0.3">
      <c r="A72">
        <v>2</v>
      </c>
      <c r="B72" t="s">
        <v>58</v>
      </c>
      <c r="C72">
        <v>340362</v>
      </c>
      <c r="D72" t="s">
        <v>120</v>
      </c>
      <c r="E72" t="s">
        <v>62</v>
      </c>
      <c r="F72" s="21">
        <f>+VLOOKUP(C72,'[1]stock au 25-03-25'!A:D,4,FALSE)</f>
        <v>27</v>
      </c>
      <c r="G72" t="s">
        <v>45</v>
      </c>
      <c r="H72" s="22">
        <f>+VLOOKUP(C72,'[1]stock au 25-03-25'!A:F,6,FALSE)</f>
        <v>8.73</v>
      </c>
      <c r="I72" t="s">
        <v>46</v>
      </c>
      <c r="J72" s="56">
        <f>+VLOOKUP(C72,'[1]stock au 25-03-25'!A:H,8,FALSE)</f>
        <v>235.71</v>
      </c>
      <c r="K72" t="s">
        <v>46</v>
      </c>
      <c r="L72" s="23">
        <v>8.9</v>
      </c>
      <c r="M72" t="s">
        <v>46</v>
      </c>
      <c r="N72" s="56">
        <f>+VLOOKUP(C72,'[1]stock au 25-03-25'!A:L,12,FALSE)</f>
        <v>240.3</v>
      </c>
      <c r="P72" s="57">
        <v>8.8000000000000007</v>
      </c>
      <c r="Q72" t="s">
        <v>46</v>
      </c>
      <c r="R72" s="25">
        <f>H72*(1+VLOOKUP(A72,'[1]Variation MP'!$B$3:$D$22,3))</f>
        <v>8.73</v>
      </c>
      <c r="T72" s="26">
        <v>8.7299999999999986</v>
      </c>
      <c r="U72" s="58">
        <f t="shared" si="10"/>
        <v>-2.0347730119132307E-16</v>
      </c>
      <c r="V72" s="10">
        <f>IFERROR(VLOOKUP(C72,'[2]INDICATEURS ACHATS - Matières P'!$C$2:$G$209999,5,0),0)</f>
        <v>15</v>
      </c>
      <c r="W72" s="60">
        <f t="shared" si="15"/>
        <v>130.94999999999999</v>
      </c>
      <c r="X72" s="28">
        <v>8.73</v>
      </c>
      <c r="Y72" s="59">
        <v>11.356959151583709</v>
      </c>
      <c r="Z72" s="60">
        <f t="shared" si="16"/>
        <v>99.146253393325779</v>
      </c>
      <c r="AA72" s="60">
        <f t="shared" si="13"/>
        <v>99.146253393325779</v>
      </c>
      <c r="AB72" s="60">
        <f t="shared" si="14"/>
        <v>0</v>
      </c>
      <c r="AC72" s="60">
        <f t="shared" si="17"/>
        <v>230.09625339332575</v>
      </c>
      <c r="AD72" s="61">
        <f>+VLOOKUP(C72,'[1]pic au 25-03'!C:R,16,FALSE)</f>
        <v>28.288794151583708</v>
      </c>
      <c r="AE72" s="31" t="s">
        <v>45</v>
      </c>
      <c r="AF72" s="62">
        <v>252.20861831171445</v>
      </c>
      <c r="AG72" s="31" t="s">
        <v>46</v>
      </c>
      <c r="AH72" s="62">
        <v>255.07462533798392</v>
      </c>
      <c r="AI72" s="31"/>
      <c r="AJ72" s="28">
        <f t="shared" si="18"/>
        <v>230.09625339332578</v>
      </c>
      <c r="AK72" s="21">
        <f>+VLOOKUP(C72,'[1]stock au 25-03-25'!A:X,24,FALSE)</f>
        <v>1.931835</v>
      </c>
      <c r="AL72" t="s">
        <v>45</v>
      </c>
      <c r="AM72" s="21">
        <f t="shared" si="11"/>
        <v>26.356959151583709</v>
      </c>
      <c r="AN72" t="s">
        <v>45</v>
      </c>
      <c r="AO72" s="63">
        <v>208.56889498332578</v>
      </c>
      <c r="AP72" s="64">
        <f t="shared" si="12"/>
        <v>230.09625339332578</v>
      </c>
      <c r="AQ72" t="s">
        <v>46</v>
      </c>
      <c r="AR72" s="36">
        <f>(AP72-AO72)/AO72</f>
        <v>0.10321461602278244</v>
      </c>
      <c r="AS72" s="81"/>
      <c r="AT72" s="81">
        <f>(AO72-J72)/J72</f>
        <v>-0.11514617545574744</v>
      </c>
      <c r="AU72" s="81"/>
      <c r="AV72" s="66">
        <f>(AP72-J72)/J72</f>
        <v>-2.3816327719121913E-2</v>
      </c>
      <c r="BB72" s="56">
        <f>+R72*F72</f>
        <v>235.71</v>
      </c>
    </row>
    <row r="73" spans="1:54" ht="18.75" outlineLevel="1" x14ac:dyDescent="0.3">
      <c r="A73">
        <v>2</v>
      </c>
      <c r="B73" t="s">
        <v>58</v>
      </c>
      <c r="C73">
        <v>340381</v>
      </c>
      <c r="D73" t="s">
        <v>121</v>
      </c>
      <c r="E73" t="s">
        <v>62</v>
      </c>
      <c r="F73" s="21">
        <f>+VLOOKUP(C73,'[1]stock au 25-03-25'!A:D,4,FALSE)</f>
        <v>30</v>
      </c>
      <c r="G73" t="s">
        <v>45</v>
      </c>
      <c r="H73" s="22">
        <f>+VLOOKUP(C73,'[1]stock au 25-03-25'!A:F,6,FALSE)</f>
        <v>11.5</v>
      </c>
      <c r="I73" t="s">
        <v>46</v>
      </c>
      <c r="J73" s="56">
        <f>+VLOOKUP(C73,'[1]stock au 25-03-25'!A:H,8,FALSE)</f>
        <v>345</v>
      </c>
      <c r="K73" t="s">
        <v>46</v>
      </c>
      <c r="L73" s="23">
        <v>11.5</v>
      </c>
      <c r="M73" t="s">
        <v>46</v>
      </c>
      <c r="N73" s="56">
        <f>+VLOOKUP(C73,'[1]stock au 25-03-25'!A:L,12,FALSE)</f>
        <v>345</v>
      </c>
      <c r="P73" s="57">
        <v>11.5</v>
      </c>
      <c r="Q73" t="s">
        <v>46</v>
      </c>
      <c r="R73" s="25">
        <v>11.85</v>
      </c>
      <c r="T73" s="26">
        <v>8.5599999999999987</v>
      </c>
      <c r="U73" s="58">
        <f t="shared" si="10"/>
        <v>-0.27763713080168784</v>
      </c>
      <c r="V73" s="10">
        <f>IFERROR(VLOOKUP(C73,'[2]INDICATEURS ACHATS - Matières P'!$C$2:$G$209999,5,0),0)</f>
        <v>10</v>
      </c>
      <c r="W73" s="60">
        <f t="shared" si="15"/>
        <v>85.6</v>
      </c>
      <c r="X73" s="28">
        <v>8.56</v>
      </c>
      <c r="Y73" s="59">
        <v>4.970035624284078</v>
      </c>
      <c r="Z73" s="60">
        <f t="shared" si="16"/>
        <v>42.54350494387171</v>
      </c>
      <c r="AA73" s="60">
        <f t="shared" si="13"/>
        <v>58.894922147766323</v>
      </c>
      <c r="AB73" s="60">
        <f t="shared" si="14"/>
        <v>-16.351417203894613</v>
      </c>
      <c r="AC73" s="60">
        <f t="shared" si="17"/>
        <v>128.1435049438717</v>
      </c>
      <c r="AD73" s="61">
        <f>+VLOOKUP(C73,'[1]pic au 25-03'!C:R,16,FALSE)</f>
        <v>17.690035624284079</v>
      </c>
      <c r="AE73" s="31" t="s">
        <v>45</v>
      </c>
      <c r="AF73" s="62">
        <v>203.43540967926691</v>
      </c>
      <c r="AG73" s="31" t="s">
        <v>46</v>
      </c>
      <c r="AH73" s="62">
        <v>203.43540967926691</v>
      </c>
      <c r="AI73" s="31"/>
      <c r="AJ73" s="28">
        <f t="shared" si="18"/>
        <v>128.1435049438717</v>
      </c>
      <c r="AK73" s="21">
        <f>+VLOOKUP(C73,'[1]stock au 25-03-25'!A:X,24,FALSE)</f>
        <v>2.72</v>
      </c>
      <c r="AL73" t="s">
        <v>45</v>
      </c>
      <c r="AM73" s="21">
        <f t="shared" si="11"/>
        <v>14.970035624284078</v>
      </c>
      <c r="AN73" t="s">
        <v>45</v>
      </c>
      <c r="AO73" s="63">
        <v>172.15540967926691</v>
      </c>
      <c r="AP73" s="64">
        <f t="shared" si="12"/>
        <v>177.39492214776632</v>
      </c>
      <c r="AQ73" t="s">
        <v>46</v>
      </c>
      <c r="AR73" s="36">
        <f>(AP73-AO73)/AO73</f>
        <v>3.0434782608695567E-2</v>
      </c>
      <c r="AS73" s="81"/>
      <c r="AT73" s="81">
        <f>(AO73-J73)/J73</f>
        <v>-0.50099881252386402</v>
      </c>
      <c r="AU73" s="81"/>
      <c r="AV73" s="66">
        <f>(AP73-J73)/J73</f>
        <v>-0.48581181986154687</v>
      </c>
      <c r="BB73" s="56">
        <f>+R73*F73</f>
        <v>355.5</v>
      </c>
    </row>
    <row r="74" spans="1:54" ht="18.75" outlineLevel="1" x14ac:dyDescent="0.3">
      <c r="A74">
        <v>2</v>
      </c>
      <c r="B74" t="s">
        <v>58</v>
      </c>
      <c r="C74">
        <v>338205</v>
      </c>
      <c r="D74" t="s">
        <v>122</v>
      </c>
      <c r="E74" t="s">
        <v>62</v>
      </c>
      <c r="F74" s="21">
        <f>+VLOOKUP(C74,'[1]stock au 25-03-25'!A:D,4,FALSE)</f>
        <v>41.2</v>
      </c>
      <c r="G74" t="s">
        <v>45</v>
      </c>
      <c r="H74" s="22">
        <f>+VLOOKUP(C74,'[1]stock au 25-03-25'!A:F,6,FALSE)</f>
        <v>1.840291262135922</v>
      </c>
      <c r="I74" t="s">
        <v>46</v>
      </c>
      <c r="J74" s="56">
        <f>+VLOOKUP(C74,'[1]stock au 25-03-25'!A:H,8,FALSE)</f>
        <v>75.819999999999993</v>
      </c>
      <c r="K74" t="s">
        <v>46</v>
      </c>
      <c r="L74" s="23">
        <v>2.33</v>
      </c>
      <c r="M74" t="s">
        <v>46</v>
      </c>
      <c r="N74" s="56">
        <f>+VLOOKUP(C74,'[1]stock au 25-03-25'!A:L,12,FALSE)</f>
        <v>95.996000000000009</v>
      </c>
      <c r="P74" s="57">
        <v>2.33</v>
      </c>
      <c r="Q74" t="s">
        <v>46</v>
      </c>
      <c r="R74" s="25">
        <f>H74*(1+VLOOKUP(A74,'[1]Variation MP'!$B$3:$D$22,3))</f>
        <v>1.840291262135922</v>
      </c>
      <c r="T74" s="26">
        <v>2.094983277591973</v>
      </c>
      <c r="U74" s="58">
        <f t="shared" si="10"/>
        <v>0.13839766600882755</v>
      </c>
      <c r="V74" s="10">
        <f>IFERROR(VLOOKUP(C74,'[2]INDICATEURS ACHATS - Matières P'!$C$2:$G$209999,5,0),0)</f>
        <v>299</v>
      </c>
      <c r="W74" s="60">
        <f t="shared" si="15"/>
        <v>626.4</v>
      </c>
      <c r="X74" s="28">
        <v>2.3199999999999998</v>
      </c>
      <c r="Y74" s="59">
        <v>-227.99754246660692</v>
      </c>
      <c r="Z74" s="60">
        <f t="shared" si="16"/>
        <v>-528.95429852252801</v>
      </c>
      <c r="AA74" s="60">
        <f t="shared" si="13"/>
        <v>-419.5818851897605</v>
      </c>
      <c r="AB74" s="60">
        <f t="shared" si="14"/>
        <v>-109.37241333276751</v>
      </c>
      <c r="AC74" s="60">
        <f t="shared" si="17"/>
        <v>97.445701477471971</v>
      </c>
      <c r="AD74" s="61">
        <f>+VLOOKUP(C74,'[1]pic au 25-03'!C:R,16,FALSE)</f>
        <v>94.343000533393095</v>
      </c>
      <c r="AE74" s="31" t="s">
        <v>45</v>
      </c>
      <c r="AF74" s="62">
        <v>219.81919124280591</v>
      </c>
      <c r="AG74" s="31" t="s">
        <v>46</v>
      </c>
      <c r="AH74" s="62">
        <v>219.81919124280591</v>
      </c>
      <c r="AI74" s="31"/>
      <c r="AJ74" s="28">
        <f t="shared" si="18"/>
        <v>164.72570147747197</v>
      </c>
      <c r="AK74" s="21">
        <f>+VLOOKUP(C74,'[1]stock au 25-03-25'!A:X,24,FALSE)</f>
        <v>23.340543</v>
      </c>
      <c r="AL74" t="s">
        <v>45</v>
      </c>
      <c r="AM74" s="21">
        <f t="shared" si="11"/>
        <v>71.002457533393098</v>
      </c>
      <c r="AN74" t="s">
        <v>45</v>
      </c>
      <c r="AO74" s="63">
        <v>130.66520218888019</v>
      </c>
      <c r="AP74" s="64">
        <f t="shared" si="12"/>
        <v>130.66520218888019</v>
      </c>
      <c r="AQ74" t="s">
        <v>46</v>
      </c>
      <c r="AR74" s="36">
        <f>(AP74-AO74)/AO74</f>
        <v>0</v>
      </c>
      <c r="AS74" s="81"/>
      <c r="AT74" s="81">
        <f>(AO74-J74)/J74</f>
        <v>0.72336061974255073</v>
      </c>
      <c r="AU74" s="81"/>
      <c r="AV74" s="66">
        <f>(AP74-J74)/J74</f>
        <v>0.72336061974255073</v>
      </c>
      <c r="BB74" s="56">
        <f>+R74*F74</f>
        <v>75.819999999999993</v>
      </c>
    </row>
    <row r="75" spans="1:54" ht="18.75" outlineLevel="1" x14ac:dyDescent="0.3">
      <c r="A75">
        <v>2</v>
      </c>
      <c r="B75" t="s">
        <v>58</v>
      </c>
      <c r="C75">
        <v>342794</v>
      </c>
      <c r="D75" t="s">
        <v>123</v>
      </c>
      <c r="E75" t="s">
        <v>62</v>
      </c>
      <c r="F75" s="21">
        <f>+VLOOKUP(C75,'[1]stock au 25-03-25'!A:D,4,FALSE)</f>
        <v>200</v>
      </c>
      <c r="G75" t="s">
        <v>45</v>
      </c>
      <c r="H75" s="22">
        <f>+VLOOKUP(C75,'[1]stock au 25-03-25'!A:F,6,FALSE)</f>
        <v>2.1</v>
      </c>
      <c r="I75" t="s">
        <v>46</v>
      </c>
      <c r="J75" s="56">
        <f>+VLOOKUP(C75,'[1]stock au 25-03-25'!A:H,8,FALSE)</f>
        <v>420</v>
      </c>
      <c r="K75" t="s">
        <v>46</v>
      </c>
      <c r="L75" s="23">
        <v>2.4900000000000002</v>
      </c>
      <c r="M75" t="s">
        <v>46</v>
      </c>
      <c r="N75" s="56">
        <f>+VLOOKUP(C75,'[1]stock au 25-03-25'!A:L,12,FALSE)</f>
        <v>498.00000000000006</v>
      </c>
      <c r="P75" s="57">
        <v>2.4900000000000002</v>
      </c>
      <c r="Q75" t="s">
        <v>46</v>
      </c>
      <c r="R75" s="25">
        <v>2.2000000000000002</v>
      </c>
      <c r="T75" s="26" t="s">
        <v>53</v>
      </c>
      <c r="U75" s="58" t="str">
        <f t="shared" si="10"/>
        <v/>
      </c>
      <c r="V75" s="10">
        <f>IFERROR(VLOOKUP(C75,'[2]INDICATEURS ACHATS - Matières P'!$C$2:$G$209999,5,0),0)</f>
        <v>0</v>
      </c>
      <c r="W75" s="60">
        <f t="shared" si="15"/>
        <v>0</v>
      </c>
      <c r="X75" s="28">
        <v>2.2000000000000002</v>
      </c>
      <c r="Y75" s="59">
        <v>35.049634166666664</v>
      </c>
      <c r="Z75" s="60">
        <f t="shared" si="16"/>
        <v>77.109195166666666</v>
      </c>
      <c r="AA75" s="60">
        <f t="shared" si="13"/>
        <v>77.109195166666666</v>
      </c>
      <c r="AB75" s="60">
        <f t="shared" si="14"/>
        <v>0</v>
      </c>
      <c r="AC75" s="60">
        <f t="shared" si="17"/>
        <v>77.109195166666666</v>
      </c>
      <c r="AD75" s="61">
        <f>+VLOOKUP(C75,'[1]pic au 25-03'!C:R,16,FALSE)</f>
        <v>152.54463416666667</v>
      </c>
      <c r="AE75" s="31" t="s">
        <v>45</v>
      </c>
      <c r="AF75" s="62">
        <v>379.83613907500006</v>
      </c>
      <c r="AG75" s="31" t="s">
        <v>46</v>
      </c>
      <c r="AH75" s="62">
        <v>379.83613907500006</v>
      </c>
      <c r="AI75" s="31"/>
      <c r="AJ75" s="28">
        <f t="shared" si="18"/>
        <v>77.109195166666666</v>
      </c>
      <c r="AK75" s="21">
        <f>+VLOOKUP(C75,'[1]stock au 25-03-25'!A:X,24,FALSE)</f>
        <v>117.495</v>
      </c>
      <c r="AL75" t="s">
        <v>45</v>
      </c>
      <c r="AM75" s="21">
        <f t="shared" si="11"/>
        <v>35.049634166666664</v>
      </c>
      <c r="AN75" t="s">
        <v>45</v>
      </c>
      <c r="AO75" s="63">
        <v>19.413731749999979</v>
      </c>
      <c r="AP75" s="64">
        <f t="shared" si="12"/>
        <v>77.109195166666666</v>
      </c>
      <c r="AQ75" t="s">
        <v>46</v>
      </c>
      <c r="AR75" s="36">
        <f>(AP75-AO75)/AO75</f>
        <v>2.971889390439669</v>
      </c>
      <c r="AS75" s="81"/>
      <c r="AT75" s="81">
        <f>(AO75-J75)/J75</f>
        <v>-0.95377682916666673</v>
      </c>
      <c r="AU75" s="81"/>
      <c r="AV75" s="66">
        <f>(AP75-J75)/J75</f>
        <v>-0.81640667817460322</v>
      </c>
      <c r="BB75" s="56">
        <f>+R75*F75</f>
        <v>440.00000000000006</v>
      </c>
    </row>
    <row r="76" spans="1:54" ht="18.75" outlineLevel="1" x14ac:dyDescent="0.3">
      <c r="A76">
        <v>2</v>
      </c>
      <c r="B76" t="s">
        <v>58</v>
      </c>
      <c r="C76">
        <v>338066</v>
      </c>
      <c r="D76" t="s">
        <v>124</v>
      </c>
      <c r="E76" t="s">
        <v>62</v>
      </c>
      <c r="F76" s="21">
        <f>+VLOOKUP(C76,'[1]stock au 25-03-25'!A:D,4,FALSE)</f>
        <v>70</v>
      </c>
      <c r="G76" t="s">
        <v>45</v>
      </c>
      <c r="H76" s="22">
        <f>+VLOOKUP(C76,'[1]stock au 25-03-25'!A:F,6,FALSE)</f>
        <v>1.27</v>
      </c>
      <c r="I76" t="s">
        <v>46</v>
      </c>
      <c r="J76" s="56">
        <f>+VLOOKUP(C76,'[1]stock au 25-03-25'!A:H,8,FALSE)</f>
        <v>88.9</v>
      </c>
      <c r="K76" t="s">
        <v>46</v>
      </c>
      <c r="L76" s="23">
        <v>1.28</v>
      </c>
      <c r="M76" t="s">
        <v>46</v>
      </c>
      <c r="N76" s="56">
        <f>+VLOOKUP(C76,'[1]stock au 25-03-25'!A:L,12,FALSE)</f>
        <v>89.600000000000009</v>
      </c>
      <c r="Q76" t="s">
        <v>46</v>
      </c>
      <c r="R76" s="25">
        <f>H76*(1+VLOOKUP(A76,'[1]Variation MP'!$B$3:$D$22,3))</f>
        <v>1.27</v>
      </c>
      <c r="T76" s="26" t="s">
        <v>53</v>
      </c>
      <c r="U76" s="58" t="str">
        <f t="shared" si="10"/>
        <v/>
      </c>
      <c r="V76" s="10">
        <f>IFERROR(VLOOKUP(C76,'[2]INDICATEURS ACHATS - Matières P'!$C$2:$G$209999,5,0),0)</f>
        <v>0</v>
      </c>
      <c r="W76" s="60">
        <f t="shared" si="15"/>
        <v>0</v>
      </c>
      <c r="X76" s="28">
        <v>1.27</v>
      </c>
      <c r="Y76" s="59">
        <v>2.5309936666666601</v>
      </c>
      <c r="Z76" s="60">
        <f t="shared" si="16"/>
        <v>3.2143619566666586</v>
      </c>
      <c r="AA76" s="60">
        <f t="shared" si="13"/>
        <v>3.2143619566666586</v>
      </c>
      <c r="AB76" s="60">
        <f t="shared" si="14"/>
        <v>0</v>
      </c>
      <c r="AC76" s="60">
        <f t="shared" si="17"/>
        <v>3.2143619566666586</v>
      </c>
      <c r="AD76" s="61">
        <f>+VLOOKUP(C76,'[1]pic au 25-03'!C:R,16,FALSE)</f>
        <v>63.253491666666662</v>
      </c>
      <c r="AE76" s="31" t="s">
        <v>45</v>
      </c>
      <c r="AF76" s="62"/>
      <c r="AG76" s="31" t="s">
        <v>46</v>
      </c>
      <c r="AH76" s="62">
        <v>80.964469333333341</v>
      </c>
      <c r="AI76" s="31"/>
      <c r="AJ76" s="28">
        <f t="shared" si="18"/>
        <v>3.2143619566666586</v>
      </c>
      <c r="AK76" s="21">
        <f>+VLOOKUP(C76,'[1]stock au 25-03-25'!A:X,24,FALSE)</f>
        <v>60.722498000000002</v>
      </c>
      <c r="AL76" t="s">
        <v>45</v>
      </c>
      <c r="AM76" s="21">
        <f t="shared" si="11"/>
        <v>2.5309936666666601</v>
      </c>
      <c r="AN76" t="s">
        <v>45</v>
      </c>
      <c r="AO76" s="63">
        <v>0.26204629666666812</v>
      </c>
      <c r="AP76" s="64">
        <f t="shared" si="12"/>
        <v>3.2143619566666586</v>
      </c>
      <c r="AQ76" t="s">
        <v>46</v>
      </c>
      <c r="AR76" s="36">
        <f>(AP76-AO76)/AO76</f>
        <v>11.266389556176163</v>
      </c>
      <c r="AS76" s="81"/>
      <c r="AT76" s="81">
        <f>(AO76-J76)/J76</f>
        <v>-0.9970523476190476</v>
      </c>
      <c r="AU76" s="81"/>
      <c r="AV76" s="66">
        <f>(AP76-J76)/J76</f>
        <v>-0.96384294761904765</v>
      </c>
      <c r="BB76" s="56">
        <f>+R76*F76</f>
        <v>88.9</v>
      </c>
    </row>
    <row r="77" spans="1:54" ht="18.75" outlineLevel="1" x14ac:dyDescent="0.3">
      <c r="A77">
        <v>2</v>
      </c>
      <c r="B77" t="s">
        <v>58</v>
      </c>
      <c r="C77">
        <v>338189</v>
      </c>
      <c r="D77" t="s">
        <v>125</v>
      </c>
      <c r="E77" t="s">
        <v>62</v>
      </c>
      <c r="F77" s="21">
        <f>+VLOOKUP(C77,'[1]stock au 25-03-25'!A:D,4,FALSE)</f>
        <v>180</v>
      </c>
      <c r="G77" t="s">
        <v>45</v>
      </c>
      <c r="H77" s="22">
        <f>+VLOOKUP(C77,'[1]stock au 25-03-25'!A:F,6,FALSE)</f>
        <v>3.14</v>
      </c>
      <c r="I77" t="s">
        <v>46</v>
      </c>
      <c r="J77" s="56">
        <f>+VLOOKUP(C77,'[1]stock au 25-03-25'!A:H,8,FALSE)</f>
        <v>565.20000000000005</v>
      </c>
      <c r="K77" t="s">
        <v>46</v>
      </c>
      <c r="L77" s="23">
        <v>3.05</v>
      </c>
      <c r="M77" t="s">
        <v>46</v>
      </c>
      <c r="N77" s="56">
        <f>+VLOOKUP(C77,'[1]stock au 25-03-25'!A:L,12,FALSE)</f>
        <v>549</v>
      </c>
      <c r="Q77" t="s">
        <v>46</v>
      </c>
      <c r="R77" s="25">
        <f>H77*(1+VLOOKUP(A77,'[1]Variation MP'!$B$3:$D$22,3))</f>
        <v>3.14</v>
      </c>
      <c r="T77" s="26" t="s">
        <v>53</v>
      </c>
      <c r="U77" s="58" t="str">
        <f t="shared" si="10"/>
        <v/>
      </c>
      <c r="V77" s="10">
        <f>IFERROR(VLOOKUP(C77,'[2]INDICATEURS ACHATS - Matières P'!$C$2:$G$209999,5,0),0)</f>
        <v>0</v>
      </c>
      <c r="W77" s="60">
        <f t="shared" si="15"/>
        <v>0</v>
      </c>
      <c r="X77" s="28">
        <v>3.14</v>
      </c>
      <c r="Y77" s="59">
        <v>0</v>
      </c>
      <c r="Z77" s="60">
        <f t="shared" si="16"/>
        <v>0</v>
      </c>
      <c r="AA77" s="60">
        <f t="shared" si="13"/>
        <v>0</v>
      </c>
      <c r="AB77" s="60">
        <f t="shared" si="14"/>
        <v>0</v>
      </c>
      <c r="AC77" s="60">
        <f t="shared" si="17"/>
        <v>0</v>
      </c>
      <c r="AD77" s="61">
        <v>0</v>
      </c>
      <c r="AE77" s="31" t="s">
        <v>45</v>
      </c>
      <c r="AF77" s="62"/>
      <c r="AG77" s="31" t="s">
        <v>46</v>
      </c>
      <c r="AH77" s="62"/>
      <c r="AI77" s="31"/>
      <c r="AJ77" s="28">
        <f t="shared" si="18"/>
        <v>0</v>
      </c>
      <c r="AK77" s="21">
        <f>+VLOOKUP(C77,'[1]stock au 25-03-25'!A:X,24,FALSE)</f>
        <v>0</v>
      </c>
      <c r="AL77" t="s">
        <v>45</v>
      </c>
      <c r="AM77" s="21">
        <f t="shared" si="11"/>
        <v>0</v>
      </c>
      <c r="AN77" t="s">
        <v>45</v>
      </c>
      <c r="AO77" s="63"/>
      <c r="AP77" s="64">
        <f t="shared" si="12"/>
        <v>0</v>
      </c>
      <c r="AQ77" t="s">
        <v>46</v>
      </c>
      <c r="AR77" s="36" t="e">
        <f>(AP77-AO77)/AO77</f>
        <v>#DIV/0!</v>
      </c>
      <c r="AS77" s="81"/>
      <c r="AT77" s="81">
        <f>(AO77-J77)/J77</f>
        <v>-1</v>
      </c>
      <c r="AU77" s="81"/>
      <c r="AV77" s="66">
        <f>(AP77-J77)/J77</f>
        <v>-1</v>
      </c>
      <c r="BB77" s="56">
        <f>+R77*F77</f>
        <v>565.20000000000005</v>
      </c>
    </row>
    <row r="78" spans="1:54" ht="18.75" outlineLevel="1" x14ac:dyDescent="0.3">
      <c r="A78">
        <v>2</v>
      </c>
      <c r="B78" t="s">
        <v>58</v>
      </c>
      <c r="C78">
        <v>341460</v>
      </c>
      <c r="D78" t="s">
        <v>126</v>
      </c>
      <c r="E78" t="s">
        <v>62</v>
      </c>
      <c r="F78" s="21">
        <f>+VLOOKUP(C78,'[1]stock au 25-03-25'!A:D,4,FALSE)</f>
        <v>209</v>
      </c>
      <c r="G78" t="s">
        <v>45</v>
      </c>
      <c r="H78" s="22">
        <f>+VLOOKUP(C78,'[1]stock au 25-03-25'!A:F,6,FALSE)</f>
        <v>6.8999999999999995</v>
      </c>
      <c r="I78" t="s">
        <v>46</v>
      </c>
      <c r="J78" s="56">
        <f>+VLOOKUP(C78,'[1]stock au 25-03-25'!A:H,8,FALSE)</f>
        <v>1442.1</v>
      </c>
      <c r="K78" t="s">
        <v>46</v>
      </c>
      <c r="L78" s="23">
        <v>7.04</v>
      </c>
      <c r="M78" t="s">
        <v>46</v>
      </c>
      <c r="N78" s="56">
        <f>+VLOOKUP(C78,'[1]stock au 25-03-25'!A:L,12,FALSE)</f>
        <v>1471.36</v>
      </c>
      <c r="Q78" t="s">
        <v>46</v>
      </c>
      <c r="R78" s="25">
        <f>H78*(1+VLOOKUP(A78,'[1]Variation MP'!$B$3:$D$22,3))</f>
        <v>6.8999999999999995</v>
      </c>
      <c r="T78" s="26" t="s">
        <v>53</v>
      </c>
      <c r="U78" s="58" t="str">
        <f t="shared" si="10"/>
        <v/>
      </c>
      <c r="V78" s="10">
        <f>IFERROR(VLOOKUP(C78,'[2]INDICATEURS ACHATS - Matières P'!$C$2:$G$209999,5,0),0)</f>
        <v>0</v>
      </c>
      <c r="W78" s="60">
        <f t="shared" si="15"/>
        <v>0</v>
      </c>
      <c r="X78" s="28">
        <v>6.8999999999999995</v>
      </c>
      <c r="Y78" s="59">
        <v>0</v>
      </c>
      <c r="Z78" s="60">
        <f t="shared" si="16"/>
        <v>0</v>
      </c>
      <c r="AA78" s="60">
        <f t="shared" si="13"/>
        <v>0</v>
      </c>
      <c r="AB78" s="60">
        <f t="shared" si="14"/>
        <v>0</v>
      </c>
      <c r="AC78" s="60">
        <f t="shared" si="17"/>
        <v>0</v>
      </c>
      <c r="AD78" s="61">
        <v>0</v>
      </c>
      <c r="AE78" s="31" t="s">
        <v>45</v>
      </c>
      <c r="AF78" s="62"/>
      <c r="AG78" s="31" t="s">
        <v>46</v>
      </c>
      <c r="AH78" s="62"/>
      <c r="AI78" s="31"/>
      <c r="AJ78" s="28">
        <f t="shared" si="18"/>
        <v>0</v>
      </c>
      <c r="AK78" s="21">
        <f>+VLOOKUP(C78,'[1]stock au 25-03-25'!A:X,24,FALSE)</f>
        <v>0</v>
      </c>
      <c r="AL78" t="s">
        <v>45</v>
      </c>
      <c r="AM78" s="21">
        <f>IF(AD78-AK78&lt;0,0,AD78-AK78)</f>
        <v>0</v>
      </c>
      <c r="AN78" t="s">
        <v>45</v>
      </c>
      <c r="AO78" s="63">
        <v>0</v>
      </c>
      <c r="AP78" s="64">
        <f t="shared" si="12"/>
        <v>0</v>
      </c>
      <c r="AQ78" t="s">
        <v>46</v>
      </c>
      <c r="AR78" s="36" t="e">
        <f>(AP78-AO78)/AO78</f>
        <v>#DIV/0!</v>
      </c>
      <c r="AS78" s="81"/>
      <c r="AT78" s="81">
        <f>(AO78-J78)/J78</f>
        <v>-1</v>
      </c>
      <c r="AU78" s="81"/>
      <c r="AV78" s="66">
        <f>(AP78-J78)/J78</f>
        <v>-1</v>
      </c>
      <c r="BB78" s="56">
        <f>+R78*F78</f>
        <v>1442.1</v>
      </c>
    </row>
    <row r="79" spans="1:54" ht="18.75" outlineLevel="1" x14ac:dyDescent="0.3">
      <c r="A79">
        <v>2</v>
      </c>
      <c r="B79" t="s">
        <v>58</v>
      </c>
      <c r="C79">
        <v>360378</v>
      </c>
      <c r="D79" t="s">
        <v>127</v>
      </c>
      <c r="E79" t="s">
        <v>62</v>
      </c>
      <c r="F79" s="21">
        <f>+VLOOKUP(C79,'[1]stock au 25-03-25'!A:D,4,FALSE)</f>
        <v>75</v>
      </c>
      <c r="G79" t="s">
        <v>45</v>
      </c>
      <c r="H79" s="22">
        <f>+VLOOKUP(C79,'[1]stock au 25-03-25'!A:F,6,FALSE)</f>
        <v>11.1</v>
      </c>
      <c r="I79" t="s">
        <v>46</v>
      </c>
      <c r="J79" s="56">
        <f>+VLOOKUP(C79,'[1]stock au 25-03-25'!A:H,8,FALSE)</f>
        <v>832.5</v>
      </c>
      <c r="K79" t="s">
        <v>46</v>
      </c>
      <c r="L79" s="23">
        <v>11.32</v>
      </c>
      <c r="M79" t="s">
        <v>46</v>
      </c>
      <c r="N79" s="56">
        <f>+VLOOKUP(C79,'[1]stock au 25-03-25'!A:L,12,FALSE)</f>
        <v>849</v>
      </c>
      <c r="Q79" t="s">
        <v>46</v>
      </c>
      <c r="R79" s="25">
        <f>H79*(1+VLOOKUP(A79,'[1]Variation MP'!$B$3:$D$22,3))</f>
        <v>11.1</v>
      </c>
      <c r="T79" s="26" t="s">
        <v>53</v>
      </c>
      <c r="U79" s="58" t="str">
        <f t="shared" ref="U79:U80" si="19">IFERROR((T79-R79)/R79,"")</f>
        <v/>
      </c>
      <c r="V79" s="10">
        <f>IFERROR(VLOOKUP(C79,'[2]INDICATEURS ACHATS - Matières P'!$C$2:$G$209999,5,0),0)</f>
        <v>0</v>
      </c>
      <c r="W79" s="60">
        <f t="shared" si="15"/>
        <v>0</v>
      </c>
      <c r="X79" s="28">
        <v>11.1</v>
      </c>
      <c r="Y79" s="59">
        <v>0</v>
      </c>
      <c r="Z79" s="60">
        <f t="shared" si="16"/>
        <v>0</v>
      </c>
      <c r="AA79" s="60">
        <f t="shared" si="13"/>
        <v>0</v>
      </c>
      <c r="AB79" s="60">
        <f t="shared" si="14"/>
        <v>0</v>
      </c>
      <c r="AC79" s="60">
        <f t="shared" si="17"/>
        <v>0</v>
      </c>
      <c r="AD79" s="61">
        <v>0</v>
      </c>
      <c r="AE79" s="31" t="s">
        <v>45</v>
      </c>
      <c r="AF79" s="62"/>
      <c r="AG79" s="31" t="s">
        <v>46</v>
      </c>
      <c r="AH79" s="62"/>
      <c r="AI79" s="31"/>
      <c r="AJ79" s="28">
        <f t="shared" si="18"/>
        <v>0</v>
      </c>
      <c r="AK79" s="21">
        <f>+VLOOKUP(C79,'[1]stock au 25-03-25'!A:X,24,FALSE)</f>
        <v>0</v>
      </c>
      <c r="AL79" t="s">
        <v>45</v>
      </c>
      <c r="AM79" s="21">
        <f>AD79-AK79</f>
        <v>0</v>
      </c>
      <c r="AN79" t="s">
        <v>45</v>
      </c>
      <c r="AO79" s="63"/>
      <c r="AP79" s="64">
        <f t="shared" ref="AP79:AP112" si="20">IF(AM79&lt;0,0,AM79*R79)</f>
        <v>0</v>
      </c>
      <c r="AQ79" t="s">
        <v>46</v>
      </c>
      <c r="AR79" s="36" t="e">
        <f>(AP79-AO79)/AO79</f>
        <v>#DIV/0!</v>
      </c>
      <c r="AS79" s="81"/>
      <c r="AT79" s="81">
        <f>(AO79-J79)/J79</f>
        <v>-1</v>
      </c>
      <c r="AU79" s="81"/>
      <c r="AV79" s="66">
        <f>(AP79-J79)/J79</f>
        <v>-1</v>
      </c>
      <c r="BB79" s="56">
        <f>+R79*F79</f>
        <v>832.5</v>
      </c>
    </row>
    <row r="80" spans="1:54" ht="18.75" outlineLevel="1" x14ac:dyDescent="0.3">
      <c r="A80">
        <v>2</v>
      </c>
      <c r="B80" t="s">
        <v>58</v>
      </c>
      <c r="C80">
        <v>361007</v>
      </c>
      <c r="D80" t="s">
        <v>128</v>
      </c>
      <c r="E80" t="s">
        <v>62</v>
      </c>
      <c r="F80" s="21">
        <f>+VLOOKUP(C80,'[1]stock au 25-03-25'!A:D,4,FALSE)</f>
        <v>65</v>
      </c>
      <c r="G80" t="s">
        <v>45</v>
      </c>
      <c r="H80" s="22">
        <f>+VLOOKUP(C80,'[1]stock au 25-03-25'!A:F,6,FALSE)</f>
        <v>46.930769230769229</v>
      </c>
      <c r="I80" t="s">
        <v>46</v>
      </c>
      <c r="J80" s="56">
        <f>+VLOOKUP(C80,'[1]stock au 25-03-25'!A:H,8,FALSE)</f>
        <v>3050.5</v>
      </c>
      <c r="K80" t="s">
        <v>46</v>
      </c>
      <c r="L80" s="23">
        <v>140</v>
      </c>
      <c r="M80" t="s">
        <v>46</v>
      </c>
      <c r="N80" s="56">
        <f>+VLOOKUP(C80,'[1]stock au 25-03-25'!A:L,12,FALSE)</f>
        <v>9100</v>
      </c>
      <c r="Q80" t="s">
        <v>46</v>
      </c>
      <c r="R80" s="25">
        <f>H80*(1+VLOOKUP(A80,'[1]Variation MP'!$B$3:$D$22,3))</f>
        <v>46.930769230769229</v>
      </c>
      <c r="T80" s="26" t="s">
        <v>53</v>
      </c>
      <c r="U80" s="58" t="str">
        <f t="shared" si="19"/>
        <v/>
      </c>
      <c r="V80" s="10">
        <f>IFERROR(VLOOKUP(C80,'[2]INDICATEURS ACHATS - Matières P'!$C$2:$G$209999,5,0),0)</f>
        <v>0</v>
      </c>
      <c r="W80" s="60">
        <f t="shared" si="15"/>
        <v>0</v>
      </c>
      <c r="X80" s="28">
        <v>46.930769230769229</v>
      </c>
      <c r="Y80" s="59">
        <v>-0.95397526315789527</v>
      </c>
      <c r="Z80" s="60">
        <f t="shared" si="16"/>
        <v>-44.770792927125527</v>
      </c>
      <c r="AA80" s="60">
        <f t="shared" si="13"/>
        <v>-44.770792927125527</v>
      </c>
      <c r="AB80" s="60">
        <f t="shared" si="14"/>
        <v>0</v>
      </c>
      <c r="AC80" s="60">
        <f t="shared" si="17"/>
        <v>-44.770792927125527</v>
      </c>
      <c r="AD80" s="61">
        <f>+VLOOKUP(C80,'[1]pic au 25-03'!C:R,16,FALSE)</f>
        <v>8.5270247368421046</v>
      </c>
      <c r="AE80" s="31" t="s">
        <v>45</v>
      </c>
      <c r="AF80" s="62"/>
      <c r="AG80" s="31" t="s">
        <v>46</v>
      </c>
      <c r="AH80" s="62">
        <v>1193.7834631578946</v>
      </c>
      <c r="AI80" s="31"/>
      <c r="AJ80" s="28">
        <f t="shared" si="18"/>
        <v>0</v>
      </c>
      <c r="AK80" s="21">
        <f>+VLOOKUP(C80,'[1]stock au 25-03-25'!A:X,24,FALSE)</f>
        <v>9.4809999999999999</v>
      </c>
      <c r="AL80" t="s">
        <v>45</v>
      </c>
      <c r="AM80" s="21">
        <f>IF(AD80-AK80&lt;0,0,AD80-AK80)</f>
        <v>0</v>
      </c>
      <c r="AN80" t="s">
        <v>45</v>
      </c>
      <c r="AO80" s="63">
        <v>0</v>
      </c>
      <c r="AP80" s="64">
        <f t="shared" si="20"/>
        <v>0</v>
      </c>
      <c r="AQ80" t="s">
        <v>46</v>
      </c>
      <c r="AR80" s="36" t="e">
        <f>(AP80-AO80)/AO80</f>
        <v>#DIV/0!</v>
      </c>
      <c r="AS80" s="81"/>
      <c r="AT80" s="81">
        <f>(AO80-J80)/J80</f>
        <v>-1</v>
      </c>
      <c r="AU80" s="81"/>
      <c r="AV80" s="66">
        <f>(AP80-J80)/J80</f>
        <v>-1</v>
      </c>
      <c r="BB80" s="56">
        <f>+R80*F80</f>
        <v>3050.5</v>
      </c>
    </row>
    <row r="81" spans="1:54" x14ac:dyDescent="0.25">
      <c r="A81" s="67"/>
      <c r="B81" s="67" t="s">
        <v>129</v>
      </c>
      <c r="C81" s="67"/>
      <c r="D81" s="67"/>
      <c r="E81" s="67"/>
      <c r="F81" s="79">
        <f>SUM(F15:F80)</f>
        <v>176272.80000000002</v>
      </c>
      <c r="G81" s="67" t="s">
        <v>45</v>
      </c>
      <c r="H81" s="69"/>
      <c r="I81" s="67"/>
      <c r="J81" s="70">
        <f>SUM(J15:J80)</f>
        <v>967054.98999999987</v>
      </c>
      <c r="K81" s="67"/>
      <c r="L81" s="69"/>
      <c r="M81" s="67"/>
      <c r="N81" s="70">
        <f>SUM(N15:N80)</f>
        <v>1281130.6488000005</v>
      </c>
      <c r="O81" s="78"/>
      <c r="P81" s="78">
        <f>SUM(P15:P80)</f>
        <v>587.75968499999999</v>
      </c>
      <c r="Q81" s="78">
        <f>SUM(Q15:Q80)</f>
        <v>0</v>
      </c>
      <c r="R81" s="78"/>
      <c r="S81" s="78"/>
      <c r="T81" s="83"/>
      <c r="U81" s="83"/>
      <c r="V81" s="10">
        <f>IFERROR(VLOOKUP(C81,'[2]INDICATEURS ACHATS - Matières P'!$C$2:$G$209999,5,0),0)</f>
        <v>0</v>
      </c>
      <c r="W81" s="60">
        <f>SUM(W15:W80)</f>
        <v>495860.81</v>
      </c>
      <c r="X81" s="28">
        <f>SUM(X15:X80)</f>
        <v>744.08305555153231</v>
      </c>
      <c r="Y81" s="59">
        <v>-18589.237384999993</v>
      </c>
      <c r="Z81" s="60">
        <f>SUM(Z15:Z80)</f>
        <v>387660.40956142748</v>
      </c>
      <c r="AA81" s="60">
        <f t="shared" si="13"/>
        <v>0</v>
      </c>
      <c r="AB81" s="60"/>
      <c r="AC81" s="60">
        <f t="shared" si="17"/>
        <v>883521.21956142748</v>
      </c>
      <c r="AD81" s="74">
        <f>SUM(AD15:AD80)</f>
        <v>188050.37968848419</v>
      </c>
      <c r="AE81" s="75"/>
      <c r="AF81" s="76">
        <f>SUM(AF15:AF80)</f>
        <v>1088000.388353419</v>
      </c>
      <c r="AG81" s="75"/>
      <c r="AH81" s="76">
        <f>SUM(AH15:AH80)</f>
        <v>1169473.1869707194</v>
      </c>
      <c r="AI81" s="75"/>
      <c r="AJ81" s="28">
        <f>SUM(AJ15:AJ80)</f>
        <v>884501.43895109347</v>
      </c>
      <c r="AK81" s="77">
        <f>SUM(AK15:AK80)</f>
        <v>18589.237384999993</v>
      </c>
      <c r="AL81" s="78">
        <f>SUM(AL15:AL80)</f>
        <v>0</v>
      </c>
      <c r="AM81" s="79">
        <f>SUM(AM15:AM80)</f>
        <v>169462.09627874734</v>
      </c>
      <c r="AN81" s="78" t="s">
        <v>45</v>
      </c>
      <c r="AO81" s="80">
        <f>SUM(AO15:AO80)</f>
        <v>914850.68700719299</v>
      </c>
      <c r="AP81" s="80">
        <f>SUM(AP15:AP80)</f>
        <v>904546.54895230697</v>
      </c>
      <c r="AQ81" s="67"/>
      <c r="AR81" s="81">
        <f>(AP81-AO81)/AO81</f>
        <v>-1.1263191033494848E-2</v>
      </c>
      <c r="AS81" s="72">
        <f>AP81-AO81</f>
        <v>-10304.138054886018</v>
      </c>
      <c r="AT81" s="81">
        <f>(AO81-J81)/J81</f>
        <v>-5.3982765750277439E-2</v>
      </c>
      <c r="AU81" s="82">
        <f>AO81-J81</f>
        <v>-52204.302992806886</v>
      </c>
      <c r="AV81" s="81">
        <f>(AP81-J81)/J81</f>
        <v>-6.463793858061051E-2</v>
      </c>
      <c r="AW81" s="72">
        <f>AP81-N81</f>
        <v>-376584.09984769358</v>
      </c>
      <c r="AX81" s="67"/>
      <c r="AY81" s="67"/>
      <c r="AZ81" s="81">
        <f>(AM81-F81)/F81</f>
        <v>-3.8637292431121968E-2</v>
      </c>
      <c r="BA81" s="81">
        <f>(AP81-N81)/N81</f>
        <v>-0.29394667920904821</v>
      </c>
      <c r="BB81" s="78">
        <f>SUM(BB15:BB80)</f>
        <v>978208.90039999969</v>
      </c>
    </row>
    <row r="82" spans="1:54" ht="18.75" outlineLevel="1" x14ac:dyDescent="0.3">
      <c r="A82">
        <v>3</v>
      </c>
      <c r="B82" t="s">
        <v>130</v>
      </c>
      <c r="C82">
        <v>338219</v>
      </c>
      <c r="D82" t="s">
        <v>131</v>
      </c>
      <c r="E82" t="s">
        <v>62</v>
      </c>
      <c r="F82" s="21">
        <f>+VLOOKUP(C82,'[1]stock au 25-03-25'!A:D,4,FALSE)</f>
        <v>100175</v>
      </c>
      <c r="G82" t="s">
        <v>45</v>
      </c>
      <c r="H82" s="22">
        <f>+VLOOKUP(C82,'[1]stock au 25-03-25'!A:F,6,FALSE)</f>
        <v>1.1760606937858749</v>
      </c>
      <c r="I82" t="s">
        <v>46</v>
      </c>
      <c r="J82" s="56">
        <f>+VLOOKUP(C82,'[1]stock au 25-03-25'!A:H,8,FALSE)</f>
        <v>117811.88</v>
      </c>
      <c r="K82" t="s">
        <v>46</v>
      </c>
      <c r="L82" s="23">
        <v>1.1499999999999999</v>
      </c>
      <c r="M82" t="s">
        <v>46</v>
      </c>
      <c r="N82" s="56">
        <f>+VLOOKUP(C82,'[1]stock au 25-03-25'!A:L,12,FALSE)</f>
        <v>115201.24999999999</v>
      </c>
      <c r="P82" s="57">
        <v>1.1499999999999999</v>
      </c>
      <c r="Q82" t="s">
        <v>46</v>
      </c>
      <c r="R82" s="25">
        <f>1.25*1.1</f>
        <v>1.375</v>
      </c>
      <c r="T82" s="26">
        <v>1.275305944055944</v>
      </c>
      <c r="U82" s="58">
        <f t="shared" ref="U82:U105" si="21">IFERROR((T82-R82)/R82,"")</f>
        <v>-7.250476795931346E-2</v>
      </c>
      <c r="V82" s="10">
        <f>IFERROR(VLOOKUP(C82,'[2]INDICATEURS ACHATS - Matières P'!$C$2:$G$209999,5,0),0)</f>
        <v>57200</v>
      </c>
      <c r="W82" s="60">
        <f t="shared" si="15"/>
        <v>72947.5</v>
      </c>
      <c r="X82" s="28">
        <v>1.25</v>
      </c>
      <c r="Y82" s="59">
        <v>36323.688762240919</v>
      </c>
      <c r="Z82" s="60">
        <f t="shared" si="16"/>
        <v>45404.610952801151</v>
      </c>
      <c r="AA82" s="60">
        <f t="shared" si="13"/>
        <v>49945.072048081267</v>
      </c>
      <c r="AB82" s="60">
        <f t="shared" si="14"/>
        <v>-4540.4610952801158</v>
      </c>
      <c r="AC82" s="60">
        <f t="shared" si="17"/>
        <v>118352.11095280116</v>
      </c>
      <c r="AD82" s="61">
        <f>+VLOOKUP(C82,'[1]pic au 25-03'!C:R,16,FALSE)</f>
        <v>104924.94476224092</v>
      </c>
      <c r="AE82" s="31"/>
      <c r="AF82" s="62">
        <v>120663.68647657704</v>
      </c>
      <c r="AG82" s="31"/>
      <c r="AH82" s="62">
        <v>120663.68647657704</v>
      </c>
      <c r="AI82" s="31"/>
      <c r="AJ82" s="28">
        <f t="shared" si="18"/>
        <v>116904.61095280116</v>
      </c>
      <c r="AK82" s="21">
        <f>+VLOOKUP(C82,'[1]stock au 25-03-25'!A:X,24,FALSE)</f>
        <v>11401.255999999999</v>
      </c>
      <c r="AL82" t="s">
        <v>45</v>
      </c>
      <c r="AM82" s="21">
        <f t="shared" ref="AM82:AM105" si="22">IF(AD82-AK82&lt;0,0,AD82-AK82)</f>
        <v>93523.688762240927</v>
      </c>
      <c r="AN82" t="s">
        <v>45</v>
      </c>
      <c r="AO82" s="63">
        <v>104938.38390115596</v>
      </c>
      <c r="AP82" s="64">
        <f t="shared" ref="AP82:AP105" si="23">IF(AM82&lt;0,0,AM82*R82)</f>
        <v>128595.07204808127</v>
      </c>
      <c r="AQ82" t="s">
        <v>46</v>
      </c>
      <c r="AR82" s="36">
        <f>(AP82-AO82)/AO82</f>
        <v>0.2254340811004687</v>
      </c>
      <c r="AS82" s="81"/>
      <c r="AT82" s="81">
        <f>(AO82-J82)/J82</f>
        <v>-0.10927162947271568</v>
      </c>
      <c r="AU82" s="81"/>
      <c r="AV82" s="66">
        <f>(AP82-J82)/J82</f>
        <v>9.1528902247220476E-2</v>
      </c>
      <c r="BB82" s="56">
        <f>+R82*F82</f>
        <v>137740.625</v>
      </c>
    </row>
    <row r="83" spans="1:54" ht="18.75" outlineLevel="1" x14ac:dyDescent="0.3">
      <c r="A83">
        <v>3</v>
      </c>
      <c r="B83" t="s">
        <v>130</v>
      </c>
      <c r="C83">
        <v>340578</v>
      </c>
      <c r="D83" t="s">
        <v>132</v>
      </c>
      <c r="E83" t="s">
        <v>62</v>
      </c>
      <c r="F83" s="21">
        <f>+VLOOKUP(C83,'[1]stock au 25-03-25'!A:D,4,FALSE)</f>
        <v>37957.5</v>
      </c>
      <c r="G83" t="s">
        <v>45</v>
      </c>
      <c r="H83" s="22">
        <f>+VLOOKUP(C83,'[1]stock au 25-03-25'!A:F,6,FALSE)</f>
        <v>2.3015422512020023</v>
      </c>
      <c r="I83" t="s">
        <v>46</v>
      </c>
      <c r="J83" s="56">
        <f>+VLOOKUP(C83,'[1]stock au 25-03-25'!A:H,8,FALSE)</f>
        <v>87360.79</v>
      </c>
      <c r="K83" t="s">
        <v>46</v>
      </c>
      <c r="L83" s="23">
        <v>2.54</v>
      </c>
      <c r="M83" t="s">
        <v>46</v>
      </c>
      <c r="N83" s="56">
        <f>+VLOOKUP(C83,'[1]stock au 25-03-25'!A:L,12,FALSE)</f>
        <v>96412.05</v>
      </c>
      <c r="P83" s="57">
        <v>1.54</v>
      </c>
      <c r="Q83" t="s">
        <v>46</v>
      </c>
      <c r="R83" s="25">
        <f>H83*(1+VLOOKUP(A83,'[1]Variation MP'!$B$3:$D$22,3))</f>
        <v>2.3015422512020023</v>
      </c>
      <c r="T83" s="26">
        <v>2.269329050678087</v>
      </c>
      <c r="U83" s="58">
        <f t="shared" si="21"/>
        <v>-1.3996354186889964E-2</v>
      </c>
      <c r="V83" s="10">
        <f>IFERROR(VLOOKUP(C83,'[2]INDICATEURS ACHATS - Matières P'!$C$2:$G$209999,5,0),0)</f>
        <v>21015</v>
      </c>
      <c r="W83" s="60">
        <f t="shared" si="15"/>
        <v>47689.95</v>
      </c>
      <c r="X83" s="28">
        <v>2.2693293353323338</v>
      </c>
      <c r="Y83" s="59">
        <v>24319.091247547251</v>
      </c>
      <c r="Z83" s="60">
        <f t="shared" si="16"/>
        <v>55188.027176682779</v>
      </c>
      <c r="AA83" s="60">
        <f t="shared" si="13"/>
        <v>55971.416017066811</v>
      </c>
      <c r="AB83" s="60">
        <f t="shared" si="14"/>
        <v>-783.38884038403194</v>
      </c>
      <c r="AC83" s="60">
        <f t="shared" si="17"/>
        <v>102877.97717668278</v>
      </c>
      <c r="AD83" s="61">
        <f>+VLOOKUP(C83,'[1]pic au 25-03'!C:R,16,FALSE)</f>
        <v>48844.091247547251</v>
      </c>
      <c r="AE83" s="31"/>
      <c r="AF83" s="62">
        <v>75219.900521222764</v>
      </c>
      <c r="AG83" s="31"/>
      <c r="AH83" s="62">
        <v>124063.99176877002</v>
      </c>
      <c r="AI83" s="31"/>
      <c r="AJ83" s="28">
        <f t="shared" si="18"/>
        <v>102877.98315869177</v>
      </c>
      <c r="AK83" s="21">
        <f>+VLOOKUP(C83,'[1]stock au 25-03-25'!A:X,24,FALSE)</f>
        <v>3510</v>
      </c>
      <c r="AL83" t="s">
        <v>45</v>
      </c>
      <c r="AM83" s="21">
        <f t="shared" si="22"/>
        <v>45334.091247547251</v>
      </c>
      <c r="AN83" t="s">
        <v>45</v>
      </c>
      <c r="AO83" s="63">
        <v>108435.43729872265</v>
      </c>
      <c r="AP83" s="64">
        <f t="shared" si="23"/>
        <v>104338.32642607689</v>
      </c>
      <c r="AQ83" t="s">
        <v>46</v>
      </c>
      <c r="AR83" s="36">
        <f>(AP83-AO83)/AO83</f>
        <v>-3.7783873747461928E-2</v>
      </c>
      <c r="AS83" s="81"/>
      <c r="AT83" s="81">
        <f>(AO83-J83)/J83</f>
        <v>0.24123691302153588</v>
      </c>
      <c r="AU83" s="81"/>
      <c r="AV83" s="66">
        <f>(AP83-J83)/J83</f>
        <v>0.19433817420924077</v>
      </c>
      <c r="BB83" s="56">
        <f>+R83*F83</f>
        <v>87360.790000000008</v>
      </c>
    </row>
    <row r="84" spans="1:54" ht="18.75" outlineLevel="1" x14ac:dyDescent="0.3">
      <c r="A84">
        <v>3</v>
      </c>
      <c r="B84" t="s">
        <v>130</v>
      </c>
      <c r="C84">
        <v>338217</v>
      </c>
      <c r="D84" t="s">
        <v>133</v>
      </c>
      <c r="E84" t="s">
        <v>62</v>
      </c>
      <c r="F84" s="21">
        <f>+VLOOKUP(C84,'[1]stock au 25-03-25'!A:D,4,FALSE)</f>
        <v>42000</v>
      </c>
      <c r="G84" t="s">
        <v>45</v>
      </c>
      <c r="H84" s="22">
        <f>+VLOOKUP(C84,'[1]stock au 25-03-25'!A:F,6,FALSE)</f>
        <v>2.1166666666666667</v>
      </c>
      <c r="I84" t="s">
        <v>46</v>
      </c>
      <c r="J84" s="56">
        <f>+VLOOKUP(C84,'[1]stock au 25-03-25'!A:H,8,FALSE)</f>
        <v>88900</v>
      </c>
      <c r="K84" t="s">
        <v>46</v>
      </c>
      <c r="L84" s="23">
        <v>2.06</v>
      </c>
      <c r="M84" t="s">
        <v>46</v>
      </c>
      <c r="N84" s="56">
        <f>+VLOOKUP(C84,'[1]stock au 25-03-25'!A:L,12,FALSE)</f>
        <v>86520</v>
      </c>
      <c r="P84" s="57">
        <v>2.06</v>
      </c>
      <c r="Q84" t="s">
        <v>46</v>
      </c>
      <c r="R84" s="25">
        <v>1.75</v>
      </c>
      <c r="T84" s="26">
        <v>1.8055555555555556</v>
      </c>
      <c r="U84" s="58">
        <f t="shared" si="21"/>
        <v>3.1746031746031758E-2</v>
      </c>
      <c r="V84" s="10">
        <f>IFERROR(VLOOKUP(C84,'[2]INDICATEURS ACHATS - Matières P'!$C$2:$G$209999,5,0),0)</f>
        <v>32400</v>
      </c>
      <c r="W84" s="60">
        <f t="shared" si="15"/>
        <v>58500</v>
      </c>
      <c r="X84" s="28">
        <v>1.75</v>
      </c>
      <c r="Y84" s="59">
        <v>14963.594094924556</v>
      </c>
      <c r="Z84" s="60">
        <f t="shared" si="16"/>
        <v>26186.289666117973</v>
      </c>
      <c r="AA84" s="60">
        <f t="shared" si="13"/>
        <v>26186.289666117973</v>
      </c>
      <c r="AB84" s="60">
        <f t="shared" si="14"/>
        <v>0</v>
      </c>
      <c r="AC84" s="60">
        <f t="shared" si="17"/>
        <v>84686.289666117969</v>
      </c>
      <c r="AD84" s="61">
        <f>+VLOOKUP(C84,'[1]pic au 25-03'!C:R,16,FALSE)</f>
        <v>49833.594094924556</v>
      </c>
      <c r="AE84" s="31"/>
      <c r="AF84" s="62">
        <v>102657.20383554458</v>
      </c>
      <c r="AG84" s="31"/>
      <c r="AH84" s="62">
        <v>102657.20383554458</v>
      </c>
      <c r="AI84" s="31"/>
      <c r="AJ84" s="28">
        <f t="shared" si="18"/>
        <v>82886.289666117969</v>
      </c>
      <c r="AK84" s="21">
        <f>+VLOOKUP(C84,'[1]stock au 25-03-25'!A:X,24,FALSE)</f>
        <v>2470</v>
      </c>
      <c r="AL84" t="s">
        <v>45</v>
      </c>
      <c r="AM84" s="21">
        <f t="shared" si="22"/>
        <v>47363.594094924556</v>
      </c>
      <c r="AN84" t="s">
        <v>45</v>
      </c>
      <c r="AO84" s="63">
        <v>96251.029556314272</v>
      </c>
      <c r="AP84" s="64">
        <f t="shared" si="23"/>
        <v>82886.289666117969</v>
      </c>
      <c r="AQ84" t="s">
        <v>46</v>
      </c>
      <c r="AR84" s="36">
        <f>(AP84-AO84)/AO84</f>
        <v>-0.1388529551507488</v>
      </c>
      <c r="AS84" s="81"/>
      <c r="AT84" s="81">
        <f>(AO84-J84)/J84</f>
        <v>8.2688746415233647E-2</v>
      </c>
      <c r="AU84" s="81"/>
      <c r="AV84" s="66">
        <f>(AP84-J84)/J84</f>
        <v>-6.7645785532981229E-2</v>
      </c>
      <c r="BB84" s="56">
        <f>+R84*F84</f>
        <v>73500</v>
      </c>
    </row>
    <row r="85" spans="1:54" ht="18.75" outlineLevel="1" x14ac:dyDescent="0.3">
      <c r="A85">
        <v>3</v>
      </c>
      <c r="B85" t="s">
        <v>130</v>
      </c>
      <c r="C85">
        <v>360439</v>
      </c>
      <c r="D85" t="s">
        <v>134</v>
      </c>
      <c r="E85" t="s">
        <v>62</v>
      </c>
      <c r="F85" s="21">
        <f>+VLOOKUP(C85,'[1]stock au 25-03-25'!A:D,4,FALSE)</f>
        <v>15500</v>
      </c>
      <c r="G85" t="s">
        <v>45</v>
      </c>
      <c r="H85" s="22">
        <f>+VLOOKUP(C85,'[1]stock au 25-03-25'!A:F,6,FALSE)</f>
        <v>5.2874193548387094</v>
      </c>
      <c r="I85" t="s">
        <v>46</v>
      </c>
      <c r="J85" s="56">
        <f>+VLOOKUP(C85,'[1]stock au 25-03-25'!A:H,8,FALSE)</f>
        <v>81955</v>
      </c>
      <c r="K85" t="s">
        <v>46</v>
      </c>
      <c r="L85" s="23">
        <v>5.4</v>
      </c>
      <c r="M85" t="s">
        <v>46</v>
      </c>
      <c r="N85" s="56">
        <f>+VLOOKUP(C85,'[1]stock au 25-03-25'!A:L,12,FALSE)</f>
        <v>83700</v>
      </c>
      <c r="P85" s="57">
        <v>5.4</v>
      </c>
      <c r="Q85" t="s">
        <v>46</v>
      </c>
      <c r="R85" s="25">
        <v>5.17</v>
      </c>
      <c r="T85" s="26">
        <v>5.17</v>
      </c>
      <c r="U85" s="58">
        <f t="shared" si="21"/>
        <v>0</v>
      </c>
      <c r="V85" s="10">
        <f>IFERROR(VLOOKUP(C85,'[2]INDICATEURS ACHATS - Matières P'!$C$2:$G$209999,5,0),0)</f>
        <v>7200</v>
      </c>
      <c r="W85" s="60">
        <f t="shared" si="15"/>
        <v>37224</v>
      </c>
      <c r="X85" s="28">
        <v>5.17</v>
      </c>
      <c r="Y85" s="59">
        <v>8661.5986766346141</v>
      </c>
      <c r="Z85" s="60">
        <f t="shared" si="16"/>
        <v>44780.465158200954</v>
      </c>
      <c r="AA85" s="60">
        <f t="shared" si="13"/>
        <v>44780.465158200954</v>
      </c>
      <c r="AB85" s="60">
        <f t="shared" si="14"/>
        <v>0</v>
      </c>
      <c r="AC85" s="60">
        <f t="shared" si="17"/>
        <v>82004.465158200954</v>
      </c>
      <c r="AD85" s="61">
        <f>+VLOOKUP(C85,'[1]pic au 25-03'!C:R,16,FALSE)</f>
        <v>16615.598676634614</v>
      </c>
      <c r="AE85" s="31"/>
      <c r="AF85" s="62">
        <v>89724.232853826921</v>
      </c>
      <c r="AG85" s="31"/>
      <c r="AH85" s="62">
        <v>89724.232853826921</v>
      </c>
      <c r="AI85" s="31"/>
      <c r="AJ85" s="28">
        <f t="shared" si="18"/>
        <v>82004.465158200954</v>
      </c>
      <c r="AK85" s="21">
        <f>+VLOOKUP(C85,'[1]stock au 25-03-25'!A:X,24,FALSE)</f>
        <v>754</v>
      </c>
      <c r="AL85" t="s">
        <v>45</v>
      </c>
      <c r="AM85" s="21">
        <f t="shared" si="22"/>
        <v>15861.598676634614</v>
      </c>
      <c r="AN85" t="s">
        <v>45</v>
      </c>
      <c r="AO85" s="63">
        <v>78365.538487650949</v>
      </c>
      <c r="AP85" s="64">
        <f t="shared" si="23"/>
        <v>82004.465158200954</v>
      </c>
      <c r="AQ85" t="s">
        <v>46</v>
      </c>
      <c r="AR85" s="36">
        <f>(AP85-AO85)/AO85</f>
        <v>4.6435292103855531E-2</v>
      </c>
      <c r="AS85" s="81"/>
      <c r="AT85" s="81">
        <f>(AO85-J85)/J85</f>
        <v>-4.3797956346154E-2</v>
      </c>
      <c r="AU85" s="81"/>
      <c r="AV85" s="66">
        <f>(AP85-J85)/J85</f>
        <v>6.0356486121595674E-4</v>
      </c>
      <c r="BB85" s="56">
        <f>+R85*F85</f>
        <v>80135</v>
      </c>
    </row>
    <row r="86" spans="1:54" ht="18.75" outlineLevel="1" x14ac:dyDescent="0.3">
      <c r="A86">
        <v>3</v>
      </c>
      <c r="B86" t="s">
        <v>130</v>
      </c>
      <c r="C86">
        <v>338235</v>
      </c>
      <c r="D86" t="s">
        <v>135</v>
      </c>
      <c r="E86" t="s">
        <v>62</v>
      </c>
      <c r="F86" s="21">
        <f>+VLOOKUP(C86,'[1]stock au 25-03-25'!A:D,4,FALSE)</f>
        <v>22930</v>
      </c>
      <c r="G86" t="s">
        <v>45</v>
      </c>
      <c r="H86" s="22">
        <f>+VLOOKUP(C86,'[1]stock au 25-03-25'!A:F,6,FALSE)</f>
        <v>3.1310000000000002</v>
      </c>
      <c r="I86" t="s">
        <v>46</v>
      </c>
      <c r="J86" s="56">
        <f>+VLOOKUP(C86,'[1]stock au 25-03-25'!A:H,8,FALSE)</f>
        <v>71793.83</v>
      </c>
      <c r="K86" t="s">
        <v>46</v>
      </c>
      <c r="L86" s="23">
        <v>3.36</v>
      </c>
      <c r="M86" t="s">
        <v>46</v>
      </c>
      <c r="N86" s="56">
        <f>+VLOOKUP(C86,'[1]stock au 25-03-25'!A:L,12,FALSE)</f>
        <v>77044.800000000003</v>
      </c>
      <c r="P86" s="57">
        <v>3.36</v>
      </c>
      <c r="Q86" t="s">
        <v>46</v>
      </c>
      <c r="R86" s="25">
        <v>3.4380000000000002</v>
      </c>
      <c r="T86" s="26">
        <v>3.2060000000000004</v>
      </c>
      <c r="U86" s="58">
        <f t="shared" si="21"/>
        <v>-6.7481093659104055E-2</v>
      </c>
      <c r="V86" s="10">
        <f>IFERROR(VLOOKUP(C86,'[2]INDICATEURS ACHATS - Matières P'!$C$2:$G$209999,5,0),0)</f>
        <v>11520</v>
      </c>
      <c r="W86" s="60">
        <f t="shared" si="15"/>
        <v>36933.120000000003</v>
      </c>
      <c r="X86" s="28">
        <v>3.2810000000000001</v>
      </c>
      <c r="Y86" s="59">
        <v>9534.3295042687751</v>
      </c>
      <c r="Z86" s="60">
        <f t="shared" si="16"/>
        <v>31282.135103505851</v>
      </c>
      <c r="AA86" s="60">
        <f t="shared" si="13"/>
        <v>32779.024835676049</v>
      </c>
      <c r="AB86" s="60">
        <f t="shared" si="14"/>
        <v>-1496.8897321701988</v>
      </c>
      <c r="AC86" s="60">
        <f t="shared" si="17"/>
        <v>68215.255103505857</v>
      </c>
      <c r="AD86" s="61">
        <f>+VLOOKUP(C86,'[1]pic au 25-03'!C:R,16,FALSE)</f>
        <v>25504.329504268775</v>
      </c>
      <c r="AE86" s="31"/>
      <c r="AF86" s="62">
        <v>85694.547134343098</v>
      </c>
      <c r="AG86" s="31"/>
      <c r="AH86" s="62">
        <v>85694.547134343098</v>
      </c>
      <c r="AI86" s="31"/>
      <c r="AJ86" s="28">
        <f t="shared" si="18"/>
        <v>69079.255103505857</v>
      </c>
      <c r="AK86" s="21">
        <f>+VLOOKUP(C86,'[1]stock au 25-03-25'!A:X,24,FALSE)</f>
        <v>4450</v>
      </c>
      <c r="AL86" t="s">
        <v>45</v>
      </c>
      <c r="AM86" s="21">
        <f t="shared" si="22"/>
        <v>21054.329504268775</v>
      </c>
      <c r="AN86" t="s">
        <v>45</v>
      </c>
      <c r="AO86" s="63">
        <v>68488.525677865546</v>
      </c>
      <c r="AP86" s="64">
        <f t="shared" si="23"/>
        <v>72384.784835676051</v>
      </c>
      <c r="AQ86" t="s">
        <v>46</v>
      </c>
      <c r="AR86" s="36">
        <f>(AP86-AO86)/AO86</f>
        <v>5.688922515483083E-2</v>
      </c>
      <c r="AS86" s="81"/>
      <c r="AT86" s="81">
        <f>(AO86-J86)/J86</f>
        <v>-4.6038835400402177E-2</v>
      </c>
      <c r="AU86" s="81"/>
      <c r="AV86" s="66">
        <f>(AP86-J86)/J86</f>
        <v>8.2312760814689748E-3</v>
      </c>
      <c r="BB86" s="56">
        <f>+R86*F86</f>
        <v>78833.340000000011</v>
      </c>
    </row>
    <row r="87" spans="1:54" ht="18.75" outlineLevel="1" x14ac:dyDescent="0.3">
      <c r="A87">
        <v>3</v>
      </c>
      <c r="B87" t="s">
        <v>130</v>
      </c>
      <c r="C87">
        <v>339741</v>
      </c>
      <c r="D87" t="s">
        <v>136</v>
      </c>
      <c r="E87" t="s">
        <v>62</v>
      </c>
      <c r="F87" s="21">
        <f>+VLOOKUP(C87,'[1]stock au 25-03-25'!A:D,4,FALSE)</f>
        <v>116640</v>
      </c>
      <c r="G87" t="s">
        <v>65</v>
      </c>
      <c r="H87" s="22">
        <f>+VLOOKUP(C87,'[1]stock au 25-03-25'!A:F,6,FALSE)</f>
        <v>0.72249999999999992</v>
      </c>
      <c r="I87" t="s">
        <v>46</v>
      </c>
      <c r="J87" s="56">
        <f>+VLOOKUP(C87,'[1]stock au 25-03-25'!A:H,8,FALSE)</f>
        <v>84272.4</v>
      </c>
      <c r="K87" t="s">
        <v>46</v>
      </c>
      <c r="L87" s="23">
        <v>0.74</v>
      </c>
      <c r="M87" t="s">
        <v>46</v>
      </c>
      <c r="N87" s="56">
        <f>+VLOOKUP(C87,'[1]stock au 25-03-25'!A:L,12,FALSE)</f>
        <v>86313.600000000006</v>
      </c>
      <c r="P87" s="57">
        <v>0.74</v>
      </c>
      <c r="Q87" t="s">
        <v>46</v>
      </c>
      <c r="R87" s="25">
        <f>H87*(1+VLOOKUP(A87,'[1]Variation MP'!$B$3:$D$22,3))</f>
        <v>0.72249999999999992</v>
      </c>
      <c r="T87" s="26">
        <v>0.72249999999999992</v>
      </c>
      <c r="U87" s="58">
        <f t="shared" si="21"/>
        <v>0</v>
      </c>
      <c r="V87" s="10">
        <f>IFERROR(VLOOKUP(C87,'[2]INDICATEURS ACHATS - Matières P'!$C$2:$G$209999,5,0),0)</f>
        <v>76464</v>
      </c>
      <c r="W87" s="60">
        <f t="shared" si="15"/>
        <v>55245.239999999991</v>
      </c>
      <c r="X87" s="28">
        <v>0.72249999999999992</v>
      </c>
      <c r="Y87" s="59">
        <v>37652.849049673212</v>
      </c>
      <c r="Z87" s="60">
        <f t="shared" si="16"/>
        <v>27204.183438388893</v>
      </c>
      <c r="AA87" s="60">
        <f t="shared" si="13"/>
        <v>27204.183438388893</v>
      </c>
      <c r="AB87" s="60">
        <f t="shared" si="14"/>
        <v>0</v>
      </c>
      <c r="AC87" s="60">
        <f t="shared" si="17"/>
        <v>82449.423438388883</v>
      </c>
      <c r="AD87" s="61">
        <f>+VLOOKUP(C87,'[1]pic au 25-03'!C:R,16,FALSE)</f>
        <v>144269.84904967321</v>
      </c>
      <c r="AE87" s="31"/>
      <c r="AF87" s="62">
        <v>106759.68829675818</v>
      </c>
      <c r="AG87" s="31"/>
      <c r="AH87" s="62">
        <v>106759.68829675818</v>
      </c>
      <c r="AI87" s="31"/>
      <c r="AJ87" s="28">
        <f t="shared" si="18"/>
        <v>82449.423438388883</v>
      </c>
      <c r="AK87" s="21">
        <f>+VLOOKUP(C87,'[1]stock au 25-03-25'!A:X,24,FALSE)</f>
        <v>30153</v>
      </c>
      <c r="AL87" t="s">
        <v>65</v>
      </c>
      <c r="AM87" s="21">
        <f t="shared" si="22"/>
        <v>114116.84904967321</v>
      </c>
      <c r="AN87" t="s">
        <v>65</v>
      </c>
      <c r="AO87" s="63">
        <v>65220.68843838889</v>
      </c>
      <c r="AP87" s="64">
        <f t="shared" si="23"/>
        <v>82449.423438388883</v>
      </c>
      <c r="AQ87" t="s">
        <v>46</v>
      </c>
      <c r="AR87" s="36">
        <f>(AP87-AO87)/AO87</f>
        <v>0.26416058174968854</v>
      </c>
      <c r="AS87" s="81"/>
      <c r="AT87" s="81">
        <f>(AO87-J87)/J87</f>
        <v>-0.22607296768112817</v>
      </c>
      <c r="AU87" s="81"/>
      <c r="AV87" s="66">
        <f>(AP87-J87)/J87</f>
        <v>-2.1631952591964997E-2</v>
      </c>
      <c r="BB87" s="56">
        <f>+R87*F87</f>
        <v>84272.4</v>
      </c>
    </row>
    <row r="88" spans="1:54" ht="18.75" outlineLevel="1" x14ac:dyDescent="0.3">
      <c r="A88">
        <v>3</v>
      </c>
      <c r="B88" t="s">
        <v>130</v>
      </c>
      <c r="C88">
        <v>338225</v>
      </c>
      <c r="D88" t="s">
        <v>137</v>
      </c>
      <c r="E88" t="s">
        <v>62</v>
      </c>
      <c r="F88" s="21">
        <f>+VLOOKUP(C88,'[1]stock au 25-03-25'!A:D,4,FALSE)</f>
        <v>59100</v>
      </c>
      <c r="G88" t="s">
        <v>45</v>
      </c>
      <c r="H88" s="22">
        <f>+VLOOKUP(C88,'[1]stock au 25-03-25'!A:F,6,FALSE)</f>
        <v>1.0987947546531303</v>
      </c>
      <c r="I88" t="s">
        <v>46</v>
      </c>
      <c r="J88" s="56">
        <f>+VLOOKUP(C88,'[1]stock au 25-03-25'!A:H,8,FALSE)</f>
        <v>64938.77</v>
      </c>
      <c r="K88" t="s">
        <v>46</v>
      </c>
      <c r="L88" s="23">
        <v>1.33</v>
      </c>
      <c r="M88" t="s">
        <v>46</v>
      </c>
      <c r="N88" s="56">
        <f>+VLOOKUP(C88,'[1]stock au 25-03-25'!A:L,12,FALSE)</f>
        <v>78603</v>
      </c>
      <c r="P88" s="57">
        <v>1.33</v>
      </c>
      <c r="Q88" t="s">
        <v>46</v>
      </c>
      <c r="R88" s="25">
        <v>1.06</v>
      </c>
      <c r="T88" s="26">
        <v>1.058999892415277</v>
      </c>
      <c r="U88" s="58">
        <f t="shared" si="21"/>
        <v>-9.434977214368114E-4</v>
      </c>
      <c r="V88" s="10">
        <f>IFERROR(VLOOKUP(C88,'[2]INDICATEURS ACHATS - Matières P'!$C$2:$G$209999,5,0),0)</f>
        <v>46475</v>
      </c>
      <c r="W88" s="60">
        <f t="shared" si="15"/>
        <v>49217.02</v>
      </c>
      <c r="X88" s="28">
        <v>1.0589999999999999</v>
      </c>
      <c r="Y88" s="59">
        <v>14948.596217513048</v>
      </c>
      <c r="Z88" s="60">
        <f t="shared" si="16"/>
        <v>15830.563394346316</v>
      </c>
      <c r="AA88" s="60">
        <f t="shared" si="13"/>
        <v>15845.511990563831</v>
      </c>
      <c r="AB88" s="60">
        <f t="shared" si="14"/>
        <v>-14.948596217514933</v>
      </c>
      <c r="AC88" s="60">
        <f t="shared" si="17"/>
        <v>65047.583394346315</v>
      </c>
      <c r="AD88" s="61">
        <f>+VLOOKUP(C88,'[1]pic au 25-03'!C:R,16,FALSE)</f>
        <v>62873.596217513048</v>
      </c>
      <c r="AE88" s="31"/>
      <c r="AF88" s="62">
        <v>83621.882969292361</v>
      </c>
      <c r="AG88" s="31"/>
      <c r="AH88" s="62">
        <v>83621.882969292361</v>
      </c>
      <c r="AI88" s="31"/>
      <c r="AJ88" s="28">
        <f t="shared" si="18"/>
        <v>65047.588394346312</v>
      </c>
      <c r="AK88" s="21">
        <f>+VLOOKUP(C88,'[1]stock au 25-03-25'!A:X,24,FALSE)</f>
        <v>1450</v>
      </c>
      <c r="AL88" t="s">
        <v>45</v>
      </c>
      <c r="AM88" s="21">
        <f t="shared" si="22"/>
        <v>61423.596217513048</v>
      </c>
      <c r="AN88" t="s">
        <v>45</v>
      </c>
      <c r="AO88" s="63">
        <v>63793.628985720337</v>
      </c>
      <c r="AP88" s="64">
        <f t="shared" si="23"/>
        <v>65109.011990563835</v>
      </c>
      <c r="AQ88" t="s">
        <v>46</v>
      </c>
      <c r="AR88" s="36">
        <f>(AP88-AO88)/AO88</f>
        <v>2.0619347507851212E-2</v>
      </c>
      <c r="AS88" s="81"/>
      <c r="AT88" s="81">
        <f>(AO88-J88)/J88</f>
        <v>-1.7634165449694528E-2</v>
      </c>
      <c r="AU88" s="81"/>
      <c r="AV88" s="66">
        <f>(AP88-J88)/J88</f>
        <v>2.6215770727384896E-3</v>
      </c>
      <c r="BB88" s="56">
        <f>+R88*F88</f>
        <v>62646</v>
      </c>
    </row>
    <row r="89" spans="1:54" ht="18.75" outlineLevel="1" x14ac:dyDescent="0.3">
      <c r="A89">
        <v>3</v>
      </c>
      <c r="B89" t="s">
        <v>130</v>
      </c>
      <c r="C89">
        <v>338204</v>
      </c>
      <c r="D89" t="s">
        <v>138</v>
      </c>
      <c r="E89" t="s">
        <v>62</v>
      </c>
      <c r="F89" s="21">
        <f>+VLOOKUP(C89,'[1]stock au 25-03-25'!A:D,4,FALSE)</f>
        <v>54720</v>
      </c>
      <c r="G89" t="s">
        <v>45</v>
      </c>
      <c r="H89" s="22">
        <f>+VLOOKUP(C89,'[1]stock au 25-03-25'!A:F,6,FALSE)</f>
        <v>1.2294736842105263</v>
      </c>
      <c r="I89" t="s">
        <v>46</v>
      </c>
      <c r="J89" s="56">
        <f>+VLOOKUP(C89,'[1]stock au 25-03-25'!A:H,8,FALSE)</f>
        <v>67276.800000000003</v>
      </c>
      <c r="K89" t="s">
        <v>46</v>
      </c>
      <c r="L89" s="23">
        <v>1.43</v>
      </c>
      <c r="M89" t="s">
        <v>46</v>
      </c>
      <c r="N89" s="56">
        <f>+VLOOKUP(C89,'[1]stock au 25-03-25'!A:L,12,FALSE)</f>
        <v>78249.599999999991</v>
      </c>
      <c r="P89" s="57">
        <v>1.42</v>
      </c>
      <c r="Q89" t="s">
        <v>46</v>
      </c>
      <c r="R89" s="25">
        <v>1.18</v>
      </c>
      <c r="T89" s="26">
        <v>1.18</v>
      </c>
      <c r="U89" s="58">
        <f t="shared" si="21"/>
        <v>0</v>
      </c>
      <c r="V89" s="10">
        <f>IFERROR(VLOOKUP(C89,'[2]INDICATEURS ACHATS - Matières P'!$C$2:$G$209999,5,0),0)</f>
        <v>30240</v>
      </c>
      <c r="W89" s="60">
        <f t="shared" si="15"/>
        <v>35683.199999999997</v>
      </c>
      <c r="X89" s="28">
        <v>1.18</v>
      </c>
      <c r="Y89" s="59">
        <v>17238.789734192302</v>
      </c>
      <c r="Z89" s="60">
        <f t="shared" si="16"/>
        <v>20341.771886346916</v>
      </c>
      <c r="AA89" s="60">
        <f t="shared" si="13"/>
        <v>20341.771886346916</v>
      </c>
      <c r="AB89" s="60">
        <f t="shared" si="14"/>
        <v>0</v>
      </c>
      <c r="AC89" s="60">
        <f t="shared" si="17"/>
        <v>56024.971886346917</v>
      </c>
      <c r="AD89" s="61">
        <f>+VLOOKUP(C89,'[1]pic au 25-03'!C:R,16,FALSE)</f>
        <v>51338.789734192302</v>
      </c>
      <c r="AE89" s="31"/>
      <c r="AF89" s="62">
        <v>72901.081422553078</v>
      </c>
      <c r="AG89" s="31"/>
      <c r="AH89" s="62">
        <v>73414.469319894997</v>
      </c>
      <c r="AI89" s="31"/>
      <c r="AJ89" s="28">
        <f t="shared" si="18"/>
        <v>56024.97188634691</v>
      </c>
      <c r="AK89" s="21">
        <f>+VLOOKUP(C89,'[1]stock au 25-03-25'!A:X,24,FALSE)</f>
        <v>3860</v>
      </c>
      <c r="AL89" t="s">
        <v>45</v>
      </c>
      <c r="AM89" s="21">
        <f t="shared" si="22"/>
        <v>47478.789734192302</v>
      </c>
      <c r="AN89" t="s">
        <v>45</v>
      </c>
      <c r="AO89" s="63">
        <v>59400.752848119912</v>
      </c>
      <c r="AP89" s="64">
        <f t="shared" si="23"/>
        <v>56024.97188634691</v>
      </c>
      <c r="AQ89" t="s">
        <v>46</v>
      </c>
      <c r="AR89" s="36">
        <f>(AP89-AO89)/AO89</f>
        <v>-5.6830609039660487E-2</v>
      </c>
      <c r="AS89" s="81"/>
      <c r="AT89" s="81">
        <f>(AO89-J89)/J89</f>
        <v>-0.11706928914395588</v>
      </c>
      <c r="AU89" s="81"/>
      <c r="AV89" s="66">
        <f>(AP89-J89)/J89</f>
        <v>-0.16724677918172523</v>
      </c>
      <c r="BB89" s="56">
        <f>+R89*F89</f>
        <v>64569.599999999999</v>
      </c>
    </row>
    <row r="90" spans="1:54" ht="18.75" outlineLevel="1" x14ac:dyDescent="0.3">
      <c r="A90">
        <v>3</v>
      </c>
      <c r="B90" t="s">
        <v>130</v>
      </c>
      <c r="C90">
        <v>338210</v>
      </c>
      <c r="D90" t="s">
        <v>139</v>
      </c>
      <c r="E90" t="s">
        <v>62</v>
      </c>
      <c r="F90" s="21">
        <f>+VLOOKUP(C90,'[1]stock au 25-03-25'!A:D,4,FALSE)</f>
        <v>21060</v>
      </c>
      <c r="G90" t="s">
        <v>45</v>
      </c>
      <c r="H90" s="22">
        <f>+VLOOKUP(C90,'[1]stock au 25-03-25'!A:F,6,FALSE)</f>
        <v>1.7900094966761633</v>
      </c>
      <c r="I90" t="s">
        <v>46</v>
      </c>
      <c r="J90" s="56">
        <f>+VLOOKUP(C90,'[1]stock au 25-03-25'!A:H,8,FALSE)</f>
        <v>37697.599999999999</v>
      </c>
      <c r="K90" t="s">
        <v>46</v>
      </c>
      <c r="L90" s="23">
        <v>1.67</v>
      </c>
      <c r="M90" t="s">
        <v>46</v>
      </c>
      <c r="N90" s="56">
        <f>+VLOOKUP(C90,'[1]stock au 25-03-25'!A:L,12,FALSE)</f>
        <v>35170.199999999997</v>
      </c>
      <c r="P90" s="57">
        <v>1.66</v>
      </c>
      <c r="Q90" t="s">
        <v>46</v>
      </c>
      <c r="R90" s="25">
        <v>1.6</v>
      </c>
      <c r="T90" s="26">
        <v>1.701200923787529</v>
      </c>
      <c r="U90" s="58">
        <f t="shared" si="21"/>
        <v>6.3250577367205546E-2</v>
      </c>
      <c r="V90" s="10">
        <f>IFERROR(VLOOKUP(C90,'[2]INDICATEURS ACHATS - Matières P'!$C$2:$G$209999,5,0),0)</f>
        <v>10825</v>
      </c>
      <c r="W90" s="60">
        <f t="shared" si="15"/>
        <v>18415.5</v>
      </c>
      <c r="X90" s="28">
        <v>1.6</v>
      </c>
      <c r="Y90" s="59">
        <v>11937.23046993464</v>
      </c>
      <c r="Z90" s="60">
        <f t="shared" si="16"/>
        <v>19099.568751895426</v>
      </c>
      <c r="AA90" s="60">
        <f t="shared" si="13"/>
        <v>19099.568751895426</v>
      </c>
      <c r="AB90" s="60">
        <f t="shared" si="14"/>
        <v>0</v>
      </c>
      <c r="AC90" s="60">
        <f t="shared" si="17"/>
        <v>37515.068751895422</v>
      </c>
      <c r="AD90" s="61">
        <f>+VLOOKUP(C90,'[1]pic au 25-03'!C:R,16,FALSE)</f>
        <v>25556.36246993464</v>
      </c>
      <c r="AE90" s="31"/>
      <c r="AF90" s="62">
        <v>42423.561700091501</v>
      </c>
      <c r="AG90" s="31"/>
      <c r="AH90" s="62">
        <v>42679.125324790846</v>
      </c>
      <c r="AI90" s="31"/>
      <c r="AJ90" s="28">
        <f t="shared" si="18"/>
        <v>36419.568751895422</v>
      </c>
      <c r="AK90" s="21">
        <f>+VLOOKUP(C90,'[1]stock au 25-03-25'!A:X,24,FALSE)</f>
        <v>2794.1320000000001</v>
      </c>
      <c r="AL90" t="s">
        <v>45</v>
      </c>
      <c r="AM90" s="21">
        <f t="shared" si="22"/>
        <v>22762.230469934639</v>
      </c>
      <c r="AN90" t="s">
        <v>45</v>
      </c>
      <c r="AO90" s="63">
        <v>37508.95695966608</v>
      </c>
      <c r="AP90" s="64">
        <f t="shared" si="23"/>
        <v>36419.568751895422</v>
      </c>
      <c r="AQ90" t="s">
        <v>46</v>
      </c>
      <c r="AR90" s="36">
        <f>(AP90-AO90)/AO90</f>
        <v>-2.904341512194256E-2</v>
      </c>
      <c r="AS90" s="81"/>
      <c r="AT90" s="81">
        <f>(AO90-J90)/J90</f>
        <v>-5.0041127375195817E-3</v>
      </c>
      <c r="AU90" s="81"/>
      <c r="AV90" s="66">
        <f>(AP90-J90)/J90</f>
        <v>-3.3902191335909361E-2</v>
      </c>
      <c r="BB90" s="56">
        <f>+R90*F90</f>
        <v>33696</v>
      </c>
    </row>
    <row r="91" spans="1:54" ht="18.75" outlineLevel="1" x14ac:dyDescent="0.3">
      <c r="A91">
        <v>3</v>
      </c>
      <c r="B91" t="s">
        <v>130</v>
      </c>
      <c r="C91">
        <v>360380</v>
      </c>
      <c r="D91" t="s">
        <v>140</v>
      </c>
      <c r="E91" t="s">
        <v>62</v>
      </c>
      <c r="F91" s="21">
        <f>+VLOOKUP(C91,'[1]stock au 25-03-25'!A:D,4,FALSE)</f>
        <v>17280</v>
      </c>
      <c r="G91" t="s">
        <v>45</v>
      </c>
      <c r="H91" s="22">
        <f>+VLOOKUP(C91,'[1]stock au 25-03-25'!A:F,6,FALSE)</f>
        <v>2.1959999999999997</v>
      </c>
      <c r="I91" t="s">
        <v>46</v>
      </c>
      <c r="J91" s="56">
        <f>+VLOOKUP(C91,'[1]stock au 25-03-25'!A:H,8,FALSE)</f>
        <v>37946.879999999997</v>
      </c>
      <c r="K91" t="s">
        <v>46</v>
      </c>
      <c r="L91" s="23">
        <v>2.19</v>
      </c>
      <c r="M91" t="s">
        <v>46</v>
      </c>
      <c r="N91" s="56">
        <f>+VLOOKUP(C91,'[1]stock au 25-03-25'!A:L,12,FALSE)</f>
        <v>161568</v>
      </c>
      <c r="P91" s="57">
        <v>2.3199999999999998</v>
      </c>
      <c r="Q91" t="s">
        <v>46</v>
      </c>
      <c r="R91" s="25">
        <v>2.3079999999999998</v>
      </c>
      <c r="T91" s="26">
        <v>2.2493333333333334</v>
      </c>
      <c r="U91" s="58">
        <f t="shared" si="21"/>
        <v>-2.5418833044482853E-2</v>
      </c>
      <c r="V91" s="10">
        <f>IFERROR(VLOOKUP(C91,'[2]INDICATEURS ACHATS - Matières P'!$C$2:$G$209999,5,0),0)</f>
        <v>8640</v>
      </c>
      <c r="W91" s="60">
        <f t="shared" si="15"/>
        <v>19434.240000000002</v>
      </c>
      <c r="X91" s="28">
        <v>2.2760000000000002</v>
      </c>
      <c r="Y91" s="59">
        <v>7837.1564321153855</v>
      </c>
      <c r="Z91" s="60">
        <f t="shared" si="16"/>
        <v>17837.36803949462</v>
      </c>
      <c r="AA91" s="60">
        <f t="shared" si="13"/>
        <v>18088.15704532231</v>
      </c>
      <c r="AB91" s="60">
        <f t="shared" si="14"/>
        <v>-250.78900582768983</v>
      </c>
      <c r="AC91" s="60">
        <f t="shared" si="17"/>
        <v>37271.608039494618</v>
      </c>
      <c r="AD91" s="61">
        <f>+VLOOKUP(C91,'[1]pic au 25-03'!C:R,16,FALSE)</f>
        <v>18372.996432115386</v>
      </c>
      <c r="AE91" s="31"/>
      <c r="AF91" s="62">
        <v>42625.351722507694</v>
      </c>
      <c r="AG91" s="31"/>
      <c r="AH91" s="62">
        <v>171787.51664027886</v>
      </c>
      <c r="AI91" s="31"/>
      <c r="AJ91" s="28">
        <f t="shared" si="18"/>
        <v>37502.00803949462</v>
      </c>
      <c r="AK91" s="21">
        <f>+VLOOKUP(C91,'[1]stock au 25-03-25'!A:X,24,FALSE)</f>
        <v>1895.84</v>
      </c>
      <c r="AL91" t="s">
        <v>45</v>
      </c>
      <c r="AM91" s="21">
        <f t="shared" si="22"/>
        <v>16477.156432115386</v>
      </c>
      <c r="AN91" t="s">
        <v>45</v>
      </c>
      <c r="AO91" s="63">
        <v>36273.520164925387</v>
      </c>
      <c r="AP91" s="64">
        <f t="shared" si="23"/>
        <v>38029.277045322306</v>
      </c>
      <c r="AQ91" t="s">
        <v>46</v>
      </c>
      <c r="AR91" s="36">
        <f>(AP91-AO91)/AO91</f>
        <v>4.8403266967583826E-2</v>
      </c>
      <c r="AS91" s="81"/>
      <c r="AT91" s="81">
        <f>(AO91-J91)/J91</f>
        <v>-4.4097428697026229E-2</v>
      </c>
      <c r="AU91" s="81"/>
      <c r="AV91" s="66">
        <f>(AP91-J91)/J91</f>
        <v>2.1713786567514447E-3</v>
      </c>
      <c r="BB91" s="56">
        <f>+R91*F91</f>
        <v>39882.239999999998</v>
      </c>
    </row>
    <row r="92" spans="1:54" ht="18.75" outlineLevel="1" x14ac:dyDescent="0.3">
      <c r="A92">
        <v>3</v>
      </c>
      <c r="B92" t="s">
        <v>130</v>
      </c>
      <c r="C92">
        <v>338220</v>
      </c>
      <c r="D92" t="s">
        <v>141</v>
      </c>
      <c r="E92" t="s">
        <v>62</v>
      </c>
      <c r="F92" s="21">
        <f>+VLOOKUP(C92,'[1]stock au 25-03-25'!A:D,4,FALSE)</f>
        <v>10875</v>
      </c>
      <c r="G92" t="s">
        <v>45</v>
      </c>
      <c r="H92" s="22">
        <f>+VLOOKUP(C92,'[1]stock au 25-03-25'!A:F,6,FALSE)</f>
        <v>1.6514942528735632</v>
      </c>
      <c r="I92" t="s">
        <v>46</v>
      </c>
      <c r="J92" s="56">
        <f>+VLOOKUP(C92,'[1]stock au 25-03-25'!A:H,8,FALSE)</f>
        <v>17960</v>
      </c>
      <c r="K92" t="s">
        <v>46</v>
      </c>
      <c r="L92" s="23">
        <v>1.69</v>
      </c>
      <c r="M92" t="s">
        <v>46</v>
      </c>
      <c r="N92" s="56">
        <f>+VLOOKUP(C92,'[1]stock au 25-03-25'!A:L,12,FALSE)</f>
        <v>18378.75</v>
      </c>
      <c r="P92" s="57">
        <v>1.69</v>
      </c>
      <c r="Q92" t="s">
        <v>46</v>
      </c>
      <c r="R92" s="25">
        <f>1.6*1.1</f>
        <v>1.7600000000000002</v>
      </c>
      <c r="T92" s="26">
        <v>1.6</v>
      </c>
      <c r="U92" s="58">
        <f t="shared" si="21"/>
        <v>-9.0909090909090981E-2</v>
      </c>
      <c r="V92" s="10">
        <f>IFERROR(VLOOKUP(C92,'[2]INDICATEURS ACHATS - Matières P'!$C$2:$G$209999,5,0),0)</f>
        <v>4000</v>
      </c>
      <c r="W92" s="60">
        <f t="shared" si="15"/>
        <v>6400</v>
      </c>
      <c r="X92" s="28">
        <v>1.6</v>
      </c>
      <c r="Y92" s="59">
        <v>13491.321795001271</v>
      </c>
      <c r="Z92" s="60">
        <f t="shared" si="16"/>
        <v>21586.114872002036</v>
      </c>
      <c r="AA92" s="60">
        <f t="shared" si="13"/>
        <v>23744.726359202239</v>
      </c>
      <c r="AB92" s="60">
        <f t="shared" si="14"/>
        <v>-2158.6114872002036</v>
      </c>
      <c r="AC92" s="60">
        <f t="shared" si="17"/>
        <v>27986.114872002036</v>
      </c>
      <c r="AD92" s="61">
        <f>+VLOOKUP(C92,'[1]pic au 25-03'!C:R,16,FALSE)</f>
        <v>18413.100795001272</v>
      </c>
      <c r="AE92" s="31"/>
      <c r="AF92" s="62">
        <v>31118.140343552153</v>
      </c>
      <c r="AG92" s="31"/>
      <c r="AH92" s="62">
        <v>31118.140343552153</v>
      </c>
      <c r="AI92" s="31"/>
      <c r="AJ92" s="28">
        <f t="shared" si="18"/>
        <v>27986.114872002039</v>
      </c>
      <c r="AK92" s="21">
        <f>+VLOOKUP(C92,'[1]stock au 25-03-25'!A:X,24,FALSE)</f>
        <v>921.779</v>
      </c>
      <c r="AL92" t="s">
        <v>45</v>
      </c>
      <c r="AM92" s="21">
        <f t="shared" si="22"/>
        <v>17491.321795001273</v>
      </c>
      <c r="AN92" t="s">
        <v>45</v>
      </c>
      <c r="AO92" s="63">
        <v>28564.038766162099</v>
      </c>
      <c r="AP92" s="64">
        <f t="shared" si="23"/>
        <v>30784.726359202246</v>
      </c>
      <c r="AQ92" t="s">
        <v>46</v>
      </c>
      <c r="AR92" s="36">
        <f>(AP92-AO92)/AO92</f>
        <v>7.7744173757068519E-2</v>
      </c>
      <c r="AS92" s="81"/>
      <c r="AT92" s="81">
        <f>(AO92-J92)/J92</f>
        <v>0.59042532105579615</v>
      </c>
      <c r="AU92" s="81"/>
      <c r="AV92" s="66">
        <f>(AP92-J92)/J92</f>
        <v>0.71407162356359943</v>
      </c>
      <c r="BB92" s="56">
        <f>+R92*F92</f>
        <v>19140.000000000004</v>
      </c>
    </row>
    <row r="93" spans="1:54" ht="18.75" outlineLevel="1" x14ac:dyDescent="0.3">
      <c r="A93">
        <v>3</v>
      </c>
      <c r="B93" t="s">
        <v>130</v>
      </c>
      <c r="C93">
        <v>360446</v>
      </c>
      <c r="D93" t="s">
        <v>142</v>
      </c>
      <c r="E93" t="s">
        <v>62</v>
      </c>
      <c r="F93" s="21">
        <f>+VLOOKUP(C93,'[1]stock au 25-03-25'!A:D,4,FALSE)</f>
        <v>4120</v>
      </c>
      <c r="G93" t="s">
        <v>45</v>
      </c>
      <c r="H93" s="22">
        <f>+VLOOKUP(C93,'[1]stock au 25-03-25'!A:F,6,FALSE)</f>
        <v>5.6</v>
      </c>
      <c r="I93" t="s">
        <v>46</v>
      </c>
      <c r="J93" s="56">
        <f>+VLOOKUP(C93,'[1]stock au 25-03-25'!A:H,8,FALSE)</f>
        <v>23072</v>
      </c>
      <c r="K93" t="s">
        <v>46</v>
      </c>
      <c r="L93" s="23">
        <v>5.7</v>
      </c>
      <c r="M93" t="s">
        <v>46</v>
      </c>
      <c r="N93" s="56">
        <f>+VLOOKUP(C93,'[1]stock au 25-03-25'!A:L,12,FALSE)</f>
        <v>23484</v>
      </c>
      <c r="Q93" t="s">
        <v>46</v>
      </c>
      <c r="R93" s="25">
        <v>5.8</v>
      </c>
      <c r="T93" s="26" t="s">
        <v>53</v>
      </c>
      <c r="U93" s="58" t="str">
        <f t="shared" si="21"/>
        <v/>
      </c>
      <c r="V93" s="10">
        <f>IFERROR(VLOOKUP(C93,'[2]INDICATEURS ACHATS - Matières P'!$C$2:$G$209999,5,0),0)</f>
        <v>0</v>
      </c>
      <c r="W93" s="60">
        <f t="shared" si="15"/>
        <v>0</v>
      </c>
      <c r="X93" s="28">
        <v>5.8</v>
      </c>
      <c r="Y93" s="59">
        <v>3113.2742408270674</v>
      </c>
      <c r="Z93" s="60">
        <f t="shared" si="16"/>
        <v>18056.99059679699</v>
      </c>
      <c r="AA93" s="60">
        <f t="shared" si="13"/>
        <v>18056.99059679699</v>
      </c>
      <c r="AB93" s="60">
        <f t="shared" si="14"/>
        <v>0</v>
      </c>
      <c r="AC93" s="60">
        <f t="shared" si="17"/>
        <v>18056.99059679699</v>
      </c>
      <c r="AD93" s="61">
        <f>+VLOOKUP(C93,'[1]pic au 25-03'!C:R,16,FALSE)</f>
        <v>3391.2742408270674</v>
      </c>
      <c r="AE93" s="31"/>
      <c r="AF93" s="62"/>
      <c r="AG93" s="31"/>
      <c r="AH93" s="62">
        <v>19330.263172714287</v>
      </c>
      <c r="AI93" s="31"/>
      <c r="AJ93" s="28">
        <f t="shared" si="18"/>
        <v>18056.99059679699</v>
      </c>
      <c r="AK93" s="21">
        <f>+VLOOKUP(C93,'[1]stock au 25-03-25'!A:X,24,FALSE)</f>
        <v>278</v>
      </c>
      <c r="AL93" t="s">
        <v>45</v>
      </c>
      <c r="AM93" s="21">
        <f t="shared" si="22"/>
        <v>3113.2742408270674</v>
      </c>
      <c r="AN93" t="s">
        <v>45</v>
      </c>
      <c r="AO93" s="63">
        <v>17411.935748631578</v>
      </c>
      <c r="AP93" s="64">
        <f t="shared" si="23"/>
        <v>18056.99059679699</v>
      </c>
      <c r="AQ93" t="s">
        <v>46</v>
      </c>
      <c r="AR93" s="36">
        <f>(AP93-AO93)/AO93</f>
        <v>3.7046705057828332E-2</v>
      </c>
      <c r="AS93" s="81"/>
      <c r="AT93" s="81">
        <f>(AO93-J93)/J93</f>
        <v>-0.24532178620702244</v>
      </c>
      <c r="AU93" s="81"/>
      <c r="AV93" s="66">
        <f>(AP93-J93)/J93</f>
        <v>-0.21736344500706528</v>
      </c>
      <c r="BB93" s="56">
        <f>+R93*F93</f>
        <v>23896</v>
      </c>
    </row>
    <row r="94" spans="1:54" ht="18.75" outlineLevel="1" x14ac:dyDescent="0.3">
      <c r="A94">
        <v>3</v>
      </c>
      <c r="B94" t="s">
        <v>130</v>
      </c>
      <c r="C94">
        <v>338465</v>
      </c>
      <c r="D94" t="s">
        <v>143</v>
      </c>
      <c r="E94" t="s">
        <v>62</v>
      </c>
      <c r="F94" s="21">
        <f>+VLOOKUP(C94,'[1]stock au 25-03-25'!A:D,4,FALSE)</f>
        <v>7680</v>
      </c>
      <c r="G94" t="s">
        <v>45</v>
      </c>
      <c r="H94" s="22">
        <f>+VLOOKUP(C94,'[1]stock au 25-03-25'!A:F,6,FALSE)</f>
        <v>2.5110000000000001</v>
      </c>
      <c r="I94" t="s">
        <v>46</v>
      </c>
      <c r="J94" s="56">
        <f>+VLOOKUP(C94,'[1]stock au 25-03-25'!A:H,8,FALSE)</f>
        <v>19284.48</v>
      </c>
      <c r="K94" t="s">
        <v>46</v>
      </c>
      <c r="L94" s="23">
        <v>2.66</v>
      </c>
      <c r="M94" t="s">
        <v>46</v>
      </c>
      <c r="N94" s="56">
        <f>+VLOOKUP(C94,'[1]stock au 25-03-25'!A:L,12,FALSE)</f>
        <v>20428.800000000003</v>
      </c>
      <c r="P94" s="57">
        <v>2.66</v>
      </c>
      <c r="Q94" t="s">
        <v>46</v>
      </c>
      <c r="R94" s="25">
        <v>2.73</v>
      </c>
      <c r="T94" s="26">
        <v>2.5969171597633136</v>
      </c>
      <c r="U94" s="58">
        <f t="shared" si="21"/>
        <v>-4.8748293126991346E-2</v>
      </c>
      <c r="V94" s="10">
        <f>IFERROR(VLOOKUP(C94,'[2]INDICATEURS ACHATS - Matières P'!$C$2:$G$209999,5,0),0)</f>
        <v>3380</v>
      </c>
      <c r="W94" s="60">
        <f t="shared" si="15"/>
        <v>8777.58</v>
      </c>
      <c r="X94" s="28">
        <v>2.6310000000000002</v>
      </c>
      <c r="Y94" s="59">
        <v>3053.0081730769225</v>
      </c>
      <c r="Z94" s="60">
        <f t="shared" si="16"/>
        <v>8032.4645033653842</v>
      </c>
      <c r="AA94" s="60">
        <f t="shared" si="13"/>
        <v>8334.712312499998</v>
      </c>
      <c r="AB94" s="60">
        <f t="shared" si="14"/>
        <v>-302.24780913461382</v>
      </c>
      <c r="AC94" s="60">
        <f t="shared" si="17"/>
        <v>16810.044503365385</v>
      </c>
      <c r="AD94" s="61">
        <f>+VLOOKUP(C94,'[1]pic au 25-03'!C:R,16,FALSE)</f>
        <v>7513.0081730769225</v>
      </c>
      <c r="AE94" s="31"/>
      <c r="AF94" s="62">
        <v>19984.601740384616</v>
      </c>
      <c r="AG94" s="31"/>
      <c r="AH94" s="62">
        <v>19984.601740384616</v>
      </c>
      <c r="AI94" s="31"/>
      <c r="AJ94" s="28">
        <f t="shared" si="18"/>
        <v>16925.244503365386</v>
      </c>
      <c r="AK94" s="21">
        <f>+VLOOKUP(C94,'[1]stock au 25-03-25'!A:X,24,FALSE)</f>
        <v>1080</v>
      </c>
      <c r="AL94" t="s">
        <v>45</v>
      </c>
      <c r="AM94" s="21">
        <f t="shared" si="22"/>
        <v>6433.0081730769225</v>
      </c>
      <c r="AN94" t="s">
        <v>45</v>
      </c>
      <c r="AO94" s="63">
        <v>17165.216522596151</v>
      </c>
      <c r="AP94" s="64">
        <f t="shared" si="23"/>
        <v>17562.112312499998</v>
      </c>
      <c r="AQ94" t="s">
        <v>46</v>
      </c>
      <c r="AR94" s="36">
        <f>(AP94-AO94)/AO94</f>
        <v>2.312209632668347E-2</v>
      </c>
      <c r="AS94" s="81"/>
      <c r="AT94" s="81">
        <f>(AO94-J94)/J94</f>
        <v>-0.10989476913060911</v>
      </c>
      <c r="AU94" s="81"/>
      <c r="AV94" s="66">
        <f>(AP94-J94)/J94</f>
        <v>-8.9313670241562226E-2</v>
      </c>
      <c r="BB94" s="56">
        <f>+R94*F94</f>
        <v>20966.400000000001</v>
      </c>
    </row>
    <row r="95" spans="1:54" ht="18.75" outlineLevel="1" x14ac:dyDescent="0.3">
      <c r="A95">
        <v>3</v>
      </c>
      <c r="B95" t="s">
        <v>130</v>
      </c>
      <c r="C95">
        <v>338218</v>
      </c>
      <c r="D95" t="s">
        <v>144</v>
      </c>
      <c r="E95" t="s">
        <v>62</v>
      </c>
      <c r="F95" s="21">
        <f>+VLOOKUP(C95,'[1]stock au 25-03-25'!A:D,4,FALSE)</f>
        <v>1088.3</v>
      </c>
      <c r="G95" t="s">
        <v>45</v>
      </c>
      <c r="H95" s="22">
        <f>+VLOOKUP(C95,'[1]stock au 25-03-25'!A:F,6,FALSE)</f>
        <v>13.077864559404576</v>
      </c>
      <c r="I95" t="s">
        <v>46</v>
      </c>
      <c r="J95" s="56">
        <f>+VLOOKUP(C95,'[1]stock au 25-03-25'!A:H,8,FALSE)</f>
        <v>14232.64</v>
      </c>
      <c r="K95" t="s">
        <v>46</v>
      </c>
      <c r="L95" s="23">
        <v>14.37</v>
      </c>
      <c r="M95" t="s">
        <v>46</v>
      </c>
      <c r="N95" s="56">
        <f>+VLOOKUP(C95,'[1]stock au 25-03-25'!A:L,12,FALSE)</f>
        <v>15638.870999999999</v>
      </c>
      <c r="P95" s="57">
        <v>14.37</v>
      </c>
      <c r="Q95" t="s">
        <v>46</v>
      </c>
      <c r="R95" s="25">
        <v>13.82</v>
      </c>
      <c r="T95" s="26">
        <v>13.507079646017699</v>
      </c>
      <c r="U95" s="58">
        <f t="shared" si="21"/>
        <v>-2.264257264705509E-2</v>
      </c>
      <c r="V95" s="10">
        <f>IFERROR(VLOOKUP(C95,'[2]INDICATEURS ACHATS - Matières P'!$C$2:$G$209999,5,0),0)</f>
        <v>226</v>
      </c>
      <c r="W95" s="60">
        <f t="shared" si="15"/>
        <v>3052.6</v>
      </c>
      <c r="X95" s="28">
        <v>13.82</v>
      </c>
      <c r="Y95" s="59">
        <v>758.67101780769235</v>
      </c>
      <c r="Z95" s="60">
        <f t="shared" si="16"/>
        <v>10484.833466102309</v>
      </c>
      <c r="AA95" s="60">
        <f t="shared" si="13"/>
        <v>10484.833466102309</v>
      </c>
      <c r="AB95" s="60">
        <f t="shared" si="14"/>
        <v>0</v>
      </c>
      <c r="AC95" s="60">
        <f t="shared" si="17"/>
        <v>13537.433466102309</v>
      </c>
      <c r="AD95" s="61">
        <f>+VLOOKUP(C95,'[1]pic au 25-03'!C:R,16,FALSE)</f>
        <v>1136.0430178076924</v>
      </c>
      <c r="AE95" s="31"/>
      <c r="AF95" s="62">
        <v>16324.938165896536</v>
      </c>
      <c r="AG95" s="31"/>
      <c r="AH95" s="62">
        <v>16324.938165896536</v>
      </c>
      <c r="AI95" s="31"/>
      <c r="AJ95" s="28">
        <f t="shared" si="18"/>
        <v>13608.153466102309</v>
      </c>
      <c r="AK95" s="21">
        <f>+VLOOKUP(C95,'[1]stock au 25-03-25'!A:X,24,FALSE)</f>
        <v>151.37200000000001</v>
      </c>
      <c r="AL95" t="s">
        <v>45</v>
      </c>
      <c r="AM95" s="21">
        <f t="shared" si="22"/>
        <v>984.67101780769235</v>
      </c>
      <c r="AN95" t="s">
        <v>45</v>
      </c>
      <c r="AO95" s="63">
        <v>11507.605594643454</v>
      </c>
      <c r="AP95" s="64">
        <f t="shared" si="23"/>
        <v>13608.153466102309</v>
      </c>
      <c r="AQ95" t="s">
        <v>46</v>
      </c>
      <c r="AR95" s="36">
        <f>(AP95-AO95)/AO95</f>
        <v>0.18253561561378293</v>
      </c>
      <c r="AS95" s="81"/>
      <c r="AT95" s="81">
        <f>(AO95-J95)/J95</f>
        <v>-0.191463734441154</v>
      </c>
      <c r="AU95" s="81"/>
      <c r="AV95" s="66">
        <f>(AP95-J95)/J95</f>
        <v>-4.3877069461300967E-2</v>
      </c>
      <c r="BB95" s="56">
        <f>+R95*F95</f>
        <v>15040.306</v>
      </c>
    </row>
    <row r="96" spans="1:54" ht="18.75" outlineLevel="1" x14ac:dyDescent="0.3">
      <c r="A96">
        <v>3</v>
      </c>
      <c r="B96" t="s">
        <v>130</v>
      </c>
      <c r="C96">
        <v>339742</v>
      </c>
      <c r="D96" t="s">
        <v>145</v>
      </c>
      <c r="E96" t="s">
        <v>62</v>
      </c>
      <c r="F96" s="21">
        <f>+VLOOKUP(C96,'[1]stock au 25-03-25'!A:D,4,FALSE)</f>
        <v>1701</v>
      </c>
      <c r="G96" t="s">
        <v>45</v>
      </c>
      <c r="H96" s="22">
        <f>+VLOOKUP(C96,'[1]stock au 25-03-25'!A:F,6,FALSE)</f>
        <v>3.1920047031158143</v>
      </c>
      <c r="I96" t="s">
        <v>46</v>
      </c>
      <c r="J96" s="56">
        <f>+VLOOKUP(C96,'[1]stock au 25-03-25'!A:H,8,FALSE)</f>
        <v>5429.6</v>
      </c>
      <c r="K96" t="s">
        <v>46</v>
      </c>
      <c r="L96" s="23">
        <v>3.3</v>
      </c>
      <c r="M96" t="s">
        <v>46</v>
      </c>
      <c r="N96" s="56">
        <f>+VLOOKUP(C96,'[1]stock au 25-03-25'!A:L,12,FALSE)</f>
        <v>5613.2999999999993</v>
      </c>
      <c r="P96" s="57">
        <v>3.3</v>
      </c>
      <c r="Q96" t="s">
        <v>46</v>
      </c>
      <c r="R96" s="25">
        <v>3.49</v>
      </c>
      <c r="T96" s="26">
        <v>3.2919973544973544</v>
      </c>
      <c r="U96" s="58">
        <f t="shared" si="21"/>
        <v>-5.67342823789816E-2</v>
      </c>
      <c r="V96" s="10">
        <f>IFERROR(VLOOKUP(C96,'[2]INDICATEURS ACHATS - Matières P'!$C$2:$G$209999,5,0),0)</f>
        <v>2268</v>
      </c>
      <c r="W96" s="60">
        <f t="shared" si="15"/>
        <v>7466.25</v>
      </c>
      <c r="X96" s="28">
        <v>3.3420105820105821</v>
      </c>
      <c r="Y96" s="59">
        <v>1076.4742984682198</v>
      </c>
      <c r="Z96" s="60">
        <f t="shared" si="16"/>
        <v>3597.5884967432085</v>
      </c>
      <c r="AA96" s="60">
        <f t="shared" si="13"/>
        <v>3756.8953016540872</v>
      </c>
      <c r="AB96" s="60">
        <f t="shared" si="14"/>
        <v>-159.30680491087878</v>
      </c>
      <c r="AC96" s="60">
        <f t="shared" si="17"/>
        <v>11063.838496743208</v>
      </c>
      <c r="AD96" s="61">
        <f>+VLOOKUP(C96,'[1]pic au 25-03'!C:R,16,FALSE)</f>
        <v>4136.4742984682198</v>
      </c>
      <c r="AE96" s="31"/>
      <c r="AF96" s="62">
        <v>13650.365184945125</v>
      </c>
      <c r="AG96" s="31"/>
      <c r="AH96" s="62">
        <v>13650.365184945125</v>
      </c>
      <c r="AI96" s="31"/>
      <c r="AJ96" s="28">
        <f t="shared" si="18"/>
        <v>11177.268496743209</v>
      </c>
      <c r="AK96" s="21">
        <f>+VLOOKUP(C96,'[1]stock au 25-03-25'!A:X,24,FALSE)</f>
        <v>792</v>
      </c>
      <c r="AL96" t="s">
        <v>45</v>
      </c>
      <c r="AM96" s="21">
        <f t="shared" si="22"/>
        <v>3344.4742984682198</v>
      </c>
      <c r="AN96" t="s">
        <v>45</v>
      </c>
      <c r="AO96" s="63">
        <v>10675.57769016052</v>
      </c>
      <c r="AP96" s="64">
        <f t="shared" si="23"/>
        <v>11672.215301654087</v>
      </c>
      <c r="AQ96" t="s">
        <v>46</v>
      </c>
      <c r="AR96" s="36">
        <f>(AP96-AO96)/AO96</f>
        <v>9.335678503020485E-2</v>
      </c>
      <c r="AS96" s="81"/>
      <c r="AT96" s="81">
        <f>(AO96-J96)/J96</f>
        <v>0.96618124542517303</v>
      </c>
      <c r="AU96" s="81"/>
      <c r="AV96" s="66">
        <f>(AP96-J96)/J96</f>
        <v>1.1497376052847514</v>
      </c>
      <c r="BB96" s="56">
        <f>+R96*F96</f>
        <v>5936.4900000000007</v>
      </c>
    </row>
    <row r="97" spans="1:54" ht="18.75" outlineLevel="1" x14ac:dyDescent="0.3">
      <c r="A97">
        <v>3</v>
      </c>
      <c r="B97" t="s">
        <v>130</v>
      </c>
      <c r="C97">
        <v>360385</v>
      </c>
      <c r="D97" t="s">
        <v>146</v>
      </c>
      <c r="E97" t="s">
        <v>62</v>
      </c>
      <c r="F97" s="21">
        <f>+VLOOKUP(C97,'[1]stock au 25-03-25'!A:D,4,FALSE)</f>
        <v>2250</v>
      </c>
      <c r="G97" t="s">
        <v>45</v>
      </c>
      <c r="H97" s="22">
        <f>+VLOOKUP(C97,'[1]stock au 25-03-25'!A:F,6,FALSE)</f>
        <v>2.1833333333333331</v>
      </c>
      <c r="I97" t="s">
        <v>46</v>
      </c>
      <c r="J97" s="56">
        <f>+VLOOKUP(C97,'[1]stock au 25-03-25'!A:H,8,FALSE)</f>
        <v>4912.5</v>
      </c>
      <c r="K97" t="s">
        <v>46</v>
      </c>
      <c r="L97" s="23">
        <v>2.14</v>
      </c>
      <c r="M97" t="s">
        <v>46</v>
      </c>
      <c r="N97" s="56">
        <f>+VLOOKUP(C97,'[1]stock au 25-03-25'!A:L,12,FALSE)</f>
        <v>4815</v>
      </c>
      <c r="P97" s="57">
        <v>2.14</v>
      </c>
      <c r="Q97" t="s">
        <v>46</v>
      </c>
      <c r="R97" s="25">
        <v>2.085</v>
      </c>
      <c r="T97" s="26">
        <v>2.1330275229357798</v>
      </c>
      <c r="U97" s="58">
        <f t="shared" si="21"/>
        <v>2.3034783182628218E-2</v>
      </c>
      <c r="V97" s="10">
        <f>IFERROR(VLOOKUP(C97,'[2]INDICATEURS ACHATS - Matières P'!$C$2:$G$209999,5,0),0)</f>
        <v>2180</v>
      </c>
      <c r="W97" s="60">
        <f t="shared" si="15"/>
        <v>4650</v>
      </c>
      <c r="X97" s="28">
        <v>2.1</v>
      </c>
      <c r="Y97" s="59">
        <v>1495.8389756402707</v>
      </c>
      <c r="Z97" s="60">
        <f t="shared" si="16"/>
        <v>3141.2618488445687</v>
      </c>
      <c r="AA97" s="60">
        <f t="shared" si="13"/>
        <v>3118.8242642099644</v>
      </c>
      <c r="AB97" s="60">
        <f t="shared" si="14"/>
        <v>22.437584634604264</v>
      </c>
      <c r="AC97" s="60">
        <f t="shared" si="17"/>
        <v>7791.2618488445687</v>
      </c>
      <c r="AD97" s="61">
        <f>+VLOOKUP(C97,'[1]pic au 25-03'!C:R,16,FALSE)</f>
        <v>4924.5959756402708</v>
      </c>
      <c r="AE97" s="31"/>
      <c r="AF97" s="62">
        <v>10538.635387870183</v>
      </c>
      <c r="AG97" s="31"/>
      <c r="AH97" s="62">
        <v>10538.635387870183</v>
      </c>
      <c r="AI97" s="31"/>
      <c r="AJ97" s="28">
        <f t="shared" si="18"/>
        <v>7719.2618488445687</v>
      </c>
      <c r="AK97" s="21">
        <f>+VLOOKUP(C97,'[1]stock au 25-03-25'!A:X,24,FALSE)</f>
        <v>1248.7570000000001</v>
      </c>
      <c r="AL97" t="s">
        <v>45</v>
      </c>
      <c r="AM97" s="21">
        <f t="shared" si="22"/>
        <v>3675.8389756402707</v>
      </c>
      <c r="AN97" t="s">
        <v>45</v>
      </c>
      <c r="AO97" s="63">
        <v>9251.5712470175895</v>
      </c>
      <c r="AP97" s="64">
        <f t="shared" si="23"/>
        <v>7664.1242642099642</v>
      </c>
      <c r="AQ97" t="s">
        <v>46</v>
      </c>
      <c r="AR97" s="36">
        <f>(AP97-AO97)/AO97</f>
        <v>-0.17158674352957801</v>
      </c>
      <c r="AS97" s="81"/>
      <c r="AT97" s="81">
        <f>(AO97-J97)/J97</f>
        <v>0.88327150066515814</v>
      </c>
      <c r="AU97" s="81"/>
      <c r="AV97" s="66">
        <f>(AP97-J97)/J97</f>
        <v>0.56012707668396222</v>
      </c>
      <c r="BB97" s="56">
        <f>+R97*F97</f>
        <v>4691.25</v>
      </c>
    </row>
    <row r="98" spans="1:54" ht="18.75" outlineLevel="1" x14ac:dyDescent="0.3">
      <c r="A98">
        <v>3</v>
      </c>
      <c r="B98" t="s">
        <v>130</v>
      </c>
      <c r="C98">
        <v>360383</v>
      </c>
      <c r="D98" t="s">
        <v>147</v>
      </c>
      <c r="E98" t="s">
        <v>62</v>
      </c>
      <c r="F98" s="21">
        <f>+VLOOKUP(C98,'[1]stock au 25-03-25'!A:D,4,FALSE)</f>
        <v>7200</v>
      </c>
      <c r="G98" t="s">
        <v>45</v>
      </c>
      <c r="H98" s="22">
        <f>+VLOOKUP(C98,'[1]stock au 25-03-25'!A:F,6,FALSE)</f>
        <v>1.2691666666666668</v>
      </c>
      <c r="I98" t="s">
        <v>46</v>
      </c>
      <c r="J98" s="56">
        <f>+VLOOKUP(C98,'[1]stock au 25-03-25'!A:H,8,FALSE)</f>
        <v>9138</v>
      </c>
      <c r="K98" t="s">
        <v>46</v>
      </c>
      <c r="L98" s="23">
        <v>1.65</v>
      </c>
      <c r="M98" t="s">
        <v>46</v>
      </c>
      <c r="N98" s="56">
        <f>+VLOOKUP(C98,'[1]stock au 25-03-25'!A:L,12,FALSE)</f>
        <v>11880</v>
      </c>
      <c r="P98" s="57">
        <v>1.4</v>
      </c>
      <c r="Q98" t="s">
        <v>46</v>
      </c>
      <c r="R98" s="25">
        <v>1.23</v>
      </c>
      <c r="T98" s="26">
        <v>1.226</v>
      </c>
      <c r="U98" s="58">
        <f t="shared" si="21"/>
        <v>-3.2520325203252063E-3</v>
      </c>
      <c r="V98" s="10">
        <f>IFERROR(VLOOKUP(C98,'[2]INDICATEURS ACHATS - Matières P'!$C$2:$G$209999,5,0),0)</f>
        <v>4800</v>
      </c>
      <c r="W98" s="60">
        <f t="shared" si="15"/>
        <v>5884.8</v>
      </c>
      <c r="X98" s="28">
        <v>1.226</v>
      </c>
      <c r="Y98" s="59">
        <v>2172.0149349999992</v>
      </c>
      <c r="Z98" s="60">
        <f t="shared" si="16"/>
        <v>2662.8903103099992</v>
      </c>
      <c r="AA98" s="60">
        <f t="shared" si="13"/>
        <v>2671.5783700499992</v>
      </c>
      <c r="AB98" s="60">
        <f t="shared" si="14"/>
        <v>-8.6880597399999715</v>
      </c>
      <c r="AC98" s="60">
        <f t="shared" si="17"/>
        <v>8547.6903103099994</v>
      </c>
      <c r="AD98" s="61">
        <f>+VLOOKUP(C98,'[1]pic au 25-03'!C:R,16,FALSE)</f>
        <v>7232.0149349999992</v>
      </c>
      <c r="AE98" s="31"/>
      <c r="AF98" s="62">
        <v>10124.820909</v>
      </c>
      <c r="AG98" s="31"/>
      <c r="AH98" s="62">
        <v>11932.82464275</v>
      </c>
      <c r="AI98" s="31"/>
      <c r="AJ98" s="28">
        <f t="shared" si="18"/>
        <v>8547.6903103099994</v>
      </c>
      <c r="AK98" s="21">
        <f>+VLOOKUP(C98,'[1]stock au 25-03-25'!A:X,24,FALSE)</f>
        <v>260</v>
      </c>
      <c r="AL98" t="s">
        <v>45</v>
      </c>
      <c r="AM98" s="21">
        <f t="shared" si="22"/>
        <v>6972.0149349999992</v>
      </c>
      <c r="AN98" t="s">
        <v>45</v>
      </c>
      <c r="AO98" s="63">
        <v>8774.1615590672718</v>
      </c>
      <c r="AP98" s="64">
        <f t="shared" si="23"/>
        <v>8575.5783700499996</v>
      </c>
      <c r="AQ98" t="s">
        <v>46</v>
      </c>
      <c r="AR98" s="36">
        <f>(AP98-AO98)/AO98</f>
        <v>-2.2632725381270771E-2</v>
      </c>
      <c r="AS98" s="81"/>
      <c r="AT98" s="81">
        <f>(AO98-J98)/J98</f>
        <v>-3.9815981717304466E-2</v>
      </c>
      <c r="AU98" s="81"/>
      <c r="AV98" s="66">
        <f>(AP98-J98)/J98</f>
        <v>-6.1547562918581787E-2</v>
      </c>
      <c r="BB98" s="56">
        <f>+R98*F98</f>
        <v>8856</v>
      </c>
    </row>
    <row r="99" spans="1:54" ht="18.75" outlineLevel="1" x14ac:dyDescent="0.3">
      <c r="A99">
        <v>3</v>
      </c>
      <c r="B99" t="s">
        <v>130</v>
      </c>
      <c r="C99">
        <v>338466</v>
      </c>
      <c r="D99" t="s">
        <v>148</v>
      </c>
      <c r="E99" t="s">
        <v>62</v>
      </c>
      <c r="F99" s="21">
        <f>+VLOOKUP(C99,'[1]stock au 25-03-25'!A:D,4,FALSE)</f>
        <v>7200</v>
      </c>
      <c r="G99" t="s">
        <v>45</v>
      </c>
      <c r="H99" s="22">
        <f>+VLOOKUP(C99,'[1]stock au 25-03-25'!A:F,6,FALSE)</f>
        <v>1.2671111111111113</v>
      </c>
      <c r="I99" t="s">
        <v>46</v>
      </c>
      <c r="J99" s="56">
        <f>+VLOOKUP(C99,'[1]stock au 25-03-25'!A:H,8,FALSE)</f>
        <v>9123.2000000000007</v>
      </c>
      <c r="K99" t="s">
        <v>46</v>
      </c>
      <c r="L99" s="23">
        <v>1.49</v>
      </c>
      <c r="M99" t="s">
        <v>46</v>
      </c>
      <c r="N99" s="56">
        <f>+VLOOKUP(C99,'[1]stock au 25-03-25'!A:L,12,FALSE)</f>
        <v>10728</v>
      </c>
      <c r="P99" s="57">
        <v>1.48</v>
      </c>
      <c r="Q99" t="s">
        <v>46</v>
      </c>
      <c r="R99" s="25">
        <f>H99*(1+VLOOKUP(A99,'[1]Variation MP'!$B$3:$D$22,3))</f>
        <v>1.2671111111111113</v>
      </c>
      <c r="T99" s="26">
        <v>1.226</v>
      </c>
      <c r="U99" s="58">
        <f t="shared" si="21"/>
        <v>-3.2444756225885815E-2</v>
      </c>
      <c r="V99" s="10">
        <f>IFERROR(VLOOKUP(C99,'[2]INDICATEURS ACHATS - Matières P'!$C$2:$G$209999,5,0),0)</f>
        <v>4800</v>
      </c>
      <c r="W99" s="60">
        <f t="shared" si="15"/>
        <v>5884.8</v>
      </c>
      <c r="X99" s="28">
        <v>1.226</v>
      </c>
      <c r="Y99" s="59">
        <v>1652.0958284615381</v>
      </c>
      <c r="Z99" s="60">
        <f t="shared" si="16"/>
        <v>2025.4694856938456</v>
      </c>
      <c r="AA99" s="60">
        <f t="shared" si="13"/>
        <v>2093.3889808639315</v>
      </c>
      <c r="AB99" s="60">
        <f t="shared" si="14"/>
        <v>-67.919495170085838</v>
      </c>
      <c r="AC99" s="60">
        <f t="shared" si="17"/>
        <v>7910.269485693846</v>
      </c>
      <c r="AD99" s="61">
        <f>+VLOOKUP(C99,'[1]pic au 25-03'!C:R,16,FALSE)</f>
        <v>7187.0958284615381</v>
      </c>
      <c r="AE99" s="31"/>
      <c r="AF99" s="62">
        <v>10636.901826123076</v>
      </c>
      <c r="AG99" s="31"/>
      <c r="AH99" s="62">
        <v>10708.772784407691</v>
      </c>
      <c r="AI99" s="31"/>
      <c r="AJ99" s="28">
        <f t="shared" si="18"/>
        <v>7910.2694856938451</v>
      </c>
      <c r="AK99" s="21">
        <f>+VLOOKUP(C99,'[1]stock au 25-03-25'!A:X,24,FALSE)</f>
        <v>735</v>
      </c>
      <c r="AL99" t="s">
        <v>45</v>
      </c>
      <c r="AM99" s="21">
        <f t="shared" si="22"/>
        <v>6452.0958284615381</v>
      </c>
      <c r="AN99" t="s">
        <v>45</v>
      </c>
      <c r="AO99" s="63">
        <v>8350.3286882601915</v>
      </c>
      <c r="AP99" s="64">
        <f t="shared" si="23"/>
        <v>8175.5223141972656</v>
      </c>
      <c r="AQ99" t="s">
        <v>46</v>
      </c>
      <c r="AR99" s="36">
        <f>(AP99-AO99)/AO99</f>
        <v>-2.093407105144111E-2</v>
      </c>
      <c r="AS99" s="81"/>
      <c r="AT99" s="81">
        <f>(AO99-J99)/J99</f>
        <v>-8.4714936835738469E-2</v>
      </c>
      <c r="AU99" s="81"/>
      <c r="AV99" s="66">
        <f>(AP99-J99)/J99</f>
        <v>-0.10387557938034188</v>
      </c>
      <c r="BB99" s="56">
        <f>+R99*F99</f>
        <v>9123.2000000000007</v>
      </c>
    </row>
    <row r="100" spans="1:54" ht="18.75" outlineLevel="1" x14ac:dyDescent="0.3">
      <c r="A100">
        <v>3</v>
      </c>
      <c r="B100" t="s">
        <v>130</v>
      </c>
      <c r="C100">
        <v>338291</v>
      </c>
      <c r="D100" t="s">
        <v>149</v>
      </c>
      <c r="E100" t="s">
        <v>62</v>
      </c>
      <c r="F100" s="21">
        <f>+VLOOKUP(C100,'[1]stock au 25-03-25'!A:D,4,FALSE)</f>
        <v>2401</v>
      </c>
      <c r="G100" t="s">
        <v>45</v>
      </c>
      <c r="H100" s="22">
        <f>+VLOOKUP(C100,'[1]stock au 25-03-25'!A:F,6,FALSE)</f>
        <v>2.9039650145772593</v>
      </c>
      <c r="I100" t="s">
        <v>46</v>
      </c>
      <c r="J100" s="56">
        <f>+VLOOKUP(C100,'[1]stock au 25-03-25'!A:H,8,FALSE)</f>
        <v>6972.42</v>
      </c>
      <c r="K100" t="s">
        <v>46</v>
      </c>
      <c r="L100" s="23">
        <v>3.1</v>
      </c>
      <c r="M100" t="s">
        <v>46</v>
      </c>
      <c r="N100" s="56">
        <f>+VLOOKUP(C100,'[1]stock au 25-03-25'!A:L,12,FALSE)</f>
        <v>7443.1</v>
      </c>
      <c r="P100" s="57">
        <v>3.1</v>
      </c>
      <c r="Q100" t="s">
        <v>46</v>
      </c>
      <c r="R100" s="25">
        <f>H100*(1+VLOOKUP(A100,'[1]Variation MP'!$B$3:$D$22,3))</f>
        <v>2.9039650145772593</v>
      </c>
      <c r="T100" s="26">
        <v>3.0459999999999998</v>
      </c>
      <c r="U100" s="58">
        <f t="shared" si="21"/>
        <v>4.8910708190269658E-2</v>
      </c>
      <c r="V100" s="10">
        <f>IFERROR(VLOOKUP(C100,'[2]INDICATEURS ACHATS - Matières P'!$C$2:$G$209999,5,0),0)</f>
        <v>600</v>
      </c>
      <c r="W100" s="60">
        <f t="shared" si="15"/>
        <v>1827.6</v>
      </c>
      <c r="X100" s="28">
        <v>3.0459999999999998</v>
      </c>
      <c r="Y100" s="59">
        <v>835.77305066666679</v>
      </c>
      <c r="Z100" s="60">
        <f t="shared" si="16"/>
        <v>2545.764712330667</v>
      </c>
      <c r="AA100" s="60">
        <f t="shared" si="13"/>
        <v>2427.0556992625075</v>
      </c>
      <c r="AB100" s="60">
        <f t="shared" si="14"/>
        <v>118.70901306815949</v>
      </c>
      <c r="AC100" s="60">
        <f t="shared" si="17"/>
        <v>4373.3647123306673</v>
      </c>
      <c r="AD100" s="61">
        <f>+VLOOKUP(C100,'[1]pic au 25-03'!C:R,16,FALSE)</f>
        <v>2190.5209916666668</v>
      </c>
      <c r="AE100" s="31"/>
      <c r="AF100" s="62">
        <v>6790.615074166667</v>
      </c>
      <c r="AG100" s="31"/>
      <c r="AH100" s="62">
        <v>6790.615074166667</v>
      </c>
      <c r="AI100" s="31"/>
      <c r="AJ100" s="28">
        <f t="shared" si="18"/>
        <v>4373.3647123306664</v>
      </c>
      <c r="AK100" s="21">
        <f>+VLOOKUP(C100,'[1]stock au 25-03-25'!A:X,24,FALSE)</f>
        <v>754.74794099999997</v>
      </c>
      <c r="AL100" t="s">
        <v>45</v>
      </c>
      <c r="AM100" s="21">
        <f t="shared" si="22"/>
        <v>1435.7730506666667</v>
      </c>
      <c r="AN100" t="s">
        <v>45</v>
      </c>
      <c r="AO100" s="63">
        <v>3936.3855363250727</v>
      </c>
      <c r="AP100" s="64">
        <f t="shared" si="23"/>
        <v>4169.4347080088628</v>
      </c>
      <c r="AQ100" t="s">
        <v>46</v>
      </c>
      <c r="AR100" s="36">
        <f>(AP100-AO100)/AO100</f>
        <v>5.9203848183366686E-2</v>
      </c>
      <c r="AS100" s="81"/>
      <c r="AT100" s="81">
        <f>(AO100-J100)/J100</f>
        <v>-0.43543482229626546</v>
      </c>
      <c r="AU100" s="81"/>
      <c r="AV100" s="66">
        <f>(AP100-J100)/J100</f>
        <v>-0.40201039122587812</v>
      </c>
      <c r="BB100" s="56">
        <f>+R100*F100</f>
        <v>6972.4199999999992</v>
      </c>
    </row>
    <row r="101" spans="1:54" ht="18.75" outlineLevel="1" x14ac:dyDescent="0.3">
      <c r="A101">
        <v>3</v>
      </c>
      <c r="B101" t="s">
        <v>130</v>
      </c>
      <c r="C101">
        <v>338477</v>
      </c>
      <c r="D101" t="s">
        <v>150</v>
      </c>
      <c r="E101" t="s">
        <v>62</v>
      </c>
      <c r="F101" s="21">
        <f>+VLOOKUP(C101,'[1]stock au 25-03-25'!A:D,4,FALSE)</f>
        <v>1680</v>
      </c>
      <c r="G101" t="s">
        <v>45</v>
      </c>
      <c r="H101" s="22">
        <f>+VLOOKUP(C101,'[1]stock au 25-03-25'!A:F,6,FALSE)</f>
        <v>2.1960000000000002</v>
      </c>
      <c r="I101" t="s">
        <v>46</v>
      </c>
      <c r="J101" s="56">
        <f>+VLOOKUP(C101,'[1]stock au 25-03-25'!A:H,8,FALSE)</f>
        <v>3689.28</v>
      </c>
      <c r="K101" t="s">
        <v>46</v>
      </c>
      <c r="L101" s="23">
        <v>2.2400000000000002</v>
      </c>
      <c r="M101" t="s">
        <v>46</v>
      </c>
      <c r="N101" s="56">
        <f>+VLOOKUP(C101,'[1]stock au 25-03-25'!A:L,12,FALSE)</f>
        <v>3763.2000000000003</v>
      </c>
      <c r="P101" s="57">
        <v>2.2400000000000002</v>
      </c>
      <c r="Q101" t="s">
        <v>46</v>
      </c>
      <c r="R101" s="25">
        <v>2.3079999999999998</v>
      </c>
      <c r="T101" s="26">
        <v>2.2493333333333334</v>
      </c>
      <c r="U101" s="58">
        <f t="shared" si="21"/>
        <v>-2.5418833044482853E-2</v>
      </c>
      <c r="V101" s="10">
        <f>IFERROR(VLOOKUP(C101,'[2]INDICATEURS ACHATS - Matières P'!$C$2:$G$209999,5,0),0)</f>
        <v>3780</v>
      </c>
      <c r="W101" s="60">
        <f t="shared" si="15"/>
        <v>8502.48</v>
      </c>
      <c r="X101" s="28">
        <v>2.2759999999999998</v>
      </c>
      <c r="Y101" s="59">
        <v>-2269.7436676538464</v>
      </c>
      <c r="Z101" s="60">
        <f t="shared" si="16"/>
        <v>-5165.9365875801541</v>
      </c>
      <c r="AA101" s="60">
        <f t="shared" si="13"/>
        <v>-5238.568384945077</v>
      </c>
      <c r="AB101" s="60">
        <f t="shared" si="14"/>
        <v>72.631797364922932</v>
      </c>
      <c r="AC101" s="60">
        <f t="shared" si="17"/>
        <v>3336.5434124198455</v>
      </c>
      <c r="AD101" s="61">
        <f>+VLOOKUP(C101,'[1]pic au 25-03'!C:R,16,FALSE)</f>
        <v>1839.1123323461536</v>
      </c>
      <c r="AE101" s="31"/>
      <c r="AF101" s="62">
        <v>4119.611624455385</v>
      </c>
      <c r="AG101" s="31"/>
      <c r="AH101" s="62">
        <v>4119.611624455385</v>
      </c>
      <c r="AI101" s="31"/>
      <c r="AJ101" s="28">
        <f t="shared" si="18"/>
        <v>3437.3434124198452</v>
      </c>
      <c r="AK101" s="21">
        <f>+VLOOKUP(C101,'[1]stock au 25-03-25'!A:X,24,FALSE)</f>
        <v>328.85599999999999</v>
      </c>
      <c r="AL101" t="s">
        <v>45</v>
      </c>
      <c r="AM101" s="21">
        <f t="shared" si="22"/>
        <v>1510.2563323461536</v>
      </c>
      <c r="AN101" t="s">
        <v>45</v>
      </c>
      <c r="AO101" s="63">
        <v>3096.6066818321542</v>
      </c>
      <c r="AP101" s="64">
        <f t="shared" si="23"/>
        <v>3485.6716150549223</v>
      </c>
      <c r="AQ101" t="s">
        <v>46</v>
      </c>
      <c r="AR101" s="36">
        <f>(AP101-AO101)/AO101</f>
        <v>0.12564234763989204</v>
      </c>
      <c r="AS101" s="81"/>
      <c r="AT101" s="81">
        <f>(AO101-J101)/J101</f>
        <v>-0.16064742122252743</v>
      </c>
      <c r="AU101" s="81"/>
      <c r="AV101" s="66">
        <f>(AP101-J101)/J101</f>
        <v>-5.5189192727328334E-2</v>
      </c>
      <c r="BB101" s="56">
        <f>+R101*F101</f>
        <v>3877.4399999999996</v>
      </c>
    </row>
    <row r="102" spans="1:54" ht="18.75" outlineLevel="1" x14ac:dyDescent="0.3">
      <c r="A102">
        <v>3</v>
      </c>
      <c r="B102" t="s">
        <v>130</v>
      </c>
      <c r="C102">
        <v>338476</v>
      </c>
      <c r="D102" t="s">
        <v>151</v>
      </c>
      <c r="E102" t="s">
        <v>62</v>
      </c>
      <c r="F102" s="21">
        <f>+VLOOKUP(C102,'[1]stock au 25-03-25'!A:D,4,FALSE)</f>
        <v>1151</v>
      </c>
      <c r="G102" t="s">
        <v>45</v>
      </c>
      <c r="H102" s="22">
        <f>+VLOOKUP(C102,'[1]stock au 25-03-25'!A:F,6,FALSE)</f>
        <v>1.3176455256298869</v>
      </c>
      <c r="I102" t="s">
        <v>46</v>
      </c>
      <c r="J102" s="56">
        <f>+VLOOKUP(C102,'[1]stock au 25-03-25'!A:H,8,FALSE)</f>
        <v>1516.61</v>
      </c>
      <c r="K102" t="s">
        <v>46</v>
      </c>
      <c r="L102" s="23">
        <v>1.38</v>
      </c>
      <c r="M102" t="s">
        <v>46</v>
      </c>
      <c r="N102" s="56">
        <f>+VLOOKUP(C102,'[1]stock au 25-03-25'!A:L,12,FALSE)</f>
        <v>1588.3799999999999</v>
      </c>
      <c r="P102" s="57">
        <v>1.38</v>
      </c>
      <c r="Q102" t="s">
        <v>46</v>
      </c>
      <c r="R102" s="25">
        <f>H102*(1+VLOOKUP(A102,'[1]Variation MP'!$B$3:$D$22,3))</f>
        <v>1.3176455256298869</v>
      </c>
      <c r="T102" s="26">
        <v>1.3053356481481482</v>
      </c>
      <c r="U102" s="58">
        <f t="shared" si="21"/>
        <v>-9.3423286022651028E-3</v>
      </c>
      <c r="V102" s="10">
        <f>IFERROR(VLOOKUP(C102,'[2]INDICATEURS ACHATS - Matières P'!$C$2:$G$209999,5,0),0)</f>
        <v>1728</v>
      </c>
      <c r="W102" s="60">
        <f t="shared" si="15"/>
        <v>2255.62</v>
      </c>
      <c r="X102" s="28">
        <v>1.2830034722222221</v>
      </c>
      <c r="Y102" s="59">
        <v>-100.18629538461539</v>
      </c>
      <c r="Z102" s="60">
        <f t="shared" si="16"/>
        <v>-128.53936484754274</v>
      </c>
      <c r="AA102" s="60">
        <f t="shared" si="13"/>
        <v>-132.01002384297266</v>
      </c>
      <c r="AB102" s="60">
        <f t="shared" si="14"/>
        <v>3.4706589954299147</v>
      </c>
      <c r="AC102" s="60">
        <f t="shared" si="17"/>
        <v>2127.080635152457</v>
      </c>
      <c r="AD102" s="61">
        <f>+VLOOKUP(C102,'[1]pic au 25-03'!C:R,16,FALSE)</f>
        <v>2063.6947046153846</v>
      </c>
      <c r="AE102" s="31"/>
      <c r="AF102" s="62">
        <v>2847.8986923692305</v>
      </c>
      <c r="AG102" s="31"/>
      <c r="AH102" s="62">
        <v>2847.8986923692305</v>
      </c>
      <c r="AI102" s="31"/>
      <c r="AJ102" s="28">
        <f t="shared" si="18"/>
        <v>2088.4906351524573</v>
      </c>
      <c r="AK102" s="21">
        <f>+VLOOKUP(C102,'[1]stock au 25-03-25'!A:X,24,FALSE)</f>
        <v>435.88099999999997</v>
      </c>
      <c r="AL102" t="s">
        <v>45</v>
      </c>
      <c r="AM102" s="21">
        <f t="shared" si="22"/>
        <v>1627.8137046153847</v>
      </c>
      <c r="AN102" t="s">
        <v>45</v>
      </c>
      <c r="AO102" s="63">
        <v>2101.5378512307693</v>
      </c>
      <c r="AP102" s="64">
        <f t="shared" si="23"/>
        <v>2144.881444445472</v>
      </c>
      <c r="AQ102" t="s">
        <v>46</v>
      </c>
      <c r="AR102" s="36">
        <f>(AP102-AO102)/AO102</f>
        <v>2.0624702614477488E-2</v>
      </c>
      <c r="AS102" s="81"/>
      <c r="AT102" s="81">
        <f>(AO102-J102)/J102</f>
        <v>0.38568112516122766</v>
      </c>
      <c r="AU102" s="81"/>
      <c r="AV102" s="66">
        <f>(AP102-J102)/J102</f>
        <v>0.41426038628617251</v>
      </c>
      <c r="BB102" s="56">
        <f>+R102*F102</f>
        <v>1516.61</v>
      </c>
    </row>
    <row r="103" spans="1:54" ht="18.75" outlineLevel="1" x14ac:dyDescent="0.3">
      <c r="A103">
        <v>3</v>
      </c>
      <c r="B103" t="s">
        <v>130</v>
      </c>
      <c r="C103">
        <v>338484</v>
      </c>
      <c r="D103" t="s">
        <v>152</v>
      </c>
      <c r="E103" t="s">
        <v>62</v>
      </c>
      <c r="F103" s="21">
        <f>+VLOOKUP(C103,'[1]stock au 25-03-25'!A:D,4,FALSE)</f>
        <v>2400</v>
      </c>
      <c r="G103" t="s">
        <v>45</v>
      </c>
      <c r="H103" s="22">
        <f>+VLOOKUP(C103,'[1]stock au 25-03-25'!A:F,6,FALSE)</f>
        <v>1.056</v>
      </c>
      <c r="I103" t="s">
        <v>46</v>
      </c>
      <c r="J103" s="56">
        <f>+VLOOKUP(C103,'[1]stock au 25-03-25'!A:H,8,FALSE)</f>
        <v>2534.4</v>
      </c>
      <c r="K103" t="s">
        <v>46</v>
      </c>
      <c r="L103" s="23">
        <v>1.5</v>
      </c>
      <c r="M103" t="s">
        <v>46</v>
      </c>
      <c r="N103" s="56">
        <f>+VLOOKUP(C103,'[1]stock au 25-03-25'!A:L,12,FALSE)</f>
        <v>3600</v>
      </c>
      <c r="Q103" t="s">
        <v>46</v>
      </c>
      <c r="R103" s="25">
        <v>1.44</v>
      </c>
      <c r="T103" s="26" t="s">
        <v>53</v>
      </c>
      <c r="U103" s="58" t="str">
        <f t="shared" si="21"/>
        <v/>
      </c>
      <c r="V103" s="10">
        <f>IFERROR(VLOOKUP(C103,'[2]INDICATEURS ACHATS - Matières P'!$C$2:$G$209999,5,0),0)</f>
        <v>0</v>
      </c>
      <c r="W103" s="60">
        <f t="shared" si="15"/>
        <v>0</v>
      </c>
      <c r="X103" s="28">
        <v>1.44</v>
      </c>
      <c r="Y103" s="59">
        <v>-615</v>
      </c>
      <c r="Z103" s="60">
        <f t="shared" si="16"/>
        <v>-885.6</v>
      </c>
      <c r="AA103" s="60">
        <f t="shared" si="13"/>
        <v>-885.6</v>
      </c>
      <c r="AB103" s="60">
        <f t="shared" si="14"/>
        <v>0</v>
      </c>
      <c r="AC103" s="60">
        <f t="shared" si="17"/>
        <v>-885.6</v>
      </c>
      <c r="AD103" s="61">
        <v>0</v>
      </c>
      <c r="AE103" s="31"/>
      <c r="AF103" s="62"/>
      <c r="AG103" s="31"/>
      <c r="AH103" s="62"/>
      <c r="AI103" s="31"/>
      <c r="AJ103" s="28">
        <f t="shared" si="18"/>
        <v>0</v>
      </c>
      <c r="AK103" s="21">
        <f>+VLOOKUP(C103,'[1]stock au 25-03-25'!A:X,24,FALSE)</f>
        <v>615</v>
      </c>
      <c r="AL103" t="s">
        <v>45</v>
      </c>
      <c r="AM103" s="21">
        <f t="shared" si="22"/>
        <v>0</v>
      </c>
      <c r="AN103" t="s">
        <v>45</v>
      </c>
      <c r="AO103" s="63"/>
      <c r="AP103" s="64">
        <f t="shared" si="23"/>
        <v>0</v>
      </c>
      <c r="AQ103" t="s">
        <v>46</v>
      </c>
      <c r="AR103" s="36" t="e">
        <f>(AP103-AO103)/AO103</f>
        <v>#DIV/0!</v>
      </c>
      <c r="AS103" s="81"/>
      <c r="AT103" s="81">
        <f>(AO103-J103)/J103</f>
        <v>-1</v>
      </c>
      <c r="AU103" s="81"/>
      <c r="AV103" s="66">
        <f>(AP103-J103)/J103</f>
        <v>-1</v>
      </c>
      <c r="BB103" s="56">
        <f>+R103*F103</f>
        <v>3456</v>
      </c>
    </row>
    <row r="104" spans="1:54" ht="18.75" outlineLevel="1" x14ac:dyDescent="0.3">
      <c r="A104">
        <v>3</v>
      </c>
      <c r="B104" t="s">
        <v>130</v>
      </c>
      <c r="C104">
        <v>340580</v>
      </c>
      <c r="D104" t="s">
        <v>153</v>
      </c>
      <c r="E104" t="s">
        <v>62</v>
      </c>
      <c r="F104" s="21">
        <f>+VLOOKUP(C104,'[1]stock au 25-03-25'!A:D,4,FALSE)</f>
        <v>3000</v>
      </c>
      <c r="G104" t="s">
        <v>45</v>
      </c>
      <c r="H104" s="22">
        <f>+VLOOKUP(C104,'[1]stock au 25-03-25'!A:F,6,FALSE)</f>
        <v>4.45</v>
      </c>
      <c r="I104" t="s">
        <v>46</v>
      </c>
      <c r="J104" s="56">
        <f>+VLOOKUP(C104,'[1]stock au 25-03-25'!A:H,8,FALSE)</f>
        <v>13350</v>
      </c>
      <c r="K104" t="s">
        <v>46</v>
      </c>
      <c r="L104" s="23">
        <v>4.45</v>
      </c>
      <c r="M104" t="s">
        <v>46</v>
      </c>
      <c r="N104" s="56">
        <f>+VLOOKUP(C104,'[1]stock au 25-03-25'!A:L,12,FALSE)</f>
        <v>13350</v>
      </c>
      <c r="Q104" t="s">
        <v>46</v>
      </c>
      <c r="R104" s="25">
        <f>H104*(1+VLOOKUP(A104,'[1]Variation MP'!$B$3:$D$22,3))</f>
        <v>4.45</v>
      </c>
      <c r="T104" s="26" t="s">
        <v>53</v>
      </c>
      <c r="U104" s="58" t="str">
        <f t="shared" si="21"/>
        <v/>
      </c>
      <c r="V104" s="10">
        <f>IFERROR(VLOOKUP(C104,'[2]INDICATEURS ACHATS - Matières P'!$C$2:$G$209999,5,0),0)</f>
        <v>0</v>
      </c>
      <c r="W104" s="60">
        <f t="shared" si="15"/>
        <v>0</v>
      </c>
      <c r="X104" s="28">
        <v>4.45</v>
      </c>
      <c r="Y104" s="59">
        <v>0</v>
      </c>
      <c r="Z104" s="60">
        <f t="shared" si="16"/>
        <v>0</v>
      </c>
      <c r="AA104" s="60">
        <f t="shared" si="13"/>
        <v>0</v>
      </c>
      <c r="AB104" s="60">
        <f t="shared" si="14"/>
        <v>0</v>
      </c>
      <c r="AC104" s="60">
        <f t="shared" si="17"/>
        <v>0</v>
      </c>
      <c r="AD104" s="61">
        <v>0</v>
      </c>
      <c r="AE104" s="31"/>
      <c r="AF104" s="62"/>
      <c r="AG104" s="31"/>
      <c r="AH104" s="62"/>
      <c r="AI104" s="31"/>
      <c r="AJ104" s="28">
        <f t="shared" si="18"/>
        <v>0</v>
      </c>
      <c r="AK104" s="21">
        <f>+VLOOKUP(C104,'[1]stock au 25-03-25'!A:X,24,FALSE)</f>
        <v>0</v>
      </c>
      <c r="AL104" t="s">
        <v>45</v>
      </c>
      <c r="AM104" s="21">
        <f t="shared" si="22"/>
        <v>0</v>
      </c>
      <c r="AN104" t="s">
        <v>45</v>
      </c>
      <c r="AO104" s="63"/>
      <c r="AP104" s="64">
        <f t="shared" si="23"/>
        <v>0</v>
      </c>
      <c r="AQ104" t="s">
        <v>46</v>
      </c>
      <c r="AR104" s="36" t="e">
        <f>(AP104-AO104)/AO104</f>
        <v>#DIV/0!</v>
      </c>
      <c r="AS104" s="81"/>
      <c r="AT104" s="81">
        <f>(AO104-J104)/J104</f>
        <v>-1</v>
      </c>
      <c r="AU104" s="81"/>
      <c r="AV104" s="66">
        <f>(AP104-J104)/J104</f>
        <v>-1</v>
      </c>
      <c r="BB104" s="56">
        <f>+R104*F104</f>
        <v>13350</v>
      </c>
    </row>
    <row r="105" spans="1:54" ht="18.75" outlineLevel="1" x14ac:dyDescent="0.3">
      <c r="A105">
        <v>3</v>
      </c>
      <c r="B105" t="s">
        <v>130</v>
      </c>
      <c r="C105">
        <v>343934</v>
      </c>
      <c r="D105" t="s">
        <v>154</v>
      </c>
      <c r="E105" t="s">
        <v>62</v>
      </c>
      <c r="F105" s="21">
        <f>+VLOOKUP(C105,'[1]stock au 25-03-25'!A:D,4,FALSE)</f>
        <v>135</v>
      </c>
      <c r="G105" t="s">
        <v>45</v>
      </c>
      <c r="H105" s="22">
        <f>+VLOOKUP(C105,'[1]stock au 25-03-25'!A:F,6,FALSE)</f>
        <v>5.4270370370370369</v>
      </c>
      <c r="I105" t="s">
        <v>46</v>
      </c>
      <c r="J105" s="56">
        <f>+VLOOKUP(C105,'[1]stock au 25-03-25'!A:H,8,FALSE)</f>
        <v>732.65</v>
      </c>
      <c r="K105" t="s">
        <v>46</v>
      </c>
      <c r="L105" s="23">
        <v>5.54</v>
      </c>
      <c r="M105" t="s">
        <v>46</v>
      </c>
      <c r="N105" s="56">
        <f>+VLOOKUP(C105,'[1]stock au 25-03-25'!A:L,12,FALSE)</f>
        <v>747.9</v>
      </c>
      <c r="Q105" t="s">
        <v>46</v>
      </c>
      <c r="R105" s="25">
        <f>H105*(1+VLOOKUP(A105,'[1]Variation MP'!$B$3:$D$22,3))</f>
        <v>5.4270370370370369</v>
      </c>
      <c r="T105" s="26" t="s">
        <v>53</v>
      </c>
      <c r="U105" s="58" t="str">
        <f t="shared" si="21"/>
        <v/>
      </c>
      <c r="V105" s="10">
        <f>IFERROR(VLOOKUP(C105,'[2]INDICATEURS ACHATS - Matières P'!$C$2:$G$209999,5,0),0)</f>
        <v>0</v>
      </c>
      <c r="W105" s="60">
        <f t="shared" si="15"/>
        <v>0</v>
      </c>
      <c r="X105" s="28">
        <v>5.4270370370370369</v>
      </c>
      <c r="Y105" s="59">
        <v>0</v>
      </c>
      <c r="Z105" s="60">
        <f t="shared" si="16"/>
        <v>0</v>
      </c>
      <c r="AA105" s="60">
        <f t="shared" si="13"/>
        <v>0</v>
      </c>
      <c r="AB105" s="60">
        <f t="shared" si="14"/>
        <v>0</v>
      </c>
      <c r="AC105" s="60">
        <f t="shared" si="17"/>
        <v>0</v>
      </c>
      <c r="AD105" s="61">
        <v>0</v>
      </c>
      <c r="AE105" s="31"/>
      <c r="AF105" s="62"/>
      <c r="AG105" s="31"/>
      <c r="AH105" s="62"/>
      <c r="AI105" s="31"/>
      <c r="AJ105" s="28">
        <f t="shared" si="18"/>
        <v>0</v>
      </c>
      <c r="AK105" s="21">
        <f>+VLOOKUP(C105,'[1]stock au 25-03-25'!A:X,24,FALSE)</f>
        <v>0</v>
      </c>
      <c r="AL105" t="s">
        <v>45</v>
      </c>
      <c r="AM105" s="21">
        <f t="shared" si="22"/>
        <v>0</v>
      </c>
      <c r="AN105" t="s">
        <v>45</v>
      </c>
      <c r="AO105" s="63"/>
      <c r="AP105" s="64">
        <f t="shared" si="23"/>
        <v>0</v>
      </c>
      <c r="AQ105" t="s">
        <v>46</v>
      </c>
      <c r="AR105" s="36" t="e">
        <f>(AP105-AO105)/AO105</f>
        <v>#DIV/0!</v>
      </c>
      <c r="AS105" s="81"/>
      <c r="AT105" s="81">
        <f>(AO105-J105)/J105</f>
        <v>-1</v>
      </c>
      <c r="AU105" s="81"/>
      <c r="AV105" s="66">
        <f>(AP105-J105)/J105</f>
        <v>-1</v>
      </c>
      <c r="BB105" s="56">
        <f>+R105*F105</f>
        <v>732.65</v>
      </c>
    </row>
    <row r="106" spans="1:54" x14ac:dyDescent="0.25">
      <c r="A106" s="67"/>
      <c r="B106" s="67" t="s">
        <v>155</v>
      </c>
      <c r="C106" s="67"/>
      <c r="D106" s="67"/>
      <c r="E106" s="67"/>
      <c r="F106" s="79">
        <f>SUM(F82:F105)</f>
        <v>540243.80000000005</v>
      </c>
      <c r="G106" s="67" t="s">
        <v>45</v>
      </c>
      <c r="H106" s="69"/>
      <c r="I106" s="67"/>
      <c r="J106" s="70">
        <f>SUM(J82:J105)</f>
        <v>871901.7300000001</v>
      </c>
      <c r="K106" s="67"/>
      <c r="L106" s="69"/>
      <c r="M106" s="67"/>
      <c r="N106" s="70">
        <f>SUM(N82:N105)</f>
        <v>1040241.801</v>
      </c>
      <c r="O106" s="78"/>
      <c r="P106" s="78">
        <f>SUM(P82:P105)</f>
        <v>54.74</v>
      </c>
      <c r="Q106" s="78">
        <f>SUM(Q82:Q105)</f>
        <v>0</v>
      </c>
      <c r="R106" s="78"/>
      <c r="S106" s="78"/>
      <c r="T106" s="83"/>
      <c r="U106" s="83"/>
      <c r="V106" s="10">
        <f>IFERROR(VLOOKUP(C106,'[2]INDICATEURS ACHATS - Matières P'!$C$2:$G$209999,5,0),0)</f>
        <v>0</v>
      </c>
      <c r="W106" s="60">
        <f>SUM(W82:W105)</f>
        <v>485991.49999999994</v>
      </c>
      <c r="X106" s="28">
        <f>SUM(X82:X105)</f>
        <v>70.224880426602184</v>
      </c>
      <c r="Y106" s="59">
        <v>-70339.620940999986</v>
      </c>
      <c r="Z106" s="60">
        <f>SUM(Z82:Z105)</f>
        <v>369108.28590754227</v>
      </c>
      <c r="AA106" s="60">
        <f t="shared" si="13"/>
        <v>0</v>
      </c>
      <c r="AB106" s="60"/>
      <c r="AC106" s="60">
        <f t="shared" si="17"/>
        <v>855099.78590754222</v>
      </c>
      <c r="AD106" s="74">
        <f>SUM(AD82:AD105)</f>
        <v>608161.08748195588</v>
      </c>
      <c r="AE106" s="75"/>
      <c r="AF106" s="76">
        <f>SUM(AF82:AF105)</f>
        <v>948427.66588148021</v>
      </c>
      <c r="AG106" s="75"/>
      <c r="AH106" s="76">
        <f>SUM(AH82:AH105)</f>
        <v>1148413.0114335888</v>
      </c>
      <c r="AI106" s="75"/>
      <c r="AJ106" s="28">
        <f>SUM(AJ82:AJ105)</f>
        <v>853026.35688955116</v>
      </c>
      <c r="AK106" s="77">
        <f>SUM(AK82:AK105)</f>
        <v>70339.620940999986</v>
      </c>
      <c r="AL106" s="78">
        <f>SUM(AL82:AL105)</f>
        <v>0</v>
      </c>
      <c r="AM106" s="79">
        <f>SUM(AM82:AM105)</f>
        <v>538436.46654095582</v>
      </c>
      <c r="AN106" s="78" t="s">
        <v>45</v>
      </c>
      <c r="AO106" s="80">
        <f>SUM(AO82:AO105)</f>
        <v>839511.42820445693</v>
      </c>
      <c r="AP106" s="80">
        <f>SUM(AP82:AP105)</f>
        <v>874140.60199889273</v>
      </c>
      <c r="AQ106" s="67"/>
      <c r="AR106" s="81">
        <f>(AP106-AO106)/AO106</f>
        <v>4.1249198797091442E-2</v>
      </c>
      <c r="AS106" s="72">
        <f>AP106-AO106</f>
        <v>34629.173794435803</v>
      </c>
      <c r="AT106" s="81">
        <f>(AO106-J106)/J106</f>
        <v>-3.7149028016658675E-2</v>
      </c>
      <c r="AU106" s="82">
        <f>AO106-J106</f>
        <v>-32390.301795543171</v>
      </c>
      <c r="AV106" s="81">
        <f>(AP106-J106)/J106</f>
        <v>2.5678031386548931E-3</v>
      </c>
      <c r="AW106" s="72">
        <f>AP106-N106</f>
        <v>-166101.19900110725</v>
      </c>
      <c r="AX106" s="67"/>
      <c r="AY106" s="67"/>
      <c r="AZ106" s="81">
        <f>(AM106-F106)/F106</f>
        <v>-3.3454034253502297E-3</v>
      </c>
      <c r="BA106" s="81">
        <f>(AP106-N106)/N106</f>
        <v>-0.15967556662444413</v>
      </c>
      <c r="BB106" s="78">
        <f>SUM(BB82:BB105)</f>
        <v>880190.76099999994</v>
      </c>
    </row>
    <row r="107" spans="1:54" ht="18.75" outlineLevel="1" x14ac:dyDescent="0.3">
      <c r="A107">
        <v>4</v>
      </c>
      <c r="B107" t="s">
        <v>156</v>
      </c>
      <c r="C107">
        <v>338352</v>
      </c>
      <c r="D107" t="s">
        <v>157</v>
      </c>
      <c r="E107" t="s">
        <v>158</v>
      </c>
      <c r="F107" s="21">
        <f>+VLOOKUP(C107,'[1]stock au 25-03-25'!A:D,4,FALSE)</f>
        <v>187213.79</v>
      </c>
      <c r="G107" t="s">
        <v>45</v>
      </c>
      <c r="H107" s="22">
        <f>+VLOOKUP(C107,'[1]stock au 25-03-25'!A:F,6,FALSE)</f>
        <v>0.87934654813622426</v>
      </c>
      <c r="I107" t="s">
        <v>46</v>
      </c>
      <c r="J107" s="56">
        <f>+VLOOKUP(C107,'[1]stock au 25-03-25'!A:H,8,FALSE)</f>
        <v>164625.79999999999</v>
      </c>
      <c r="K107" t="s">
        <v>46</v>
      </c>
      <c r="L107" s="23">
        <v>0.97</v>
      </c>
      <c r="M107" t="s">
        <v>46</v>
      </c>
      <c r="N107" s="56">
        <f>+VLOOKUP(C107,'[1]stock au 25-03-25'!A:L,12,FALSE)</f>
        <v>181597.3763</v>
      </c>
      <c r="P107" s="57">
        <v>0.96</v>
      </c>
      <c r="Q107" t="s">
        <v>46</v>
      </c>
      <c r="R107" s="25">
        <v>0.8</v>
      </c>
      <c r="T107" s="26">
        <v>0.82596952559865977</v>
      </c>
      <c r="U107" s="58">
        <f t="shared" ref="U107:U170" si="24">IFERROR((T107-R107)/R107,"")</f>
        <v>3.2461906998324658E-2</v>
      </c>
      <c r="V107" s="10">
        <f>IFERROR(VLOOKUP(C107,'[2]INDICATEURS ACHATS - Matières P'!$C$2:$G$209999,5,0),0)</f>
        <v>109422.33</v>
      </c>
      <c r="W107" s="60">
        <f t="shared" si="15"/>
        <v>90379.51</v>
      </c>
      <c r="X107" s="28">
        <v>0.77250269768086</v>
      </c>
      <c r="Y107" s="59">
        <v>54140.263640918318</v>
      </c>
      <c r="Z107" s="60">
        <f t="shared" si="16"/>
        <v>41823.49971576238</v>
      </c>
      <c r="AA107" s="60">
        <f t="shared" si="13"/>
        <v>43312.210912734656</v>
      </c>
      <c r="AB107" s="60">
        <f t="shared" si="14"/>
        <v>-1488.7111969722755</v>
      </c>
      <c r="AC107" s="60">
        <f t="shared" si="17"/>
        <v>132203.00971576237</v>
      </c>
      <c r="AD107" s="61">
        <f>+VLOOKUP(C107,'[1]pic au 25-03'!C:R,16,FALSE)</f>
        <v>176008.49118791832</v>
      </c>
      <c r="AE107" s="31"/>
      <c r="AF107" s="62">
        <v>223421.17099238589</v>
      </c>
      <c r="AG107" s="31"/>
      <c r="AH107" s="62">
        <v>225748.47485688989</v>
      </c>
      <c r="AI107" s="31"/>
      <c r="AJ107" s="28">
        <f t="shared" si="18"/>
        <v>126352.54482728768</v>
      </c>
      <c r="AK107" s="21">
        <f>+VLOOKUP(C107,'[1]stock au 25-03-25'!A:X,24,FALSE)</f>
        <v>12445.897547</v>
      </c>
      <c r="AL107" t="s">
        <v>45</v>
      </c>
      <c r="AM107" s="21">
        <f t="shared" ref="AM107:AM170" si="25">IF(AD107-AK107&lt;0,0,AD107-AK107)</f>
        <v>163562.59364091832</v>
      </c>
      <c r="AN107" t="s">
        <v>45</v>
      </c>
      <c r="AO107" s="63">
        <v>200741.22608929756</v>
      </c>
      <c r="AP107" s="64">
        <f t="shared" ref="AP107:AP170" si="26">IF(AM107&lt;0,0,AM107*R107)</f>
        <v>130850.07491273466</v>
      </c>
      <c r="AQ107" t="s">
        <v>46</v>
      </c>
      <c r="AR107" s="36">
        <f>(AP107-AO107)/AO107</f>
        <v>-0.34816540945840679</v>
      </c>
      <c r="AS107" s="81"/>
      <c r="AT107" s="81">
        <f>(AO107-J107)/J107</f>
        <v>0.21937889498060192</v>
      </c>
      <c r="AU107" s="81"/>
      <c r="AV107" s="66">
        <f>(AP107-J107)/J107</f>
        <v>-0.20516665727525896</v>
      </c>
      <c r="BB107" s="56">
        <f>+R107*F107</f>
        <v>149771.03200000001</v>
      </c>
    </row>
    <row r="108" spans="1:54" ht="18.75" outlineLevel="1" x14ac:dyDescent="0.3">
      <c r="A108">
        <v>4</v>
      </c>
      <c r="B108" t="s">
        <v>156</v>
      </c>
      <c r="C108">
        <v>360410</v>
      </c>
      <c r="D108" t="s">
        <v>159</v>
      </c>
      <c r="E108" t="s">
        <v>158</v>
      </c>
      <c r="F108" s="21">
        <f>+VLOOKUP(C108,'[1]stock au 25-03-25'!A:D,4,FALSE)</f>
        <v>68310</v>
      </c>
      <c r="G108" t="s">
        <v>45</v>
      </c>
      <c r="H108" s="22">
        <f>+VLOOKUP(C108,'[1]stock au 25-03-25'!A:F,6,FALSE)</f>
        <v>1.6276811594202898</v>
      </c>
      <c r="I108" t="s">
        <v>46</v>
      </c>
      <c r="J108" s="56">
        <f>+VLOOKUP(C108,'[1]stock au 25-03-25'!A:H,8,FALSE)</f>
        <v>111186.9</v>
      </c>
      <c r="K108" t="s">
        <v>46</v>
      </c>
      <c r="L108" s="23">
        <v>1.8</v>
      </c>
      <c r="M108" t="s">
        <v>46</v>
      </c>
      <c r="N108" s="56">
        <f>+VLOOKUP(C108,'[1]stock au 25-03-25'!A:L,12,FALSE)</f>
        <v>122958</v>
      </c>
      <c r="P108" s="57">
        <v>1.8</v>
      </c>
      <c r="Q108" t="s">
        <v>46</v>
      </c>
      <c r="R108" s="25">
        <v>1.63</v>
      </c>
      <c r="T108" s="26">
        <v>1.7799999999999998</v>
      </c>
      <c r="U108" s="58">
        <f t="shared" si="24"/>
        <v>9.2024539877300568E-2</v>
      </c>
      <c r="V108" s="10">
        <f>IFERROR(VLOOKUP(C108,'[2]INDICATEURS ACHATS - Matières P'!$C$2:$G$209999,5,0),0)</f>
        <v>48480</v>
      </c>
      <c r="W108" s="60">
        <f t="shared" si="15"/>
        <v>86294.399999999994</v>
      </c>
      <c r="X108" s="28">
        <v>1.78</v>
      </c>
      <c r="Y108" s="59">
        <v>32301.752360784307</v>
      </c>
      <c r="Z108" s="60">
        <f t="shared" si="16"/>
        <v>57497.119202196067</v>
      </c>
      <c r="AA108" s="60">
        <f t="shared" si="13"/>
        <v>52651.856348078414</v>
      </c>
      <c r="AB108" s="60">
        <f t="shared" si="14"/>
        <v>4845.2628541176528</v>
      </c>
      <c r="AC108" s="60">
        <f t="shared" si="17"/>
        <v>143791.51920219607</v>
      </c>
      <c r="AD108" s="61">
        <f>+VLOOKUP(C108,'[1]pic au 25-03'!C:R,16,FALSE)</f>
        <v>88489.817360784305</v>
      </c>
      <c r="AE108" s="31"/>
      <c r="AF108" s="62">
        <v>159281.67124941177</v>
      </c>
      <c r="AG108" s="31"/>
      <c r="AH108" s="62">
        <v>159281.67124941177</v>
      </c>
      <c r="AI108" s="31"/>
      <c r="AJ108" s="28">
        <f t="shared" si="18"/>
        <v>143791.51920219607</v>
      </c>
      <c r="AK108" s="21">
        <f>+VLOOKUP(C108,'[1]stock au 25-03-25'!A:X,24,FALSE)</f>
        <v>7708.0649999999996</v>
      </c>
      <c r="AL108" t="s">
        <v>45</v>
      </c>
      <c r="AM108" s="21">
        <f t="shared" si="25"/>
        <v>80781.752360784303</v>
      </c>
      <c r="AN108" t="s">
        <v>45</v>
      </c>
      <c r="AO108" s="63">
        <v>120326.91137956067</v>
      </c>
      <c r="AP108" s="64">
        <f t="shared" si="26"/>
        <v>131674.2563480784</v>
      </c>
      <c r="AQ108" t="s">
        <v>46</v>
      </c>
      <c r="AR108" s="36">
        <f>(AP108-AO108)/AO108</f>
        <v>9.4304298501633854E-2</v>
      </c>
      <c r="AS108" s="81"/>
      <c r="AT108" s="81">
        <f>(AO108-J108)/J108</f>
        <v>8.220403104646927E-2</v>
      </c>
      <c r="AU108" s="81"/>
      <c r="AV108" s="66">
        <f>(AP108-J108)/J108</f>
        <v>0.18426052302994694</v>
      </c>
      <c r="BB108" s="56">
        <f>+R108*F108</f>
        <v>111345.29999999999</v>
      </c>
    </row>
    <row r="109" spans="1:54" ht="18.75" outlineLevel="1" x14ac:dyDescent="0.3">
      <c r="A109">
        <v>4</v>
      </c>
      <c r="B109" t="s">
        <v>156</v>
      </c>
      <c r="C109">
        <v>340009</v>
      </c>
      <c r="D109" t="s">
        <v>160</v>
      </c>
      <c r="E109" t="s">
        <v>158</v>
      </c>
      <c r="F109" s="21">
        <f>+VLOOKUP(C109,'[1]stock au 25-03-25'!A:D,4,FALSE)</f>
        <v>112880</v>
      </c>
      <c r="G109" t="s">
        <v>45</v>
      </c>
      <c r="H109" s="22">
        <f>+VLOOKUP(C109,'[1]stock au 25-03-25'!A:F,6,FALSE)</f>
        <v>1.0305293231750532</v>
      </c>
      <c r="I109" t="s">
        <v>46</v>
      </c>
      <c r="J109" s="56">
        <f>+VLOOKUP(C109,'[1]stock au 25-03-25'!A:H,8,FALSE)</f>
        <v>116326.15</v>
      </c>
      <c r="K109" t="s">
        <v>46</v>
      </c>
      <c r="L109" s="23">
        <v>1.1599999999999999</v>
      </c>
      <c r="M109" t="s">
        <v>46</v>
      </c>
      <c r="N109" s="56">
        <f>+VLOOKUP(C109,'[1]stock au 25-03-25'!A:L,12,FALSE)</f>
        <v>130940.79999999999</v>
      </c>
      <c r="P109" s="57">
        <v>0.99</v>
      </c>
      <c r="Q109" t="s">
        <v>46</v>
      </c>
      <c r="R109" s="25">
        <v>1.03</v>
      </c>
      <c r="T109" s="26">
        <v>1.0643330434095044</v>
      </c>
      <c r="U109" s="58">
        <f t="shared" si="24"/>
        <v>3.3333051853887748E-2</v>
      </c>
      <c r="V109" s="10">
        <f>IFERROR(VLOOKUP(C109,'[2]INDICATEURS ACHATS - Matières P'!$C$2:$G$209999,5,0),0)</f>
        <v>63235</v>
      </c>
      <c r="W109" s="60">
        <f t="shared" si="15"/>
        <v>67303.100000000006</v>
      </c>
      <c r="X109" s="28">
        <v>1.0165</v>
      </c>
      <c r="Y109" s="59">
        <v>47735.870829424668</v>
      </c>
      <c r="Z109" s="60">
        <f t="shared" si="16"/>
        <v>48523.512698110171</v>
      </c>
      <c r="AA109" s="60">
        <f t="shared" si="13"/>
        <v>49167.946954307408</v>
      </c>
      <c r="AB109" s="60">
        <f t="shared" si="14"/>
        <v>-644.43425619723712</v>
      </c>
      <c r="AC109" s="60">
        <f t="shared" si="17"/>
        <v>115826.61269811017</v>
      </c>
      <c r="AD109" s="61">
        <f>+VLOOKUP(C109,'[1]pic au 25-03'!C:R,16,FALSE)</f>
        <v>118565.41482942467</v>
      </c>
      <c r="AE109" s="31"/>
      <c r="AF109" s="62">
        <v>117379.76068113043</v>
      </c>
      <c r="AG109" s="31"/>
      <c r="AH109" s="62">
        <v>137535.88120213262</v>
      </c>
      <c r="AI109" s="31"/>
      <c r="AJ109" s="28">
        <f t="shared" si="18"/>
        <v>112801.89019811018</v>
      </c>
      <c r="AK109" s="21">
        <f>+VLOOKUP(C109,'[1]stock au 25-03-25'!A:X,24,FALSE)</f>
        <v>7594.5439999999999</v>
      </c>
      <c r="AL109" t="s">
        <v>45</v>
      </c>
      <c r="AM109" s="21">
        <f t="shared" si="25"/>
        <v>110970.87082942468</v>
      </c>
      <c r="AN109" t="s">
        <v>45</v>
      </c>
      <c r="AO109" s="63">
        <v>110035.0061560652</v>
      </c>
      <c r="AP109" s="64">
        <f t="shared" si="26"/>
        <v>114299.99695430743</v>
      </c>
      <c r="AQ109" t="s">
        <v>46</v>
      </c>
      <c r="AR109" s="36">
        <f>(AP109-AO109)/AO109</f>
        <v>3.8760308625721301E-2</v>
      </c>
      <c r="AS109" s="81"/>
      <c r="AT109" s="81">
        <f>(AO109-J109)/J109</f>
        <v>-5.4081939821225056E-2</v>
      </c>
      <c r="AU109" s="81"/>
      <c r="AV109" s="66">
        <f>(AP109-J109)/J109</f>
        <v>-1.7417863874052125E-2</v>
      </c>
      <c r="BB109" s="56">
        <f>+R109*F109</f>
        <v>116266.40000000001</v>
      </c>
    </row>
    <row r="110" spans="1:54" ht="18.75" outlineLevel="1" x14ac:dyDescent="0.3">
      <c r="A110">
        <v>4</v>
      </c>
      <c r="B110" t="s">
        <v>156</v>
      </c>
      <c r="C110">
        <v>340395</v>
      </c>
      <c r="D110" t="s">
        <v>161</v>
      </c>
      <c r="E110" t="s">
        <v>158</v>
      </c>
      <c r="F110" s="21">
        <f>+VLOOKUP(C110,'[1]stock au 25-03-25'!A:D,4,FALSE)</f>
        <v>50209</v>
      </c>
      <c r="G110" t="s">
        <v>45</v>
      </c>
      <c r="H110" s="22">
        <f>+VLOOKUP(C110,'[1]stock au 25-03-25'!A:F,6,FALSE)</f>
        <v>2.1241759445517734</v>
      </c>
      <c r="I110" t="s">
        <v>46</v>
      </c>
      <c r="J110" s="56">
        <f>+VLOOKUP(C110,'[1]stock au 25-03-25'!A:H,8,FALSE)</f>
        <v>106652.75</v>
      </c>
      <c r="K110" t="s">
        <v>46</v>
      </c>
      <c r="L110" s="23">
        <v>2.2000000000000002</v>
      </c>
      <c r="M110" t="s">
        <v>46</v>
      </c>
      <c r="N110" s="56">
        <f>+VLOOKUP(C110,'[1]stock au 25-03-25'!A:L,12,FALSE)</f>
        <v>110459.8</v>
      </c>
      <c r="P110" s="57">
        <v>2.02</v>
      </c>
      <c r="Q110" t="s">
        <v>46</v>
      </c>
      <c r="R110" s="25">
        <v>2.14</v>
      </c>
      <c r="T110" s="26">
        <v>2.0710880248297268</v>
      </c>
      <c r="U110" s="58">
        <f t="shared" si="24"/>
        <v>-3.2201857556202508E-2</v>
      </c>
      <c r="V110" s="10">
        <f>IFERROR(VLOOKUP(C110,'[2]INDICATEURS ACHATS - Matières P'!$C$2:$G$209999,5,0),0)</f>
        <v>23198</v>
      </c>
      <c r="W110" s="60">
        <f t="shared" si="15"/>
        <v>48045.1</v>
      </c>
      <c r="X110" s="28">
        <v>1.95</v>
      </c>
      <c r="Y110" s="59">
        <v>23605.08837369828</v>
      </c>
      <c r="Z110" s="60">
        <f t="shared" si="16"/>
        <v>46029.922328711647</v>
      </c>
      <c r="AA110" s="60">
        <f t="shared" si="13"/>
        <v>50514.889119714324</v>
      </c>
      <c r="AB110" s="60">
        <f t="shared" si="14"/>
        <v>-4484.9667910026765</v>
      </c>
      <c r="AC110" s="60">
        <f t="shared" si="17"/>
        <v>94075.022328711639</v>
      </c>
      <c r="AD110" s="61">
        <f>+VLOOKUP(C110,'[1]pic au 25-03'!C:R,16,FALSE)</f>
        <v>51603.08837369828</v>
      </c>
      <c r="AE110" s="31"/>
      <c r="AF110" s="62">
        <v>104238.23851487055</v>
      </c>
      <c r="AG110" s="31"/>
      <c r="AH110" s="62">
        <v>113526.79442213626</v>
      </c>
      <c r="AI110" s="31"/>
      <c r="AJ110" s="28">
        <f t="shared" si="18"/>
        <v>91266.022328711639</v>
      </c>
      <c r="AK110" s="21">
        <f>+VLOOKUP(C110,'[1]stock au 25-03-25'!A:X,24,FALSE)</f>
        <v>4800</v>
      </c>
      <c r="AL110" t="s">
        <v>45</v>
      </c>
      <c r="AM110" s="21">
        <f t="shared" si="25"/>
        <v>46803.08837369828</v>
      </c>
      <c r="AN110" t="s">
        <v>45</v>
      </c>
      <c r="AO110" s="63">
        <v>101736.01100509743</v>
      </c>
      <c r="AP110" s="64">
        <f t="shared" si="26"/>
        <v>100158.60911971433</v>
      </c>
      <c r="AQ110" t="s">
        <v>46</v>
      </c>
      <c r="AR110" s="36">
        <f>(AP110-AO110)/AO110</f>
        <v>-1.5504852901143064E-2</v>
      </c>
      <c r="AS110" s="81"/>
      <c r="AT110" s="81">
        <f>(AO110-J110)/J110</f>
        <v>-4.6100442744350871E-2</v>
      </c>
      <c r="AU110" s="81"/>
      <c r="AV110" s="66">
        <f>(AP110-J110)/J110</f>
        <v>-6.0890515062065206E-2</v>
      </c>
      <c r="BB110" s="56">
        <f>+R110*F110</f>
        <v>107447.26000000001</v>
      </c>
    </row>
    <row r="111" spans="1:54" ht="18.75" outlineLevel="1" x14ac:dyDescent="0.3">
      <c r="A111">
        <v>4</v>
      </c>
      <c r="B111" t="s">
        <v>156</v>
      </c>
      <c r="C111">
        <v>338338</v>
      </c>
      <c r="D111" t="s">
        <v>162</v>
      </c>
      <c r="E111" t="s">
        <v>158</v>
      </c>
      <c r="F111" s="21">
        <f>+VLOOKUP(C111,'[1]stock au 25-03-25'!A:D,4,FALSE)</f>
        <v>58240</v>
      </c>
      <c r="G111" t="s">
        <v>45</v>
      </c>
      <c r="H111" s="22">
        <f>+VLOOKUP(C111,'[1]stock au 25-03-25'!A:F,6,FALSE)</f>
        <v>1.828021978021978</v>
      </c>
      <c r="I111" t="s">
        <v>46</v>
      </c>
      <c r="J111" s="56">
        <f>+VLOOKUP(C111,'[1]stock au 25-03-25'!A:H,8,FALSE)</f>
        <v>106464</v>
      </c>
      <c r="K111" t="s">
        <v>46</v>
      </c>
      <c r="L111" s="23">
        <v>1.97</v>
      </c>
      <c r="M111" t="s">
        <v>46</v>
      </c>
      <c r="N111" s="56">
        <f>+VLOOKUP(C111,'[1]stock au 25-03-25'!A:L,12,FALSE)</f>
        <v>114732.8</v>
      </c>
      <c r="P111" s="57">
        <v>1.97</v>
      </c>
      <c r="Q111" t="s">
        <v>46</v>
      </c>
      <c r="R111" s="25">
        <v>1.83</v>
      </c>
      <c r="T111" s="26">
        <v>1.7997524752475247</v>
      </c>
      <c r="U111" s="58">
        <f t="shared" si="24"/>
        <v>-1.6528702050532997E-2</v>
      </c>
      <c r="V111" s="10">
        <f>IFERROR(VLOOKUP(C111,'[2]INDICATEURS ACHATS - Matières P'!$C$2:$G$209999,5,0),0)</f>
        <v>28280</v>
      </c>
      <c r="W111" s="60">
        <f t="shared" si="15"/>
        <v>50897</v>
      </c>
      <c r="X111" s="28">
        <v>1.6</v>
      </c>
      <c r="Y111" s="59">
        <v>24397.304979887453</v>
      </c>
      <c r="Z111" s="60">
        <f t="shared" si="16"/>
        <v>39035.687967819926</v>
      </c>
      <c r="AA111" s="60">
        <f t="shared" si="13"/>
        <v>44647.068113194044</v>
      </c>
      <c r="AB111" s="60">
        <f t="shared" si="14"/>
        <v>-5611.380145374118</v>
      </c>
      <c r="AC111" s="60">
        <f t="shared" si="17"/>
        <v>89932.687967819918</v>
      </c>
      <c r="AD111" s="61">
        <f>+VLOOKUP(C111,'[1]pic au 25-03'!C:R,16,FALSE)</f>
        <v>57839.180979887453</v>
      </c>
      <c r="AE111" s="31"/>
      <c r="AF111" s="62">
        <v>113943.18653037827</v>
      </c>
      <c r="AG111" s="31"/>
      <c r="AH111" s="62">
        <v>113943.18653037827</v>
      </c>
      <c r="AI111" s="31"/>
      <c r="AJ111" s="28">
        <f t="shared" si="18"/>
        <v>84283.687967819933</v>
      </c>
      <c r="AK111" s="21">
        <f>+VLOOKUP(C111,'[1]stock au 25-03-25'!A:X,24,FALSE)</f>
        <v>5161.8760000000002</v>
      </c>
      <c r="AL111" t="s">
        <v>45</v>
      </c>
      <c r="AM111" s="21">
        <f t="shared" si="25"/>
        <v>52677.304979887456</v>
      </c>
      <c r="AN111" t="s">
        <v>45</v>
      </c>
      <c r="AO111" s="63">
        <v>101302.73342229366</v>
      </c>
      <c r="AP111" s="64">
        <f t="shared" si="26"/>
        <v>96399.468113194045</v>
      </c>
      <c r="AQ111" t="s">
        <v>46</v>
      </c>
      <c r="AR111" s="36">
        <f>(AP111-AO111)/AO111</f>
        <v>-4.840210272174706E-2</v>
      </c>
      <c r="AS111" s="81"/>
      <c r="AT111" s="81">
        <f>(AO111-J111)/J111</f>
        <v>-4.8478984236045401E-2</v>
      </c>
      <c r="AU111" s="81"/>
      <c r="AV111" s="66">
        <f>(AP111-J111)/J111</f>
        <v>-9.4534602182953439E-2</v>
      </c>
      <c r="BB111" s="56">
        <f>+R111*F111</f>
        <v>106579.2</v>
      </c>
    </row>
    <row r="112" spans="1:54" ht="18.75" outlineLevel="1" x14ac:dyDescent="0.3">
      <c r="A112">
        <v>4</v>
      </c>
      <c r="B112" t="s">
        <v>156</v>
      </c>
      <c r="C112">
        <v>370002</v>
      </c>
      <c r="D112" t="s">
        <v>163</v>
      </c>
      <c r="E112" t="s">
        <v>158</v>
      </c>
      <c r="F112" s="21">
        <f>+VLOOKUP(C112,'[1]stock au 25-03-25'!A:D,4,FALSE)</f>
        <v>66522</v>
      </c>
      <c r="G112" t="s">
        <v>45</v>
      </c>
      <c r="H112" s="22">
        <f>+VLOOKUP(C112,'[1]stock au 25-03-25'!A:F,6,FALSE)</f>
        <v>1.3803875409638917</v>
      </c>
      <c r="I112" t="s">
        <v>46</v>
      </c>
      <c r="J112" s="56">
        <f>+VLOOKUP(C112,'[1]stock au 25-03-25'!A:H,8,FALSE)</f>
        <v>91826.14</v>
      </c>
      <c r="K112" t="s">
        <v>46</v>
      </c>
      <c r="L112" s="23">
        <v>1.46</v>
      </c>
      <c r="M112" t="s">
        <v>46</v>
      </c>
      <c r="N112" s="56">
        <f>+VLOOKUP(C112,'[1]stock au 25-03-25'!A:L,12,FALSE)</f>
        <v>97122.12</v>
      </c>
      <c r="P112" s="57">
        <v>1.46</v>
      </c>
      <c r="Q112" t="s">
        <v>46</v>
      </c>
      <c r="R112" s="25">
        <v>1.28</v>
      </c>
      <c r="T112" s="26">
        <v>1.2993787616947738</v>
      </c>
      <c r="U112" s="58">
        <f t="shared" si="24"/>
        <v>1.5139657574042044E-2</v>
      </c>
      <c r="V112" s="10">
        <f>IFERROR(VLOOKUP(C112,'[2]INDICATEURS ACHATS - Matières P'!$C$2:$G$209999,5,0),0)</f>
        <v>33562</v>
      </c>
      <c r="W112" s="60">
        <f t="shared" si="15"/>
        <v>43609.75</v>
      </c>
      <c r="X112" s="28">
        <v>1.36</v>
      </c>
      <c r="Y112" s="59">
        <v>44348.236085886499</v>
      </c>
      <c r="Z112" s="60">
        <f t="shared" si="16"/>
        <v>60313.601076805644</v>
      </c>
      <c r="AA112" s="60">
        <f t="shared" si="13"/>
        <v>56765.742189934717</v>
      </c>
      <c r="AB112" s="60">
        <f t="shared" si="14"/>
        <v>3547.8588868709267</v>
      </c>
      <c r="AC112" s="60">
        <f t="shared" si="17"/>
        <v>103923.35107680564</v>
      </c>
      <c r="AD112" s="61">
        <f>+VLOOKUP(C112,'[1]pic au 25-03'!C:R,16,FALSE)</f>
        <v>82741.5960858865</v>
      </c>
      <c r="AE112" s="31"/>
      <c r="AF112" s="62">
        <v>120802.73028539427</v>
      </c>
      <c r="AG112" s="31"/>
      <c r="AH112" s="62">
        <v>120802.73028539427</v>
      </c>
      <c r="AI112" s="31"/>
      <c r="AJ112" s="28">
        <f t="shared" si="18"/>
        <v>105957.92107680565</v>
      </c>
      <c r="AK112" s="21">
        <f>+VLOOKUP(C112,'[1]stock au 25-03-25'!A:X,24,FALSE)</f>
        <v>4831.3599999999997</v>
      </c>
      <c r="AL112" t="s">
        <v>45</v>
      </c>
      <c r="AM112" s="21">
        <f t="shared" si="25"/>
        <v>77910.236085886499</v>
      </c>
      <c r="AN112" t="s">
        <v>45</v>
      </c>
      <c r="AO112" s="63">
        <v>111824.22677456266</v>
      </c>
      <c r="AP112" s="64">
        <f t="shared" si="26"/>
        <v>99725.102189934725</v>
      </c>
      <c r="AQ112" t="s">
        <v>46</v>
      </c>
      <c r="AR112" s="36">
        <f>(AP112-AO112)/AO112</f>
        <v>-0.10819770396463135</v>
      </c>
      <c r="AS112" s="81"/>
      <c r="AT112" s="81">
        <f>(AO112-J112)/J112</f>
        <v>0.2177820691859928</v>
      </c>
      <c r="AU112" s="81"/>
      <c r="AV112" s="66">
        <f>(AP112-J112)/J112</f>
        <v>8.6020845370770524E-2</v>
      </c>
      <c r="BB112" s="56">
        <f>+R112*F112</f>
        <v>85148.160000000003</v>
      </c>
    </row>
    <row r="113" spans="1:54" ht="18.75" outlineLevel="1" x14ac:dyDescent="0.3">
      <c r="A113">
        <v>4</v>
      </c>
      <c r="B113" t="s">
        <v>156</v>
      </c>
      <c r="C113">
        <v>338182</v>
      </c>
      <c r="D113" t="s">
        <v>164</v>
      </c>
      <c r="E113" t="s">
        <v>158</v>
      </c>
      <c r="F113" s="21">
        <f>+VLOOKUP(C113,'[1]stock au 25-03-25'!A:D,4,FALSE)</f>
        <v>66639</v>
      </c>
      <c r="G113" t="s">
        <v>45</v>
      </c>
      <c r="H113" s="22">
        <f>+VLOOKUP(C113,'[1]stock au 25-03-25'!A:F,6,FALSE)</f>
        <v>0.9964015066252494</v>
      </c>
      <c r="I113" t="s">
        <v>46</v>
      </c>
      <c r="J113" s="56">
        <f>+VLOOKUP(C113,'[1]stock au 25-03-25'!A:H,8,FALSE)</f>
        <v>66399.199999999997</v>
      </c>
      <c r="K113" t="s">
        <v>46</v>
      </c>
      <c r="L113" s="23">
        <v>1.1299999999999999</v>
      </c>
      <c r="M113" t="s">
        <v>46</v>
      </c>
      <c r="N113" s="56">
        <f>+VLOOKUP(C113,'[1]stock au 25-03-25'!A:L,12,FALSE)</f>
        <v>75302.069999999992</v>
      </c>
      <c r="P113" s="57">
        <v>1.07</v>
      </c>
      <c r="Q113" t="s">
        <v>46</v>
      </c>
      <c r="R113" s="25">
        <v>1.01</v>
      </c>
      <c r="T113" s="26">
        <v>1.0273358705994291</v>
      </c>
      <c r="U113" s="58">
        <f t="shared" si="24"/>
        <v>1.716422831626643E-2</v>
      </c>
      <c r="V113" s="10">
        <f>IFERROR(VLOOKUP(C113,'[2]INDICATEURS ACHATS - Matières P'!$C$2:$G$209999,5,0),0)</f>
        <v>27326</v>
      </c>
      <c r="W113" s="60">
        <f t="shared" si="15"/>
        <v>28072.98</v>
      </c>
      <c r="X113" s="28">
        <v>1.1499999999999999</v>
      </c>
      <c r="Y113" s="59">
        <v>56407.556970947888</v>
      </c>
      <c r="Z113" s="60">
        <f t="shared" si="16"/>
        <v>64868.690516590068</v>
      </c>
      <c r="AA113" s="60">
        <f t="shared" si="13"/>
        <v>56971.632540657367</v>
      </c>
      <c r="AB113" s="60">
        <f t="shared" si="14"/>
        <v>7897.0579759327011</v>
      </c>
      <c r="AC113" s="60">
        <f t="shared" si="17"/>
        <v>92941.670516590064</v>
      </c>
      <c r="AD113" s="61">
        <f>+VLOOKUP(C113,'[1]pic au 25-03'!C:R,16,FALSE)</f>
        <v>85747.556970947888</v>
      </c>
      <c r="AE113" s="31"/>
      <c r="AF113" s="62">
        <v>91749.885958914267</v>
      </c>
      <c r="AG113" s="31"/>
      <c r="AH113" s="62">
        <v>96894.739377171121</v>
      </c>
      <c r="AI113" s="31"/>
      <c r="AJ113" s="28">
        <f t="shared" si="18"/>
        <v>96293.590516590062</v>
      </c>
      <c r="AK113" s="21">
        <f>+VLOOKUP(C113,'[1]stock au 25-03-25'!A:X,24,FALSE)</f>
        <v>2014</v>
      </c>
      <c r="AL113" t="s">
        <v>45</v>
      </c>
      <c r="AM113" s="21">
        <f t="shared" si="25"/>
        <v>83733.556970947888</v>
      </c>
      <c r="AN113" t="s">
        <v>45</v>
      </c>
      <c r="AO113" s="63">
        <v>85404.528259355866</v>
      </c>
      <c r="AP113" s="64">
        <f t="shared" si="26"/>
        <v>84570.892540657369</v>
      </c>
      <c r="AQ113" t="s">
        <v>46</v>
      </c>
      <c r="AR113" s="36">
        <f>(AP113-AO113)/AO113</f>
        <v>-9.761024803824429E-3</v>
      </c>
      <c r="AS113" s="81"/>
      <c r="AT113" s="81">
        <f>(AO113-J113)/J113</f>
        <v>0.28622827171646448</v>
      </c>
      <c r="AU113" s="81"/>
      <c r="AV113" s="66">
        <f>(AP113-J113)/J113</f>
        <v>0.27367336565285988</v>
      </c>
      <c r="BB113" s="56">
        <f>+R113*F113</f>
        <v>67305.39</v>
      </c>
    </row>
    <row r="114" spans="1:54" ht="18.75" outlineLevel="1" x14ac:dyDescent="0.3">
      <c r="A114">
        <v>4</v>
      </c>
      <c r="B114" t="s">
        <v>156</v>
      </c>
      <c r="C114">
        <v>338310</v>
      </c>
      <c r="D114" t="s">
        <v>165</v>
      </c>
      <c r="E114" t="s">
        <v>158</v>
      </c>
      <c r="F114" s="21">
        <f>+VLOOKUP(C114,'[1]stock au 25-03-25'!A:D,4,FALSE)</f>
        <v>79200</v>
      </c>
      <c r="G114" t="s">
        <v>45</v>
      </c>
      <c r="H114" s="22">
        <f>+VLOOKUP(C114,'[1]stock au 25-03-25'!A:F,6,FALSE)</f>
        <v>0.78633333333333333</v>
      </c>
      <c r="I114" t="s">
        <v>46</v>
      </c>
      <c r="J114" s="56">
        <f>+VLOOKUP(C114,'[1]stock au 25-03-25'!A:H,8,FALSE)</f>
        <v>62277.599999999999</v>
      </c>
      <c r="K114" t="s">
        <v>46</v>
      </c>
      <c r="L114" s="23">
        <v>1.17</v>
      </c>
      <c r="M114" t="s">
        <v>46</v>
      </c>
      <c r="N114" s="56">
        <f>+VLOOKUP(C114,'[1]stock au 25-03-25'!A:L,12,FALSE)</f>
        <v>92664</v>
      </c>
      <c r="P114" s="57">
        <v>1.1499999999999999</v>
      </c>
      <c r="Q114" t="s">
        <v>46</v>
      </c>
      <c r="R114" s="25">
        <v>0.8</v>
      </c>
      <c r="T114" s="26">
        <v>0.86144927536231886</v>
      </c>
      <c r="U114" s="58">
        <f t="shared" si="24"/>
        <v>7.6811594202898514E-2</v>
      </c>
      <c r="V114" s="10">
        <f>IFERROR(VLOOKUP(C114,'[2]INDICATEURS ACHATS - Matières P'!$C$2:$G$209999,5,0),0)</f>
        <v>45540</v>
      </c>
      <c r="W114" s="60">
        <f t="shared" si="15"/>
        <v>39230.400000000001</v>
      </c>
      <c r="X114" s="28">
        <v>0.75</v>
      </c>
      <c r="Y114" s="59">
        <v>26744.899325859544</v>
      </c>
      <c r="Z114" s="60">
        <f t="shared" si="16"/>
        <v>20058.674494394658</v>
      </c>
      <c r="AA114" s="60">
        <f t="shared" si="13"/>
        <v>21395.919460687637</v>
      </c>
      <c r="AB114" s="60">
        <f t="shared" si="14"/>
        <v>-1337.2449662929794</v>
      </c>
      <c r="AC114" s="60">
        <f t="shared" si="17"/>
        <v>59289.074494394663</v>
      </c>
      <c r="AD114" s="61">
        <f>+VLOOKUP(C114,'[1]pic au 25-03'!C:R,16,FALSE)</f>
        <v>81087.880325859544</v>
      </c>
      <c r="AE114" s="31"/>
      <c r="AF114" s="62">
        <v>124549.5455861829</v>
      </c>
      <c r="AG114" s="31"/>
      <c r="AH114" s="62">
        <v>126715.62463985565</v>
      </c>
      <c r="AI114" s="31"/>
      <c r="AJ114" s="28">
        <f t="shared" si="18"/>
        <v>54213.674494394654</v>
      </c>
      <c r="AK114" s="21">
        <f>+VLOOKUP(C114,'[1]stock au 25-03-25'!A:X,24,FALSE)</f>
        <v>8802.9809999999998</v>
      </c>
      <c r="AL114" t="s">
        <v>45</v>
      </c>
      <c r="AM114" s="21">
        <f t="shared" si="25"/>
        <v>72284.899325859544</v>
      </c>
      <c r="AN114" t="s">
        <v>45</v>
      </c>
      <c r="AO114" s="63">
        <v>72550.09643323347</v>
      </c>
      <c r="AP114" s="64">
        <f t="shared" si="26"/>
        <v>57827.919460687641</v>
      </c>
      <c r="AQ114" t="s">
        <v>46</v>
      </c>
      <c r="AR114" s="36">
        <f>(AP114-AO114)/AO114</f>
        <v>-0.20292429226602585</v>
      </c>
      <c r="AS114" s="81"/>
      <c r="AT114" s="81">
        <f>(AO114-J114)/J114</f>
        <v>0.16494688994491552</v>
      </c>
      <c r="AU114" s="81"/>
      <c r="AV114" s="66">
        <f>(AP114-J114)/J114</f>
        <v>-7.1449133224664368E-2</v>
      </c>
      <c r="BB114" s="56">
        <f>+R114*F114</f>
        <v>63360</v>
      </c>
    </row>
    <row r="115" spans="1:54" ht="18.75" outlineLevel="1" x14ac:dyDescent="0.3">
      <c r="A115">
        <v>4</v>
      </c>
      <c r="B115" t="s">
        <v>156</v>
      </c>
      <c r="C115">
        <v>338354</v>
      </c>
      <c r="D115" t="s">
        <v>166</v>
      </c>
      <c r="E115" t="s">
        <v>158</v>
      </c>
      <c r="F115" s="21">
        <f>+VLOOKUP(C115,'[1]stock au 25-03-25'!A:D,4,FALSE)</f>
        <v>43202</v>
      </c>
      <c r="G115" t="s">
        <v>45</v>
      </c>
      <c r="H115" s="22">
        <f>+VLOOKUP(C115,'[1]stock au 25-03-25'!A:F,6,FALSE)</f>
        <v>2.1034750705985834</v>
      </c>
      <c r="I115" t="s">
        <v>46</v>
      </c>
      <c r="J115" s="56">
        <f>+VLOOKUP(C115,'[1]stock au 25-03-25'!A:H,8,FALSE)</f>
        <v>90874.33</v>
      </c>
      <c r="K115" t="s">
        <v>46</v>
      </c>
      <c r="L115" s="23">
        <v>2.4300000000000002</v>
      </c>
      <c r="M115" t="s">
        <v>46</v>
      </c>
      <c r="N115" s="56">
        <f>+VLOOKUP(C115,'[1]stock au 25-03-25'!A:L,12,FALSE)</f>
        <v>104980.86</v>
      </c>
      <c r="P115" s="57">
        <v>2.4300000000000002</v>
      </c>
      <c r="Q115" t="s">
        <v>46</v>
      </c>
      <c r="R115" s="25">
        <v>2.0499999999999998</v>
      </c>
      <c r="T115" s="26">
        <v>1.8634832339024892</v>
      </c>
      <c r="U115" s="58">
        <f t="shared" si="24"/>
        <v>-9.0983788340249117E-2</v>
      </c>
      <c r="V115" s="10">
        <f>IFERROR(VLOOKUP(C115,'[2]INDICATEURS ACHATS - Matières P'!$C$2:$G$209999,5,0),0)</f>
        <v>24305</v>
      </c>
      <c r="W115" s="60">
        <f t="shared" si="15"/>
        <v>45291.96</v>
      </c>
      <c r="X115" s="28">
        <v>1.556</v>
      </c>
      <c r="Y115" s="59">
        <v>18774.632970184961</v>
      </c>
      <c r="Z115" s="60">
        <f t="shared" si="16"/>
        <v>29213.328901607802</v>
      </c>
      <c r="AA115" s="60">
        <f t="shared" si="13"/>
        <v>38487.997588879167</v>
      </c>
      <c r="AB115" s="60">
        <f t="shared" si="14"/>
        <v>-9274.6686872713653</v>
      </c>
      <c r="AC115" s="60">
        <f t="shared" si="17"/>
        <v>74505.288901607797</v>
      </c>
      <c r="AD115" s="61">
        <f>+VLOOKUP(C115,'[1]pic au 25-03'!C:R,16,FALSE)</f>
        <v>45575.988949184961</v>
      </c>
      <c r="AE115" s="31"/>
      <c r="AF115" s="62">
        <v>111560.21870061752</v>
      </c>
      <c r="AG115" s="31"/>
      <c r="AH115" s="62">
        <v>111560.21870061752</v>
      </c>
      <c r="AI115" s="31"/>
      <c r="AJ115" s="28">
        <f t="shared" si="18"/>
        <v>67031.908901607807</v>
      </c>
      <c r="AK115" s="21">
        <f>+VLOOKUP(C115,'[1]stock au 25-03-25'!A:X,24,FALSE)</f>
        <v>2496.3559789999999</v>
      </c>
      <c r="AL115" t="s">
        <v>45</v>
      </c>
      <c r="AM115" s="21">
        <f t="shared" si="25"/>
        <v>43079.632970184961</v>
      </c>
      <c r="AN115" t="s">
        <v>45</v>
      </c>
      <c r="AO115" s="63">
        <v>96379.295314286675</v>
      </c>
      <c r="AP115" s="64">
        <f t="shared" si="26"/>
        <v>88313.247588879167</v>
      </c>
      <c r="AQ115" t="s">
        <v>46</v>
      </c>
      <c r="AR115" s="36">
        <f>(AP115-AO115)/AO115</f>
        <v>-8.3690669236630613E-2</v>
      </c>
      <c r="AS115" s="81"/>
      <c r="AT115" s="81">
        <f>(AO115-J115)/J115</f>
        <v>6.0577781583497491E-2</v>
      </c>
      <c r="AU115" s="81"/>
      <c r="AV115" s="66">
        <f>(AP115-J115)/J115</f>
        <v>-2.8182682734726461E-2</v>
      </c>
      <c r="BB115" s="56">
        <f>+R115*F115</f>
        <v>88564.099999999991</v>
      </c>
    </row>
    <row r="116" spans="1:54" ht="18.75" outlineLevel="1" x14ac:dyDescent="0.3">
      <c r="A116">
        <v>4</v>
      </c>
      <c r="B116" t="s">
        <v>156</v>
      </c>
      <c r="C116">
        <v>338283</v>
      </c>
      <c r="D116" t="s">
        <v>167</v>
      </c>
      <c r="E116" t="s">
        <v>158</v>
      </c>
      <c r="F116" s="21">
        <f>+VLOOKUP(C116,'[1]stock au 25-03-25'!A:D,4,FALSE)</f>
        <v>43540</v>
      </c>
      <c r="G116" t="s">
        <v>45</v>
      </c>
      <c r="H116" s="22">
        <f>+VLOOKUP(C116,'[1]stock au 25-03-25'!A:F,6,FALSE)</f>
        <v>2.1052503445107948</v>
      </c>
      <c r="I116" t="s">
        <v>46</v>
      </c>
      <c r="J116" s="56">
        <f>+VLOOKUP(C116,'[1]stock au 25-03-25'!A:H,8,FALSE)</f>
        <v>91662.6</v>
      </c>
      <c r="K116" t="s">
        <v>46</v>
      </c>
      <c r="L116" s="23">
        <v>2.12</v>
      </c>
      <c r="M116" t="s">
        <v>46</v>
      </c>
      <c r="N116" s="56">
        <f>+VLOOKUP(C116,'[1]stock au 25-03-25'!A:L,12,FALSE)</f>
        <v>92304.8</v>
      </c>
      <c r="P116" s="57">
        <v>2.12</v>
      </c>
      <c r="Q116" t="s">
        <v>46</v>
      </c>
      <c r="R116" s="25">
        <v>2.11</v>
      </c>
      <c r="T116" s="26">
        <v>2.0731658291457289</v>
      </c>
      <c r="U116" s="58">
        <f t="shared" si="24"/>
        <v>-1.7456953011502838E-2</v>
      </c>
      <c r="V116" s="10">
        <f>IFERROR(VLOOKUP(C116,'[2]INDICATEURS ACHATS - Matières P'!$C$2:$G$209999,5,0),0)</f>
        <v>17910</v>
      </c>
      <c r="W116" s="60">
        <f t="shared" si="15"/>
        <v>37130.400000000001</v>
      </c>
      <c r="X116" s="28">
        <v>2.1153636363636363</v>
      </c>
      <c r="Y116" s="59">
        <v>26140.420177149343</v>
      </c>
      <c r="Z116" s="60">
        <f t="shared" si="16"/>
        <v>55296.494282008003</v>
      </c>
      <c r="AA116" s="60">
        <f t="shared" si="13"/>
        <v>55156.28657378511</v>
      </c>
      <c r="AB116" s="60">
        <f t="shared" si="14"/>
        <v>140.20770822289342</v>
      </c>
      <c r="AC116" s="60">
        <f t="shared" si="17"/>
        <v>92426.894282007997</v>
      </c>
      <c r="AD116" s="61">
        <f>+VLOOKUP(C116,'[1]pic au 25-03'!C:R,16,FALSE)</f>
        <v>48208.279177149343</v>
      </c>
      <c r="AE116" s="31"/>
      <c r="AF116" s="62">
        <v>102247.4013673709</v>
      </c>
      <c r="AG116" s="31"/>
      <c r="AH116" s="62">
        <v>102247.4013673709</v>
      </c>
      <c r="AI116" s="31"/>
      <c r="AJ116" s="28">
        <f t="shared" si="18"/>
        <v>93182.657009280723</v>
      </c>
      <c r="AK116" s="21">
        <f>+VLOOKUP(C116,'[1]stock au 25-03-25'!A:X,24,FALSE)</f>
        <v>4157.8590000000004</v>
      </c>
      <c r="AL116" t="s">
        <v>45</v>
      </c>
      <c r="AM116" s="21">
        <f t="shared" si="25"/>
        <v>44050.420177149339</v>
      </c>
      <c r="AN116" t="s">
        <v>45</v>
      </c>
      <c r="AO116" s="63">
        <v>82047.850740974376</v>
      </c>
      <c r="AP116" s="64">
        <f t="shared" si="26"/>
        <v>92946.386573785101</v>
      </c>
      <c r="AQ116" t="s">
        <v>46</v>
      </c>
      <c r="AR116" s="36">
        <f>(AP116-AO116)/AO116</f>
        <v>0.13283146035375717</v>
      </c>
      <c r="AS116" s="81"/>
      <c r="AT116" s="81">
        <f>(AO116-J116)/J116</f>
        <v>-0.10489282716206641</v>
      </c>
      <c r="AU116" s="81"/>
      <c r="AV116" s="66">
        <f>(AP116-J116)/J116</f>
        <v>1.4005565779119239E-2</v>
      </c>
      <c r="BB116" s="56">
        <f>+R116*F116</f>
        <v>91869.4</v>
      </c>
    </row>
    <row r="117" spans="1:54" ht="18.75" outlineLevel="1" x14ac:dyDescent="0.3">
      <c r="A117">
        <v>4</v>
      </c>
      <c r="B117" t="s">
        <v>156</v>
      </c>
      <c r="C117">
        <v>338243</v>
      </c>
      <c r="D117" t="s">
        <v>168</v>
      </c>
      <c r="E117" t="s">
        <v>158</v>
      </c>
      <c r="F117" s="21">
        <f>+VLOOKUP(C117,'[1]stock au 25-03-25'!A:D,4,FALSE)</f>
        <v>32870</v>
      </c>
      <c r="G117" t="s">
        <v>45</v>
      </c>
      <c r="H117" s="22">
        <f>+VLOOKUP(C117,'[1]stock au 25-03-25'!A:F,6,FALSE)</f>
        <v>2.1423097048980835</v>
      </c>
      <c r="I117" t="s">
        <v>46</v>
      </c>
      <c r="J117" s="56">
        <f>+VLOOKUP(C117,'[1]stock au 25-03-25'!A:H,8,FALSE)</f>
        <v>70417.72</v>
      </c>
      <c r="K117" t="s">
        <v>46</v>
      </c>
      <c r="L117" s="23">
        <v>2.0299999999999998</v>
      </c>
      <c r="M117" t="s">
        <v>46</v>
      </c>
      <c r="N117" s="56">
        <f>+VLOOKUP(C117,'[1]stock au 25-03-25'!A:L,12,FALSE)</f>
        <v>66726.099999999991</v>
      </c>
      <c r="P117" s="57">
        <v>2.0299999999999998</v>
      </c>
      <c r="Q117" t="s">
        <v>46</v>
      </c>
      <c r="R117" s="25">
        <v>2.0139999999999998</v>
      </c>
      <c r="T117" s="26">
        <v>2.4196984402079726</v>
      </c>
      <c r="U117" s="58">
        <f t="shared" si="24"/>
        <v>0.20143914608141653</v>
      </c>
      <c r="V117" s="10">
        <f>IFERROR(VLOOKUP(C117,'[2]INDICATEURS ACHATS - Matières P'!$C$2:$G$209999,5,0),0)</f>
        <v>17310</v>
      </c>
      <c r="W117" s="60">
        <f t="shared" si="15"/>
        <v>41884.980000000003</v>
      </c>
      <c r="X117" s="28">
        <v>2.4633882352941177</v>
      </c>
      <c r="Y117" s="59">
        <v>10359.724629073109</v>
      </c>
      <c r="Z117" s="60">
        <f t="shared" si="16"/>
        <v>25520.023772145414</v>
      </c>
      <c r="AA117" s="60">
        <f t="shared" si="13"/>
        <v>20864.48540295324</v>
      </c>
      <c r="AB117" s="60">
        <f t="shared" si="14"/>
        <v>4655.5383691921743</v>
      </c>
      <c r="AC117" s="60">
        <f t="shared" si="17"/>
        <v>67405.003772145414</v>
      </c>
      <c r="AD117" s="61">
        <f>+VLOOKUP(C117,'[1]pic au 25-03'!C:R,16,FALSE)</f>
        <v>31588.03262907311</v>
      </c>
      <c r="AE117" s="31"/>
      <c r="AF117" s="62">
        <v>77804.661515290616</v>
      </c>
      <c r="AG117" s="31"/>
      <c r="AH117" s="62">
        <v>77804.661515290616</v>
      </c>
      <c r="AI117" s="31"/>
      <c r="AJ117" s="28">
        <f t="shared" si="18"/>
        <v>68161.274125086595</v>
      </c>
      <c r="AK117" s="21">
        <f>+VLOOKUP(C117,'[1]stock au 25-03-25'!A:X,24,FALSE)</f>
        <v>3918.308</v>
      </c>
      <c r="AL117" t="s">
        <v>45</v>
      </c>
      <c r="AM117" s="21">
        <f t="shared" si="25"/>
        <v>27669.724629073109</v>
      </c>
      <c r="AN117" t="s">
        <v>45</v>
      </c>
      <c r="AO117" s="63">
        <v>71736.867168785262</v>
      </c>
      <c r="AP117" s="64">
        <f t="shared" si="26"/>
        <v>55726.825402953233</v>
      </c>
      <c r="AQ117" t="s">
        <v>46</v>
      </c>
      <c r="AR117" s="36">
        <f>(AP117-AO117)/AO117</f>
        <v>-0.22317732008233629</v>
      </c>
      <c r="AS117" s="81"/>
      <c r="AT117" s="81">
        <f>(AO117-J117)/J117</f>
        <v>1.8733170696030216E-2</v>
      </c>
      <c r="AU117" s="81"/>
      <c r="AV117" s="66">
        <f>(AP117-J117)/J117</f>
        <v>-0.20862496821889104</v>
      </c>
      <c r="BB117" s="56">
        <f>+R117*F117</f>
        <v>66200.179999999993</v>
      </c>
    </row>
    <row r="118" spans="1:54" ht="18.75" outlineLevel="1" x14ac:dyDescent="0.3">
      <c r="A118">
        <v>4</v>
      </c>
      <c r="B118" t="s">
        <v>156</v>
      </c>
      <c r="C118">
        <v>338313</v>
      </c>
      <c r="D118" t="s">
        <v>169</v>
      </c>
      <c r="E118" t="s">
        <v>158</v>
      </c>
      <c r="F118" s="21">
        <f>+VLOOKUP(C118,'[1]stock au 25-03-25'!A:D,4,FALSE)</f>
        <v>71640</v>
      </c>
      <c r="G118" t="s">
        <v>45</v>
      </c>
      <c r="H118" s="22">
        <f>+VLOOKUP(C118,'[1]stock au 25-03-25'!A:F,6,FALSE)</f>
        <v>0.84011725293132333</v>
      </c>
      <c r="I118" t="s">
        <v>46</v>
      </c>
      <c r="J118" s="56">
        <f>+VLOOKUP(C118,'[1]stock au 25-03-25'!A:H,8,FALSE)</f>
        <v>60186</v>
      </c>
      <c r="K118" t="s">
        <v>46</v>
      </c>
      <c r="L118" s="23">
        <v>1.27</v>
      </c>
      <c r="M118" t="s">
        <v>46</v>
      </c>
      <c r="N118" s="56">
        <f>+VLOOKUP(C118,'[1]stock au 25-03-25'!A:L,12,FALSE)</f>
        <v>90982.8</v>
      </c>
      <c r="P118" s="57">
        <v>1.2</v>
      </c>
      <c r="Q118" t="s">
        <v>46</v>
      </c>
      <c r="R118" s="25">
        <v>0.84</v>
      </c>
      <c r="T118" s="26">
        <v>0.88752826310380262</v>
      </c>
      <c r="U118" s="58">
        <f t="shared" si="24"/>
        <v>5.6581265599765063E-2</v>
      </c>
      <c r="V118" s="10">
        <f>IFERROR(VLOOKUP(C118,'[2]INDICATEURS ACHATS - Matières P'!$C$2:$G$209999,5,0),0)</f>
        <v>38920</v>
      </c>
      <c r="W118" s="60">
        <f t="shared" si="15"/>
        <v>34542.6</v>
      </c>
      <c r="X118" s="28">
        <v>0.79</v>
      </c>
      <c r="Y118" s="59">
        <v>28594.199189965559</v>
      </c>
      <c r="Z118" s="60">
        <f t="shared" si="16"/>
        <v>22589.417360072792</v>
      </c>
      <c r="AA118" s="60">
        <f t="shared" si="13"/>
        <v>24019.127319571067</v>
      </c>
      <c r="AB118" s="60">
        <f t="shared" si="14"/>
        <v>-1429.7099594982756</v>
      </c>
      <c r="AC118" s="60">
        <f t="shared" si="17"/>
        <v>57132.017360072787</v>
      </c>
      <c r="AD118" s="61">
        <f>+VLOOKUP(C118,'[1]pic au 25-03'!C:R,16,FALSE)</f>
        <v>73764.306189965559</v>
      </c>
      <c r="AE118" s="31"/>
      <c r="AF118" s="62">
        <v>88517.16742795863</v>
      </c>
      <c r="AG118" s="31"/>
      <c r="AH118" s="62">
        <v>93680.668861256228</v>
      </c>
      <c r="AI118" s="31"/>
      <c r="AJ118" s="28">
        <f t="shared" si="18"/>
        <v>53336.217360072791</v>
      </c>
      <c r="AK118" s="21">
        <f>+VLOOKUP(C118,'[1]stock au 25-03-25'!A:X,24,FALSE)</f>
        <v>6250.107</v>
      </c>
      <c r="AL118" t="s">
        <v>45</v>
      </c>
      <c r="AM118" s="21">
        <f t="shared" si="25"/>
        <v>67514.199189965555</v>
      </c>
      <c r="AN118" t="s">
        <v>45</v>
      </c>
      <c r="AO118" s="63">
        <v>54657.193558755796</v>
      </c>
      <c r="AP118" s="64">
        <f t="shared" si="26"/>
        <v>56711.927319571063</v>
      </c>
      <c r="AQ118" t="s">
        <v>46</v>
      </c>
      <c r="AR118" s="36">
        <f>(AP118-AO118)/AO118</f>
        <v>3.7593107641109555E-2</v>
      </c>
      <c r="AS118" s="81"/>
      <c r="AT118" s="81">
        <f>(AO118-J118)/J118</f>
        <v>-9.1862001815109881E-2</v>
      </c>
      <c r="AU118" s="81"/>
      <c r="AV118" s="66">
        <f>(AP118-J118)/J118</f>
        <v>-5.7722272296363557E-2</v>
      </c>
      <c r="BB118" s="56">
        <f>+R118*F118</f>
        <v>60177.599999999999</v>
      </c>
    </row>
    <row r="119" spans="1:54" ht="18.75" outlineLevel="1" x14ac:dyDescent="0.3">
      <c r="A119">
        <v>4</v>
      </c>
      <c r="B119" t="s">
        <v>156</v>
      </c>
      <c r="C119">
        <v>338256</v>
      </c>
      <c r="D119" t="s">
        <v>170</v>
      </c>
      <c r="E119" t="s">
        <v>158</v>
      </c>
      <c r="F119" s="21">
        <f>+VLOOKUP(C119,'[1]stock au 25-03-25'!A:D,4,FALSE)</f>
        <v>63590</v>
      </c>
      <c r="G119" t="s">
        <v>45</v>
      </c>
      <c r="H119" s="22">
        <f>+VLOOKUP(C119,'[1]stock au 25-03-25'!A:F,6,FALSE)</f>
        <v>0.82780311369712223</v>
      </c>
      <c r="I119" t="s">
        <v>46</v>
      </c>
      <c r="J119" s="56">
        <f>+VLOOKUP(C119,'[1]stock au 25-03-25'!A:H,8,FALSE)</f>
        <v>52640</v>
      </c>
      <c r="K119" t="s">
        <v>46</v>
      </c>
      <c r="L119" s="23">
        <v>0.95</v>
      </c>
      <c r="M119" t="s">
        <v>46</v>
      </c>
      <c r="N119" s="56">
        <f>+VLOOKUP(C119,'[1]stock au 25-03-25'!A:L,12,FALSE)</f>
        <v>60410.5</v>
      </c>
      <c r="P119" s="57">
        <v>0.95</v>
      </c>
      <c r="Q119" t="s">
        <v>46</v>
      </c>
      <c r="R119" s="25">
        <v>0.83</v>
      </c>
      <c r="T119" s="26">
        <v>0.8363731003039514</v>
      </c>
      <c r="U119" s="58">
        <f t="shared" si="24"/>
        <v>7.678434101146314E-3</v>
      </c>
      <c r="V119" s="10">
        <f>IFERROR(VLOOKUP(C119,'[2]INDICATEURS ACHATS - Matières P'!$C$2:$G$209999,5,0),0)</f>
        <v>26320</v>
      </c>
      <c r="W119" s="60">
        <f t="shared" si="15"/>
        <v>22013.34</v>
      </c>
      <c r="X119" s="28">
        <v>0.82266666666666666</v>
      </c>
      <c r="Y119" s="59">
        <v>34341.423119691957</v>
      </c>
      <c r="Z119" s="60">
        <f t="shared" si="16"/>
        <v>28251.544086466583</v>
      </c>
      <c r="AA119" s="60">
        <f t="shared" si="13"/>
        <v>28503.381189344324</v>
      </c>
      <c r="AB119" s="60">
        <f t="shared" si="14"/>
        <v>-251.83710287774011</v>
      </c>
      <c r="AC119" s="60">
        <f t="shared" si="17"/>
        <v>50264.884086466584</v>
      </c>
      <c r="AD119" s="61">
        <f>+VLOOKUP(C119,'[1]pic au 25-03'!C:R,16,FALSE)</f>
        <v>67078.423119691957</v>
      </c>
      <c r="AE119" s="31"/>
      <c r="AF119" s="62">
        <v>64120.205226735132</v>
      </c>
      <c r="AG119" s="31"/>
      <c r="AH119" s="62">
        <v>64120.205226735132</v>
      </c>
      <c r="AI119" s="31"/>
      <c r="AJ119" s="28">
        <f t="shared" si="18"/>
        <v>49904.13075313325</v>
      </c>
      <c r="AK119" s="21">
        <f>+VLOOKUP(C119,'[1]stock au 25-03-25'!A:X,24,FALSE)</f>
        <v>6417</v>
      </c>
      <c r="AL119" t="s">
        <v>45</v>
      </c>
      <c r="AM119" s="21">
        <f t="shared" si="25"/>
        <v>60661.423119691957</v>
      </c>
      <c r="AN119" t="s">
        <v>45</v>
      </c>
      <c r="AO119" s="63">
        <v>49761.845341506552</v>
      </c>
      <c r="AP119" s="64">
        <f t="shared" si="26"/>
        <v>50348.981189344326</v>
      </c>
      <c r="AQ119" t="s">
        <v>46</v>
      </c>
      <c r="AR119" s="36">
        <f>(AP119-AO119)/AO119</f>
        <v>1.179891629436903E-2</v>
      </c>
      <c r="AS119" s="81"/>
      <c r="AT119" s="81">
        <f>(AO119-J119)/J119</f>
        <v>-5.4676190320924155E-2</v>
      </c>
      <c r="AU119" s="81"/>
      <c r="AV119" s="66">
        <f>(AP119-J119)/J119</f>
        <v>-4.3522393819446697E-2</v>
      </c>
      <c r="BB119" s="56">
        <f>+R119*F119</f>
        <v>52779.7</v>
      </c>
    </row>
    <row r="120" spans="1:54" ht="18.75" outlineLevel="1" x14ac:dyDescent="0.3">
      <c r="A120">
        <v>4</v>
      </c>
      <c r="B120" t="s">
        <v>156</v>
      </c>
      <c r="C120">
        <v>360800</v>
      </c>
      <c r="D120" t="s">
        <v>171</v>
      </c>
      <c r="E120" t="s">
        <v>158</v>
      </c>
      <c r="F120" s="21">
        <f>+VLOOKUP(C120,'[1]stock au 25-03-25'!A:D,4,FALSE)</f>
        <v>8640</v>
      </c>
      <c r="G120" t="s">
        <v>45</v>
      </c>
      <c r="H120" s="22">
        <f>+VLOOKUP(C120,'[1]stock au 25-03-25'!A:F,6,FALSE)</f>
        <v>4.9036504629629629</v>
      </c>
      <c r="I120" t="s">
        <v>46</v>
      </c>
      <c r="J120" s="56">
        <f>+VLOOKUP(C120,'[1]stock au 25-03-25'!A:H,8,FALSE)</f>
        <v>42367.54</v>
      </c>
      <c r="K120" t="s">
        <v>46</v>
      </c>
      <c r="L120" s="23">
        <v>7.56</v>
      </c>
      <c r="M120" t="s">
        <v>46</v>
      </c>
      <c r="N120" s="56">
        <f>+VLOOKUP(C120,'[1]stock au 25-03-25'!A:L,12,FALSE)</f>
        <v>65318.399999999994</v>
      </c>
      <c r="P120" s="57">
        <v>5.59</v>
      </c>
      <c r="Q120" t="s">
        <v>46</v>
      </c>
      <c r="R120" s="25">
        <f>H120*(1+VLOOKUP(A120,'[1]Variation MP'!$B$3:$D$22,3))</f>
        <v>4.9036504629629629</v>
      </c>
      <c r="T120" s="26">
        <v>5.1730165555794452</v>
      </c>
      <c r="U120" s="58">
        <f t="shared" si="24"/>
        <v>5.493174822532549E-2</v>
      </c>
      <c r="V120" s="10">
        <f>IFERROR(VLOOKUP(C120,'[2]INDICATEURS ACHATS - Matières P'!$C$2:$G$209999,5,0),0)</f>
        <v>4651</v>
      </c>
      <c r="W120" s="60">
        <f t="shared" si="15"/>
        <v>24059.7</v>
      </c>
      <c r="X120" s="28">
        <v>5.1138055555555555</v>
      </c>
      <c r="Y120" s="59">
        <v>4638.3070582384626</v>
      </c>
      <c r="Z120" s="60">
        <f t="shared" si="16"/>
        <v>23719.400402792395</v>
      </c>
      <c r="AA120" s="60">
        <f t="shared" si="13"/>
        <v>22744.636553495417</v>
      </c>
      <c r="AB120" s="60">
        <f t="shared" si="14"/>
        <v>974.76384929697815</v>
      </c>
      <c r="AC120" s="60">
        <f t="shared" si="17"/>
        <v>47779.100402792392</v>
      </c>
      <c r="AD120" s="61">
        <f>+VLOOKUP(C120,'[1]pic au 25-03'!C:R,16,FALSE)</f>
        <v>9732.7870582384621</v>
      </c>
      <c r="AE120" s="31"/>
      <c r="AF120" s="62">
        <v>54406.279655553</v>
      </c>
      <c r="AG120" s="31"/>
      <c r="AH120" s="62">
        <v>73579.870160282764</v>
      </c>
      <c r="AI120" s="31"/>
      <c r="AJ120" s="28">
        <f t="shared" si="18"/>
        <v>47503.710041681283</v>
      </c>
      <c r="AK120" s="21">
        <f>+VLOOKUP(C120,'[1]stock au 25-03-25'!A:X,24,FALSE)</f>
        <v>443.48</v>
      </c>
      <c r="AL120" t="s">
        <v>45</v>
      </c>
      <c r="AM120" s="21">
        <f t="shared" si="25"/>
        <v>9289.3070582384626</v>
      </c>
      <c r="AN120" t="s">
        <v>45</v>
      </c>
      <c r="AO120" s="63">
        <v>45800.97177337492</v>
      </c>
      <c r="AP120" s="64">
        <f t="shared" si="26"/>
        <v>45551.514856736154</v>
      </c>
      <c r="AQ120" t="s">
        <v>46</v>
      </c>
      <c r="AR120" s="36">
        <f>(AP120-AO120)/AO120</f>
        <v>-5.4465420051148569E-3</v>
      </c>
      <c r="AS120" s="81"/>
      <c r="AT120" s="81">
        <f>(AO120-J120)/J120</f>
        <v>8.1039205329715133E-2</v>
      </c>
      <c r="AU120" s="81"/>
      <c r="AV120" s="66">
        <f>(AP120-J120)/J120</f>
        <v>7.5151279888710856E-2</v>
      </c>
      <c r="BB120" s="56">
        <f>+R120*F120</f>
        <v>42367.54</v>
      </c>
    </row>
    <row r="121" spans="1:54" ht="18.75" outlineLevel="1" x14ac:dyDescent="0.3">
      <c r="A121">
        <v>4</v>
      </c>
      <c r="B121" t="s">
        <v>156</v>
      </c>
      <c r="C121">
        <v>338339</v>
      </c>
      <c r="D121" t="s">
        <v>172</v>
      </c>
      <c r="E121" t="s">
        <v>158</v>
      </c>
      <c r="F121" s="21">
        <f>+VLOOKUP(C121,'[1]stock au 25-03-25'!A:D,4,FALSE)</f>
        <v>22810</v>
      </c>
      <c r="G121" t="s">
        <v>45</v>
      </c>
      <c r="H121" s="22">
        <f>+VLOOKUP(C121,'[1]stock au 25-03-25'!A:F,6,FALSE)</f>
        <v>1.9493292415607189</v>
      </c>
      <c r="I121" t="s">
        <v>46</v>
      </c>
      <c r="J121" s="56">
        <f>+VLOOKUP(C121,'[1]stock au 25-03-25'!A:H,8,FALSE)</f>
        <v>44464.2</v>
      </c>
      <c r="K121" t="s">
        <v>46</v>
      </c>
      <c r="L121" s="23">
        <v>2.09</v>
      </c>
      <c r="M121" t="s">
        <v>46</v>
      </c>
      <c r="N121" s="56">
        <f>+VLOOKUP(C121,'[1]stock au 25-03-25'!A:L,12,FALSE)</f>
        <v>47672.899999999994</v>
      </c>
      <c r="P121" s="57">
        <v>1.78</v>
      </c>
      <c r="Q121" t="s">
        <v>46</v>
      </c>
      <c r="R121" s="25">
        <v>1.95</v>
      </c>
      <c r="T121" s="26">
        <v>1.8960167130919219</v>
      </c>
      <c r="U121" s="58">
        <f t="shared" si="24"/>
        <v>-2.7683736875937476E-2</v>
      </c>
      <c r="V121" s="10">
        <f>IFERROR(VLOOKUP(C121,'[2]INDICATEURS ACHATS - Matières P'!$C$2:$G$209999,5,0),0)</f>
        <v>7180</v>
      </c>
      <c r="W121" s="60">
        <f t="shared" si="15"/>
        <v>13613.4</v>
      </c>
      <c r="X121" s="28">
        <v>1.8</v>
      </c>
      <c r="Y121" s="59">
        <v>10773.972100385896</v>
      </c>
      <c r="Z121" s="60">
        <f t="shared" si="16"/>
        <v>19393.149780694614</v>
      </c>
      <c r="AA121" s="60">
        <f t="shared" si="13"/>
        <v>21009.245595752498</v>
      </c>
      <c r="AB121" s="60">
        <f t="shared" si="14"/>
        <v>-1616.0958150578845</v>
      </c>
      <c r="AC121" s="60">
        <f t="shared" si="17"/>
        <v>33006.549780694615</v>
      </c>
      <c r="AD121" s="61">
        <f>+VLOOKUP(C121,'[1]pic au 25-03'!C:R,16,FALSE)</f>
        <v>21703.605100385896</v>
      </c>
      <c r="AE121" s="31"/>
      <c r="AF121" s="62">
        <v>38632.417078686893</v>
      </c>
      <c r="AG121" s="31"/>
      <c r="AH121" s="62">
        <v>45360.534659806515</v>
      </c>
      <c r="AI121" s="31"/>
      <c r="AJ121" s="28">
        <f t="shared" si="18"/>
        <v>32317.14978069461</v>
      </c>
      <c r="AK121" s="21">
        <f>+VLOOKUP(C121,'[1]stock au 25-03-25'!A:X,24,FALSE)</f>
        <v>3749.6329999999998</v>
      </c>
      <c r="AL121" t="s">
        <v>45</v>
      </c>
      <c r="AM121" s="21">
        <f t="shared" si="25"/>
        <v>17953.972100385894</v>
      </c>
      <c r="AN121" t="s">
        <v>45</v>
      </c>
      <c r="AO121" s="63">
        <v>39157.050732593205</v>
      </c>
      <c r="AP121" s="64">
        <f t="shared" si="26"/>
        <v>35010.245595752494</v>
      </c>
      <c r="AQ121" t="s">
        <v>46</v>
      </c>
      <c r="AR121" s="36">
        <f>(AP121-AO121)/AO121</f>
        <v>-0.1059018761438289</v>
      </c>
      <c r="AS121" s="81"/>
      <c r="AT121" s="81">
        <f>(AO121-J121)/J121</f>
        <v>-0.11935780397278693</v>
      </c>
      <c r="AU121" s="81"/>
      <c r="AV121" s="66">
        <f>(AP121-J121)/J121</f>
        <v>-0.21261946474349033</v>
      </c>
      <c r="BB121" s="56">
        <f>+R121*F121</f>
        <v>44479.5</v>
      </c>
    </row>
    <row r="122" spans="1:54" ht="18.75" outlineLevel="1" x14ac:dyDescent="0.3">
      <c r="A122">
        <v>4</v>
      </c>
      <c r="B122" t="s">
        <v>156</v>
      </c>
      <c r="C122">
        <v>338329</v>
      </c>
      <c r="D122" t="s">
        <v>173</v>
      </c>
      <c r="E122" t="s">
        <v>158</v>
      </c>
      <c r="F122" s="21">
        <f>+VLOOKUP(C122,'[1]stock au 25-03-25'!A:D,4,FALSE)</f>
        <v>34860</v>
      </c>
      <c r="G122" t="s">
        <v>45</v>
      </c>
      <c r="H122" s="22">
        <f>+VLOOKUP(C122,'[1]stock au 25-03-25'!A:F,6,FALSE)</f>
        <v>1.2053700516351118</v>
      </c>
      <c r="I122" t="s">
        <v>46</v>
      </c>
      <c r="J122" s="56">
        <f>+VLOOKUP(C122,'[1]stock au 25-03-25'!A:H,8,FALSE)</f>
        <v>42019.199999999997</v>
      </c>
      <c r="K122" t="s">
        <v>46</v>
      </c>
      <c r="L122" s="23">
        <v>1.47</v>
      </c>
      <c r="M122" t="s">
        <v>46</v>
      </c>
      <c r="N122" s="56">
        <f>+VLOOKUP(C122,'[1]stock au 25-03-25'!A:L,12,FALSE)</f>
        <v>51244.2</v>
      </c>
      <c r="P122" s="57">
        <v>1.28</v>
      </c>
      <c r="Q122" t="s">
        <v>46</v>
      </c>
      <c r="R122" s="25">
        <v>1.22</v>
      </c>
      <c r="T122" s="26">
        <v>1.2558536585365854</v>
      </c>
      <c r="U122" s="58">
        <f t="shared" si="24"/>
        <v>2.938824470211918E-2</v>
      </c>
      <c r="V122" s="10">
        <f>IFERROR(VLOOKUP(C122,'[2]INDICATEURS ACHATS - Matières P'!$C$2:$G$209999,5,0),0)</f>
        <v>17220</v>
      </c>
      <c r="W122" s="60">
        <f t="shared" si="15"/>
        <v>21625.8</v>
      </c>
      <c r="X122" s="28">
        <v>1.36</v>
      </c>
      <c r="Y122" s="59">
        <v>14431.617409052385</v>
      </c>
      <c r="Z122" s="60">
        <f t="shared" si="16"/>
        <v>19626.999676311247</v>
      </c>
      <c r="AA122" s="60">
        <f t="shared" si="13"/>
        <v>17606.573239043912</v>
      </c>
      <c r="AB122" s="60">
        <f t="shared" si="14"/>
        <v>2020.4264372673351</v>
      </c>
      <c r="AC122" s="60">
        <f t="shared" si="17"/>
        <v>41252.799676311246</v>
      </c>
      <c r="AD122" s="61">
        <f>+VLOOKUP(C122,'[1]pic au 25-03'!C:R,16,FALSE)</f>
        <v>34641.274409052385</v>
      </c>
      <c r="AE122" s="31"/>
      <c r="AF122" s="62">
        <v>44340.831243587061</v>
      </c>
      <c r="AG122" s="31"/>
      <c r="AH122" s="62">
        <v>50922.673381307017</v>
      </c>
      <c r="AI122" s="31"/>
      <c r="AJ122" s="28">
        <f t="shared" si="18"/>
        <v>43046.199676311247</v>
      </c>
      <c r="AK122" s="21">
        <f>+VLOOKUP(C122,'[1]stock au 25-03-25'!A:X,24,FALSE)</f>
        <v>2989.6570000000002</v>
      </c>
      <c r="AL122" t="s">
        <v>45</v>
      </c>
      <c r="AM122" s="21">
        <f t="shared" si="25"/>
        <v>31651.617409052385</v>
      </c>
      <c r="AN122" t="s">
        <v>45</v>
      </c>
      <c r="AO122" s="63">
        <v>33959.110465430378</v>
      </c>
      <c r="AP122" s="64">
        <f t="shared" si="26"/>
        <v>38614.973239043909</v>
      </c>
      <c r="AQ122" t="s">
        <v>46</v>
      </c>
      <c r="AR122" s="36">
        <f>(AP122-AO122)/AO122</f>
        <v>0.13710202386935597</v>
      </c>
      <c r="AS122" s="81"/>
      <c r="AT122" s="81">
        <f>(AO122-J122)/J122</f>
        <v>-0.19181920490084578</v>
      </c>
      <c r="AU122" s="81"/>
      <c r="AV122" s="66">
        <f>(AP122-J122)/J122</f>
        <v>-8.1015982240406473E-2</v>
      </c>
      <c r="BB122" s="56">
        <f>+R122*F122</f>
        <v>42529.2</v>
      </c>
    </row>
    <row r="123" spans="1:54" ht="18.75" outlineLevel="1" x14ac:dyDescent="0.3">
      <c r="A123">
        <v>4</v>
      </c>
      <c r="B123" t="s">
        <v>156</v>
      </c>
      <c r="C123">
        <v>338527</v>
      </c>
      <c r="D123" t="s">
        <v>174</v>
      </c>
      <c r="E123" t="s">
        <v>158</v>
      </c>
      <c r="F123" s="21">
        <f>+VLOOKUP(C123,'[1]stock au 25-03-25'!A:D,4,FALSE)</f>
        <v>34989</v>
      </c>
      <c r="G123" t="s">
        <v>45</v>
      </c>
      <c r="H123" s="22">
        <f>+VLOOKUP(C123,'[1]stock au 25-03-25'!A:F,6,FALSE)</f>
        <v>1.5858369773357341</v>
      </c>
      <c r="I123" t="s">
        <v>46</v>
      </c>
      <c r="J123" s="56">
        <f>+VLOOKUP(C123,'[1]stock au 25-03-25'!A:H,8,FALSE)</f>
        <v>55486.85</v>
      </c>
      <c r="K123" t="s">
        <v>46</v>
      </c>
      <c r="L123" s="23">
        <v>1.1299999999999999</v>
      </c>
      <c r="M123" t="s">
        <v>46</v>
      </c>
      <c r="N123" s="56">
        <f>+VLOOKUP(C123,'[1]stock au 25-03-25'!A:L,12,FALSE)</f>
        <v>39537.57</v>
      </c>
      <c r="P123" s="57">
        <v>1.07</v>
      </c>
      <c r="Q123" t="s">
        <v>46</v>
      </c>
      <c r="R123" s="25">
        <v>1.31</v>
      </c>
      <c r="T123" s="26">
        <v>1.2350649898124078</v>
      </c>
      <c r="U123" s="58">
        <f t="shared" si="24"/>
        <v>-5.720229785312389E-2</v>
      </c>
      <c r="V123" s="10">
        <f>IFERROR(VLOOKUP(C123,'[2]INDICATEURS ACHATS - Matières P'!$C$2:$G$209999,5,0),0)</f>
        <v>14233</v>
      </c>
      <c r="W123" s="60">
        <f t="shared" si="15"/>
        <v>17578.68</v>
      </c>
      <c r="X123" s="28">
        <v>1.32</v>
      </c>
      <c r="Y123" s="59">
        <v>15373.389335775004</v>
      </c>
      <c r="Z123" s="60">
        <f t="shared" si="16"/>
        <v>20292.873923223007</v>
      </c>
      <c r="AA123" s="60">
        <f t="shared" si="13"/>
        <v>20139.140029865255</v>
      </c>
      <c r="AB123" s="60">
        <f t="shared" si="14"/>
        <v>153.73389335775209</v>
      </c>
      <c r="AC123" s="60">
        <f t="shared" si="17"/>
        <v>37871.553923223008</v>
      </c>
      <c r="AD123" s="61">
        <f>+VLOOKUP(C123,'[1]pic au 25-03'!C:R,16,FALSE)</f>
        <v>31325.826335775004</v>
      </c>
      <c r="AE123" s="31"/>
      <c r="AF123" s="62">
        <v>33518.634179279252</v>
      </c>
      <c r="AG123" s="31"/>
      <c r="AH123" s="62">
        <v>35398.183759425745</v>
      </c>
      <c r="AI123" s="31"/>
      <c r="AJ123" s="28">
        <f t="shared" si="18"/>
        <v>39080.433923223012</v>
      </c>
      <c r="AK123" s="21">
        <f>+VLOOKUP(C123,'[1]stock au 25-03-25'!A:X,24,FALSE)</f>
        <v>1719.4369999999999</v>
      </c>
      <c r="AL123" t="s">
        <v>45</v>
      </c>
      <c r="AM123" s="21">
        <f t="shared" si="25"/>
        <v>29606.389335775006</v>
      </c>
      <c r="AN123" t="s">
        <v>45</v>
      </c>
      <c r="AO123" s="63">
        <v>44081.014332688304</v>
      </c>
      <c r="AP123" s="64">
        <f t="shared" si="26"/>
        <v>38784.370029865262</v>
      </c>
      <c r="AQ123" t="s">
        <v>46</v>
      </c>
      <c r="AR123" s="36">
        <f>(AP123-AO123)/AO123</f>
        <v>-0.12015704227784324</v>
      </c>
      <c r="AS123" s="81"/>
      <c r="AT123" s="81">
        <f>(AO123-J123)/J123</f>
        <v>-0.20555925714492163</v>
      </c>
      <c r="AU123" s="81"/>
      <c r="AV123" s="66">
        <f>(AP123-J123)/J123</f>
        <v>-0.30101690707140044</v>
      </c>
      <c r="BB123" s="56">
        <f>+R123*F123</f>
        <v>45835.590000000004</v>
      </c>
    </row>
    <row r="124" spans="1:54" ht="18.75" outlineLevel="1" x14ac:dyDescent="0.3">
      <c r="A124">
        <v>4</v>
      </c>
      <c r="B124" t="s">
        <v>156</v>
      </c>
      <c r="C124">
        <v>338345</v>
      </c>
      <c r="D124" t="s">
        <v>175</v>
      </c>
      <c r="E124" t="s">
        <v>158</v>
      </c>
      <c r="F124" s="21">
        <f>+VLOOKUP(C124,'[1]stock au 25-03-25'!A:D,4,FALSE)</f>
        <v>6345</v>
      </c>
      <c r="G124" t="s">
        <v>45</v>
      </c>
      <c r="H124" s="22">
        <f>+VLOOKUP(C124,'[1]stock au 25-03-25'!A:F,6,FALSE)</f>
        <v>6.1786382978723404</v>
      </c>
      <c r="I124" t="s">
        <v>46</v>
      </c>
      <c r="J124" s="56">
        <f>+VLOOKUP(C124,'[1]stock au 25-03-25'!A:H,8,FALSE)</f>
        <v>39203.46</v>
      </c>
      <c r="K124" t="s">
        <v>46</v>
      </c>
      <c r="L124" s="23">
        <v>6.55</v>
      </c>
      <c r="M124" t="s">
        <v>46</v>
      </c>
      <c r="N124" s="56">
        <f>+VLOOKUP(C124,'[1]stock au 25-03-25'!A:L,12,FALSE)</f>
        <v>41559.75</v>
      </c>
      <c r="P124" s="57">
        <v>6.55</v>
      </c>
      <c r="Q124" t="s">
        <v>46</v>
      </c>
      <c r="R124" s="25">
        <f>H124*(1+VLOOKUP(A124,'[1]Variation MP'!$B$3:$D$22,3))</f>
        <v>6.1786382978723404</v>
      </c>
      <c r="T124" s="26">
        <v>6.2081899441340784</v>
      </c>
      <c r="U124" s="58">
        <f t="shared" si="24"/>
        <v>4.7828736425490929E-3</v>
      </c>
      <c r="V124" s="10">
        <f>IFERROR(VLOOKUP(C124,'[2]INDICATEURS ACHATS - Matières P'!$C$2:$G$209999,5,0),0)</f>
        <v>3580</v>
      </c>
      <c r="W124" s="60">
        <f t="shared" si="15"/>
        <v>22225.32</v>
      </c>
      <c r="X124" s="28">
        <v>6.1740000000000004</v>
      </c>
      <c r="Y124" s="59">
        <v>1051.0175438275364</v>
      </c>
      <c r="Z124" s="60">
        <f t="shared" si="16"/>
        <v>6488.98231559121</v>
      </c>
      <c r="AA124" s="60">
        <f t="shared" si="13"/>
        <v>6493.8572480285375</v>
      </c>
      <c r="AB124" s="60">
        <f t="shared" si="14"/>
        <v>-4.8749324373275158</v>
      </c>
      <c r="AC124" s="60">
        <f t="shared" si="17"/>
        <v>28714.302315591209</v>
      </c>
      <c r="AD124" s="61">
        <f>+VLOOKUP(C124,'[1]pic au 25-03'!C:R,16,FALSE)</f>
        <v>5413.5575438275364</v>
      </c>
      <c r="AE124" s="31"/>
      <c r="AF124" s="62">
        <v>35458.801912070361</v>
      </c>
      <c r="AG124" s="31"/>
      <c r="AH124" s="62">
        <v>35458.801912070361</v>
      </c>
      <c r="AI124" s="31"/>
      <c r="AJ124" s="28">
        <f t="shared" si="18"/>
        <v>28591.902315591211</v>
      </c>
      <c r="AK124" s="21">
        <f>+VLOOKUP(C124,'[1]stock au 25-03-25'!A:X,24,FALSE)</f>
        <v>782.54</v>
      </c>
      <c r="AL124" t="s">
        <v>45</v>
      </c>
      <c r="AM124" s="21">
        <f t="shared" si="25"/>
        <v>4631.0175438275364</v>
      </c>
      <c r="AN124" t="s">
        <v>45</v>
      </c>
      <c r="AO124" s="63">
        <v>32139.229320854178</v>
      </c>
      <c r="AP124" s="64">
        <f t="shared" si="26"/>
        <v>28613.382354411515</v>
      </c>
      <c r="AQ124" t="s">
        <v>46</v>
      </c>
      <c r="AR124" s="36">
        <f>(AP124-AO124)/AO124</f>
        <v>-0.1097053986965035</v>
      </c>
      <c r="AS124" s="81"/>
      <c r="AT124" s="81">
        <f>(AO124-J124)/J124</f>
        <v>-0.18019406142074759</v>
      </c>
      <c r="AU124" s="81"/>
      <c r="AV124" s="66">
        <f>(AP124-J124)/J124</f>
        <v>-0.27013119876634573</v>
      </c>
      <c r="BB124" s="56">
        <f>+R124*F124</f>
        <v>39203.46</v>
      </c>
    </row>
    <row r="125" spans="1:54" ht="18.75" outlineLevel="1" x14ac:dyDescent="0.3">
      <c r="A125">
        <v>4</v>
      </c>
      <c r="B125" t="s">
        <v>156</v>
      </c>
      <c r="C125">
        <v>338311</v>
      </c>
      <c r="D125" t="s">
        <v>176</v>
      </c>
      <c r="E125" t="s">
        <v>158</v>
      </c>
      <c r="F125" s="21">
        <f>+VLOOKUP(C125,'[1]stock au 25-03-25'!A:D,4,FALSE)</f>
        <v>19305</v>
      </c>
      <c r="G125" t="s">
        <v>45</v>
      </c>
      <c r="H125" s="22">
        <f>+VLOOKUP(C125,'[1]stock au 25-03-25'!A:F,6,FALSE)</f>
        <v>1.5765889665889665</v>
      </c>
      <c r="I125" t="s">
        <v>46</v>
      </c>
      <c r="J125" s="56">
        <f>+VLOOKUP(C125,'[1]stock au 25-03-25'!A:H,8,FALSE)</f>
        <v>30436.05</v>
      </c>
      <c r="K125" t="s">
        <v>46</v>
      </c>
      <c r="L125" s="23">
        <v>1.44</v>
      </c>
      <c r="M125" t="s">
        <v>46</v>
      </c>
      <c r="N125" s="56">
        <f>+VLOOKUP(C125,'[1]stock au 25-03-25'!A:L,12,FALSE)</f>
        <v>27799.200000000001</v>
      </c>
      <c r="P125" s="57">
        <v>1.44</v>
      </c>
      <c r="Q125" t="s">
        <v>46</v>
      </c>
      <c r="R125" s="25">
        <v>1.58</v>
      </c>
      <c r="T125" s="26">
        <v>1.5891061452513966</v>
      </c>
      <c r="U125" s="58">
        <f t="shared" si="24"/>
        <v>5.763383070504129E-3</v>
      </c>
      <c r="V125" s="10">
        <f>IFERROR(VLOOKUP(C125,'[2]INDICATEURS ACHATS - Matières P'!$C$2:$G$209999,5,0),0)</f>
        <v>7160</v>
      </c>
      <c r="W125" s="60">
        <f t="shared" si="15"/>
        <v>11378</v>
      </c>
      <c r="X125" s="28">
        <v>1.5952499999999998</v>
      </c>
      <c r="Y125" s="59">
        <v>12283.675099446891</v>
      </c>
      <c r="Z125" s="60">
        <f t="shared" si="16"/>
        <v>19595.532702392651</v>
      </c>
      <c r="AA125" s="60">
        <f t="shared" si="13"/>
        <v>19408.206657126088</v>
      </c>
      <c r="AB125" s="60">
        <f t="shared" si="14"/>
        <v>187.3260452665636</v>
      </c>
      <c r="AC125" s="60">
        <f t="shared" si="17"/>
        <v>30973.532702392651</v>
      </c>
      <c r="AD125" s="61">
        <f>+VLOOKUP(C125,'[1]pic au 25-03'!C:R,16,FALSE)</f>
        <v>21405.399099446891</v>
      </c>
      <c r="AE125" s="31"/>
      <c r="AF125" s="62">
        <v>31159.198598403524</v>
      </c>
      <c r="AG125" s="31"/>
      <c r="AH125" s="62">
        <v>31159.198598403524</v>
      </c>
      <c r="AI125" s="31"/>
      <c r="AJ125" s="28">
        <f t="shared" si="18"/>
        <v>31017.522702392653</v>
      </c>
      <c r="AK125" s="21">
        <f>+VLOOKUP(C125,'[1]stock au 25-03-25'!A:X,24,FALSE)</f>
        <v>1961.7239999999999</v>
      </c>
      <c r="AL125" t="s">
        <v>45</v>
      </c>
      <c r="AM125" s="21">
        <f t="shared" si="25"/>
        <v>19443.675099446893</v>
      </c>
      <c r="AN125" t="s">
        <v>45</v>
      </c>
      <c r="AO125" s="63">
        <v>30553.45594544803</v>
      </c>
      <c r="AP125" s="64">
        <f t="shared" si="26"/>
        <v>30721.006657126094</v>
      </c>
      <c r="AQ125" t="s">
        <v>46</v>
      </c>
      <c r="AR125" s="36">
        <f>(AP125-AO125)/AO125</f>
        <v>5.483854657136647E-3</v>
      </c>
      <c r="AS125" s="81"/>
      <c r="AT125" s="81">
        <f>(AO125-J125)/J125</f>
        <v>3.8574632860712953E-3</v>
      </c>
      <c r="AU125" s="81"/>
      <c r="AV125" s="66">
        <f>(AP125-J125)/J125</f>
        <v>9.3624717112139981E-3</v>
      </c>
      <c r="BB125" s="56">
        <f>+R125*F125</f>
        <v>30501.9</v>
      </c>
    </row>
    <row r="126" spans="1:54" ht="18.75" outlineLevel="1" x14ac:dyDescent="0.3">
      <c r="A126">
        <v>4</v>
      </c>
      <c r="B126" t="s">
        <v>156</v>
      </c>
      <c r="C126">
        <v>360470</v>
      </c>
      <c r="D126" t="s">
        <v>177</v>
      </c>
      <c r="E126" t="s">
        <v>158</v>
      </c>
      <c r="F126" s="21">
        <f>+VLOOKUP(C126,'[1]stock au 25-03-25'!A:D,4,FALSE)</f>
        <v>432</v>
      </c>
      <c r="G126" t="s">
        <v>45</v>
      </c>
      <c r="H126" s="22">
        <f>+VLOOKUP(C126,'[1]stock au 25-03-25'!A:F,6,FALSE)</f>
        <v>3.3</v>
      </c>
      <c r="I126" t="s">
        <v>46</v>
      </c>
      <c r="J126" s="56">
        <f>+VLOOKUP(C126,'[1]stock au 25-03-25'!A:H,8,FALSE)</f>
        <v>1425.6</v>
      </c>
      <c r="K126" t="s">
        <v>46</v>
      </c>
      <c r="L126" s="23">
        <v>3.25</v>
      </c>
      <c r="M126" t="s">
        <v>46</v>
      </c>
      <c r="N126" s="56">
        <f>+VLOOKUP(C126,'[1]stock au 25-03-25'!A:L,12,FALSE)</f>
        <v>1404</v>
      </c>
      <c r="Q126" t="s">
        <v>46</v>
      </c>
      <c r="R126" s="25">
        <f>H126*(1+VLOOKUP(A126,'[1]Variation MP'!$B$3:$D$22,3))</f>
        <v>3.3</v>
      </c>
      <c r="T126" s="26">
        <v>3.3000000000000003</v>
      </c>
      <c r="U126" s="58">
        <f t="shared" si="24"/>
        <v>1.3457248783335231E-16</v>
      </c>
      <c r="V126" s="10">
        <f>IFERROR(VLOOKUP(C126,'[2]INDICATEURS ACHATS - Matières P'!$C$2:$G$209999,5,0),0)</f>
        <v>7584</v>
      </c>
      <c r="W126" s="60">
        <f t="shared" si="15"/>
        <v>25027.200000000001</v>
      </c>
      <c r="X126" s="28">
        <v>3.3</v>
      </c>
      <c r="Y126" s="59">
        <v>2156.5970084967303</v>
      </c>
      <c r="Z126" s="60">
        <f t="shared" si="16"/>
        <v>7116.7701280392093</v>
      </c>
      <c r="AA126" s="60">
        <f t="shared" si="13"/>
        <v>7116.7701280392093</v>
      </c>
      <c r="AB126" s="60">
        <f t="shared" si="14"/>
        <v>0</v>
      </c>
      <c r="AC126" s="60">
        <f t="shared" si="17"/>
        <v>32143.970128039211</v>
      </c>
      <c r="AD126" s="61">
        <f>+VLOOKUP(C126,'[1]pic au 25-03'!C:R,16,FALSE)</f>
        <v>9830.5970084967303</v>
      </c>
      <c r="AE126" s="31"/>
      <c r="AF126" s="62"/>
      <c r="AG126" s="31"/>
      <c r="AH126" s="62">
        <v>31949.44027761438</v>
      </c>
      <c r="AI126" s="31"/>
      <c r="AJ126" s="28">
        <f t="shared" si="18"/>
        <v>32143.970128039207</v>
      </c>
      <c r="AK126" s="21">
        <f>+VLOOKUP(C126,'[1]stock au 25-03-25'!A:X,24,FALSE)</f>
        <v>90</v>
      </c>
      <c r="AL126" t="s">
        <v>45</v>
      </c>
      <c r="AM126" s="21">
        <f t="shared" si="25"/>
        <v>9740.5970084967303</v>
      </c>
      <c r="AN126" t="s">
        <v>45</v>
      </c>
      <c r="AO126" s="63">
        <v>31167.170128039215</v>
      </c>
      <c r="AP126" s="64">
        <f t="shared" si="26"/>
        <v>32143.970128039207</v>
      </c>
      <c r="AQ126" t="s">
        <v>46</v>
      </c>
      <c r="AR126" s="36">
        <f>(AP126-AO126)/AO126</f>
        <v>3.1340670198390076E-2</v>
      </c>
      <c r="AS126" s="81"/>
      <c r="AT126" s="81">
        <f>(AO126-J126)/J126</f>
        <v>20.86249307522392</v>
      </c>
      <c r="AU126" s="81"/>
      <c r="AV126" s="66">
        <f>(AP126-J126)/J126</f>
        <v>21.5476782604091</v>
      </c>
      <c r="BB126" s="56">
        <f>+R126*F126</f>
        <v>1425.6</v>
      </c>
    </row>
    <row r="127" spans="1:54" ht="18.75" outlineLevel="1" x14ac:dyDescent="0.3">
      <c r="A127">
        <v>4</v>
      </c>
      <c r="B127" t="s">
        <v>156</v>
      </c>
      <c r="C127">
        <v>338353</v>
      </c>
      <c r="D127" t="s">
        <v>178</v>
      </c>
      <c r="E127" t="s">
        <v>158</v>
      </c>
      <c r="F127" s="21">
        <f>+VLOOKUP(C127,'[1]stock au 25-03-25'!A:D,4,FALSE)</f>
        <v>21609</v>
      </c>
      <c r="G127" t="s">
        <v>45</v>
      </c>
      <c r="H127" s="22">
        <f>+VLOOKUP(C127,'[1]stock au 25-03-25'!A:F,6,FALSE)</f>
        <v>1.5052876116432967</v>
      </c>
      <c r="I127" t="s">
        <v>46</v>
      </c>
      <c r="J127" s="56">
        <f>+VLOOKUP(C127,'[1]stock au 25-03-25'!A:H,8,FALSE)</f>
        <v>32527.759999999998</v>
      </c>
      <c r="K127" t="s">
        <v>46</v>
      </c>
      <c r="L127" s="23">
        <v>1.68</v>
      </c>
      <c r="M127" t="s">
        <v>46</v>
      </c>
      <c r="N127" s="56">
        <f>+VLOOKUP(C127,'[1]stock au 25-03-25'!A:L,12,FALSE)</f>
        <v>36303.119999999995</v>
      </c>
      <c r="P127" s="57">
        <v>1.68</v>
      </c>
      <c r="Q127" t="s">
        <v>46</v>
      </c>
      <c r="R127" s="25">
        <v>1.51</v>
      </c>
      <c r="T127" s="26">
        <v>1.3949223352972684</v>
      </c>
      <c r="U127" s="58">
        <f t="shared" si="24"/>
        <v>-7.6210373975318949E-2</v>
      </c>
      <c r="V127" s="10">
        <f>IFERROR(VLOOKUP(C127,'[2]INDICATEURS ACHATS - Matières P'!$C$2:$G$209999,5,0),0)</f>
        <v>11202</v>
      </c>
      <c r="W127" s="60">
        <f t="shared" si="15"/>
        <v>15625.92</v>
      </c>
      <c r="X127" s="28">
        <v>1.351</v>
      </c>
      <c r="Y127" s="59">
        <v>7014.1828830185041</v>
      </c>
      <c r="Z127" s="60">
        <f t="shared" si="16"/>
        <v>9476.1610749579995</v>
      </c>
      <c r="AA127" s="60">
        <f t="shared" si="13"/>
        <v>10591.416153357941</v>
      </c>
      <c r="AB127" s="60">
        <f t="shared" si="14"/>
        <v>-1115.2550783999413</v>
      </c>
      <c r="AC127" s="60">
        <f t="shared" si="17"/>
        <v>25102.081074957998</v>
      </c>
      <c r="AD127" s="61">
        <f>+VLOOKUP(C127,'[1]pic au 25-03'!C:R,16,FALSE)</f>
        <v>20746.182883018504</v>
      </c>
      <c r="AE127" s="31"/>
      <c r="AF127" s="62">
        <v>34853.587243471084</v>
      </c>
      <c r="AG127" s="31"/>
      <c r="AH127" s="62">
        <v>34853.587243471084</v>
      </c>
      <c r="AI127" s="31"/>
      <c r="AJ127" s="28">
        <f t="shared" si="18"/>
        <v>24610.063074957998</v>
      </c>
      <c r="AK127" s="21">
        <f>+VLOOKUP(C127,'[1]stock au 25-03-25'!A:X,24,FALSE)</f>
        <v>2530</v>
      </c>
      <c r="AL127" t="s">
        <v>45</v>
      </c>
      <c r="AM127" s="21">
        <f t="shared" si="25"/>
        <v>18216.182883018504</v>
      </c>
      <c r="AN127" t="s">
        <v>45</v>
      </c>
      <c r="AO127" s="63">
        <v>28330.083011218736</v>
      </c>
      <c r="AP127" s="64">
        <f t="shared" si="26"/>
        <v>27506.436153357943</v>
      </c>
      <c r="AQ127" t="s">
        <v>46</v>
      </c>
      <c r="AR127" s="36">
        <f>(AP127-AO127)/AO127</f>
        <v>-2.9073224301341721E-2</v>
      </c>
      <c r="AS127" s="81"/>
      <c r="AT127" s="81">
        <f>(AO127-J127)/J127</f>
        <v>-0.12904906420796461</v>
      </c>
      <c r="AU127" s="81"/>
      <c r="AV127" s="66">
        <f>(AP127-J127)/J127</f>
        <v>-0.15437041611970992</v>
      </c>
      <c r="BB127" s="56">
        <f>+R127*F127</f>
        <v>32629.59</v>
      </c>
    </row>
    <row r="128" spans="1:54" ht="18.75" outlineLevel="1" x14ac:dyDescent="0.3">
      <c r="A128">
        <v>4</v>
      </c>
      <c r="B128" t="s">
        <v>156</v>
      </c>
      <c r="C128">
        <v>340397</v>
      </c>
      <c r="D128" t="s">
        <v>179</v>
      </c>
      <c r="E128" t="s">
        <v>158</v>
      </c>
      <c r="F128" s="21">
        <f>+VLOOKUP(C128,'[1]stock au 25-03-25'!A:D,4,FALSE)</f>
        <v>9920</v>
      </c>
      <c r="G128" t="s">
        <v>45</v>
      </c>
      <c r="H128" s="22">
        <f>+VLOOKUP(C128,'[1]stock au 25-03-25'!A:F,6,FALSE)</f>
        <v>2.75</v>
      </c>
      <c r="I128" t="s">
        <v>46</v>
      </c>
      <c r="J128" s="56">
        <f>+VLOOKUP(C128,'[1]stock au 25-03-25'!A:H,8,FALSE)</f>
        <v>27280</v>
      </c>
      <c r="K128" t="s">
        <v>46</v>
      </c>
      <c r="L128" s="23">
        <v>2.46</v>
      </c>
      <c r="M128" t="s">
        <v>46</v>
      </c>
      <c r="N128" s="56">
        <f>+VLOOKUP(C128,'[1]stock au 25-03-25'!A:L,12,FALSE)</f>
        <v>24403.200000000001</v>
      </c>
      <c r="P128" s="57">
        <v>2.46</v>
      </c>
      <c r="Q128" t="s">
        <v>46</v>
      </c>
      <c r="R128" s="25">
        <f>H128*(1+VLOOKUP(A128,'[1]Variation MP'!$B$3:$D$22,3))</f>
        <v>2.75</v>
      </c>
      <c r="T128" s="26">
        <v>2.75</v>
      </c>
      <c r="U128" s="58">
        <f t="shared" si="24"/>
        <v>0</v>
      </c>
      <c r="V128" s="10">
        <f>IFERROR(VLOOKUP(C128,'[2]INDICATEURS ACHATS - Matières P'!$C$2:$G$209999,5,0),0)</f>
        <v>5260</v>
      </c>
      <c r="W128" s="60">
        <f t="shared" si="15"/>
        <v>14465</v>
      </c>
      <c r="X128" s="28">
        <v>2.75</v>
      </c>
      <c r="Y128" s="59">
        <v>4940.7216913043485</v>
      </c>
      <c r="Z128" s="60">
        <f t="shared" si="16"/>
        <v>13586.984651086957</v>
      </c>
      <c r="AA128" s="60">
        <f t="shared" si="13"/>
        <v>13586.984651086957</v>
      </c>
      <c r="AB128" s="60">
        <f t="shared" si="14"/>
        <v>0</v>
      </c>
      <c r="AC128" s="60">
        <f t="shared" si="17"/>
        <v>28051.984651086957</v>
      </c>
      <c r="AD128" s="61">
        <f>+VLOOKUP(C128,'[1]pic au 25-03'!C:R,16,FALSE)</f>
        <v>10200.721691304348</v>
      </c>
      <c r="AE128" s="31"/>
      <c r="AF128" s="62">
        <v>25093.775360608695</v>
      </c>
      <c r="AG128" s="31"/>
      <c r="AH128" s="62">
        <v>25093.775360608695</v>
      </c>
      <c r="AI128" s="31"/>
      <c r="AJ128" s="28">
        <f t="shared" si="18"/>
        <v>28051.984651086957</v>
      </c>
      <c r="AK128" s="21">
        <f>+VLOOKUP(C128,'[1]stock au 25-03-25'!A:X,24,FALSE)</f>
        <v>0</v>
      </c>
      <c r="AL128" t="s">
        <v>45</v>
      </c>
      <c r="AM128" s="21">
        <f t="shared" si="25"/>
        <v>10200.721691304348</v>
      </c>
      <c r="AN128" t="s">
        <v>45</v>
      </c>
      <c r="AO128" s="63">
        <v>28051.984651086957</v>
      </c>
      <c r="AP128" s="64">
        <f t="shared" si="26"/>
        <v>28051.984651086957</v>
      </c>
      <c r="AQ128" t="s">
        <v>46</v>
      </c>
      <c r="AR128" s="36">
        <f>(AP128-AO128)/AO128</f>
        <v>0</v>
      </c>
      <c r="AS128" s="81"/>
      <c r="AT128" s="81">
        <f>(AO128-J128)/J128</f>
        <v>2.829855759116413E-2</v>
      </c>
      <c r="AU128" s="81"/>
      <c r="AV128" s="66">
        <f>(AP128-J128)/J128</f>
        <v>2.829855759116413E-2</v>
      </c>
      <c r="BB128" s="56">
        <f>+R128*F128</f>
        <v>27280</v>
      </c>
    </row>
    <row r="129" spans="1:54" ht="18.75" outlineLevel="1" x14ac:dyDescent="0.3">
      <c r="A129">
        <v>4</v>
      </c>
      <c r="B129" t="s">
        <v>156</v>
      </c>
      <c r="C129">
        <v>338298</v>
      </c>
      <c r="D129" t="s">
        <v>180</v>
      </c>
      <c r="E129" t="s">
        <v>158</v>
      </c>
      <c r="F129" s="21">
        <f>+VLOOKUP(C129,'[1]stock au 25-03-25'!A:D,4,FALSE)</f>
        <v>4554</v>
      </c>
      <c r="G129" t="s">
        <v>45</v>
      </c>
      <c r="H129" s="22">
        <f>+VLOOKUP(C129,'[1]stock au 25-03-25'!A:F,6,FALSE)</f>
        <v>5.0204347826086959</v>
      </c>
      <c r="I129" t="s">
        <v>46</v>
      </c>
      <c r="J129" s="56">
        <f>+VLOOKUP(C129,'[1]stock au 25-03-25'!A:H,8,FALSE)</f>
        <v>22863.06</v>
      </c>
      <c r="K129" t="s">
        <v>46</v>
      </c>
      <c r="L129" s="23">
        <v>5.0999999999999996</v>
      </c>
      <c r="M129" t="s">
        <v>46</v>
      </c>
      <c r="N129" s="56">
        <f>+VLOOKUP(C129,'[1]stock au 25-03-25'!A:L,12,FALSE)</f>
        <v>23225.399999999998</v>
      </c>
      <c r="P129" s="57">
        <v>5.0999999999999996</v>
      </c>
      <c r="Q129" t="s">
        <v>46</v>
      </c>
      <c r="R129" s="25">
        <v>5.0199999999999996</v>
      </c>
      <c r="T129" s="26">
        <v>5.09</v>
      </c>
      <c r="U129" s="58">
        <f t="shared" si="24"/>
        <v>1.3944223107569778E-2</v>
      </c>
      <c r="V129" s="10">
        <f>IFERROR(VLOOKUP(C129,'[2]INDICATEURS ACHATS - Matières P'!$C$2:$G$209999,5,0),0)</f>
        <v>4026</v>
      </c>
      <c r="W129" s="60">
        <f t="shared" si="15"/>
        <v>20492.34</v>
      </c>
      <c r="X129" s="28">
        <v>5.09</v>
      </c>
      <c r="Y129" s="59">
        <v>876.43327640791108</v>
      </c>
      <c r="Z129" s="60">
        <f t="shared" si="16"/>
        <v>4461.0453769162668</v>
      </c>
      <c r="AA129" s="60">
        <f t="shared" si="13"/>
        <v>4399.6950475677131</v>
      </c>
      <c r="AB129" s="60">
        <f t="shared" si="14"/>
        <v>61.350329348553714</v>
      </c>
      <c r="AC129" s="60">
        <f t="shared" si="17"/>
        <v>24953.385376916267</v>
      </c>
      <c r="AD129" s="61">
        <f>+VLOOKUP(C129,'[1]pic au 25-03'!C:R,16,FALSE)</f>
        <v>5134.1532764079111</v>
      </c>
      <c r="AE129" s="31"/>
      <c r="AF129" s="62">
        <v>26184.18170968035</v>
      </c>
      <c r="AG129" s="31"/>
      <c r="AH129" s="62">
        <v>26184.18170968035</v>
      </c>
      <c r="AI129" s="31"/>
      <c r="AJ129" s="28">
        <f t="shared" si="18"/>
        <v>24953.385376916267</v>
      </c>
      <c r="AK129" s="21">
        <f>+VLOOKUP(C129,'[1]stock au 25-03-25'!A:X,24,FALSE)</f>
        <v>231.72</v>
      </c>
      <c r="AL129" t="s">
        <v>45</v>
      </c>
      <c r="AM129" s="21">
        <f t="shared" si="25"/>
        <v>4902.4332764079109</v>
      </c>
      <c r="AN129" t="s">
        <v>45</v>
      </c>
      <c r="AO129" s="63">
        <v>24562.142192470503</v>
      </c>
      <c r="AP129" s="64">
        <f t="shared" si="26"/>
        <v>24610.215047567712</v>
      </c>
      <c r="AQ129" t="s">
        <v>46</v>
      </c>
      <c r="AR129" s="36">
        <f>(AP129-AO129)/AO129</f>
        <v>1.9571930949876856E-3</v>
      </c>
      <c r="AS129" s="81"/>
      <c r="AT129" s="81">
        <f>(AO129-J129)/J129</f>
        <v>7.4315607467701231E-2</v>
      </c>
      <c r="AU129" s="81"/>
      <c r="AV129" s="66">
        <f>(AP129-J129)/J129</f>
        <v>7.6418250556474526E-2</v>
      </c>
      <c r="BB129" s="56">
        <f>+R129*F129</f>
        <v>22861.079999999998</v>
      </c>
    </row>
    <row r="130" spans="1:54" ht="18.75" outlineLevel="1" x14ac:dyDescent="0.3">
      <c r="A130">
        <v>4</v>
      </c>
      <c r="B130" t="s">
        <v>156</v>
      </c>
      <c r="C130">
        <v>347200</v>
      </c>
      <c r="D130" t="s">
        <v>181</v>
      </c>
      <c r="E130" t="s">
        <v>158</v>
      </c>
      <c r="F130" s="21">
        <f>+VLOOKUP(C130,'[1]stock au 25-03-25'!A:D,4,FALSE)</f>
        <v>6410</v>
      </c>
      <c r="G130" t="s">
        <v>45</v>
      </c>
      <c r="H130" s="22">
        <f>+VLOOKUP(C130,'[1]stock au 25-03-25'!A:F,6,FALSE)</f>
        <v>3.7291731669266772</v>
      </c>
      <c r="I130" t="s">
        <v>46</v>
      </c>
      <c r="J130" s="56">
        <f>+VLOOKUP(C130,'[1]stock au 25-03-25'!A:H,8,FALSE)</f>
        <v>23904</v>
      </c>
      <c r="K130" t="s">
        <v>46</v>
      </c>
      <c r="L130" s="23">
        <v>3.7</v>
      </c>
      <c r="M130" t="s">
        <v>46</v>
      </c>
      <c r="N130" s="56">
        <f>+VLOOKUP(C130,'[1]stock au 25-03-25'!A:L,12,FALSE)</f>
        <v>23717</v>
      </c>
      <c r="P130" s="57">
        <v>3.7</v>
      </c>
      <c r="Q130" t="s">
        <v>46</v>
      </c>
      <c r="R130" s="25">
        <v>3.7</v>
      </c>
      <c r="T130" s="26">
        <v>4.234</v>
      </c>
      <c r="U130" s="58">
        <f t="shared" si="24"/>
        <v>0.14432432432432427</v>
      </c>
      <c r="V130" s="10">
        <f>IFERROR(VLOOKUP(C130,'[2]INDICATEURS ACHATS - Matières P'!$C$2:$G$209999,5,0),0)</f>
        <v>4000</v>
      </c>
      <c r="W130" s="60">
        <f t="shared" si="15"/>
        <v>16936</v>
      </c>
      <c r="X130" s="28">
        <v>3.7</v>
      </c>
      <c r="Y130" s="59">
        <v>3023.9280660885088</v>
      </c>
      <c r="Z130" s="60">
        <f t="shared" si="16"/>
        <v>11188.533844527483</v>
      </c>
      <c r="AA130" s="60">
        <f t="shared" si="13"/>
        <v>11188.533844527483</v>
      </c>
      <c r="AB130" s="60">
        <f t="shared" si="14"/>
        <v>0</v>
      </c>
      <c r="AC130" s="60">
        <f t="shared" si="17"/>
        <v>28124.533844527483</v>
      </c>
      <c r="AD130" s="61">
        <f>+VLOOKUP(C130,'[1]pic au 25-03'!C:R,16,FALSE)</f>
        <v>7300.8100990885087</v>
      </c>
      <c r="AE130" s="31"/>
      <c r="AF130" s="62">
        <v>27012.997366627478</v>
      </c>
      <c r="AG130" s="31"/>
      <c r="AH130" s="62">
        <v>27012.997366627478</v>
      </c>
      <c r="AI130" s="31"/>
      <c r="AJ130" s="28">
        <f t="shared" si="18"/>
        <v>25988.533844527483</v>
      </c>
      <c r="AK130" s="21">
        <f>+VLOOKUP(C130,'[1]stock au 25-03-25'!A:X,24,FALSE)</f>
        <v>276.88203299999998</v>
      </c>
      <c r="AL130" t="s">
        <v>45</v>
      </c>
      <c r="AM130" s="21">
        <f t="shared" si="25"/>
        <v>7023.9280660885088</v>
      </c>
      <c r="AN130" t="s">
        <v>45</v>
      </c>
      <c r="AO130" s="63">
        <v>24051.463671913214</v>
      </c>
      <c r="AP130" s="64">
        <f t="shared" si="26"/>
        <v>25988.533844527483</v>
      </c>
      <c r="AQ130" t="s">
        <v>46</v>
      </c>
      <c r="AR130" s="36">
        <f>(AP130-AO130)/AO130</f>
        <v>8.0538556781321297E-2</v>
      </c>
      <c r="AS130" s="81"/>
      <c r="AT130" s="81">
        <f>(AO130-J130)/J130</f>
        <v>6.1689956456331182E-3</v>
      </c>
      <c r="AU130" s="81"/>
      <c r="AV130" s="66">
        <f>(AP130-J130)/J130</f>
        <v>8.7204394433043966E-2</v>
      </c>
      <c r="BB130" s="56">
        <f>+R130*F130</f>
        <v>23717</v>
      </c>
    </row>
    <row r="131" spans="1:54" ht="18.75" outlineLevel="1" x14ac:dyDescent="0.3">
      <c r="A131">
        <v>4</v>
      </c>
      <c r="B131" t="s">
        <v>156</v>
      </c>
      <c r="C131">
        <v>346662</v>
      </c>
      <c r="D131" t="s">
        <v>182</v>
      </c>
      <c r="E131" t="s">
        <v>62</v>
      </c>
      <c r="F131" s="21">
        <f>+VLOOKUP(C131,'[1]stock au 25-03-25'!A:D,4,FALSE)</f>
        <v>3940</v>
      </c>
      <c r="G131" t="s">
        <v>45</v>
      </c>
      <c r="H131" s="22">
        <f>+VLOOKUP(C131,'[1]stock au 25-03-25'!A:F,6,FALSE)</f>
        <v>4.3694416243654821</v>
      </c>
      <c r="I131" t="s">
        <v>46</v>
      </c>
      <c r="J131" s="56">
        <f>+VLOOKUP(C131,'[1]stock au 25-03-25'!A:H,8,FALSE)</f>
        <v>17215.599999999999</v>
      </c>
      <c r="K131" t="s">
        <v>46</v>
      </c>
      <c r="L131" s="23">
        <v>4.1900000000000004</v>
      </c>
      <c r="M131" t="s">
        <v>46</v>
      </c>
      <c r="N131" s="56">
        <f>+VLOOKUP(C131,'[1]stock au 25-03-25'!A:L,12,FALSE)</f>
        <v>16508.600000000002</v>
      </c>
      <c r="P131" s="57">
        <v>4.09</v>
      </c>
      <c r="Q131" t="s">
        <v>46</v>
      </c>
      <c r="R131" s="25">
        <v>4.37</v>
      </c>
      <c r="T131" s="26">
        <v>4.4791774891774887</v>
      </c>
      <c r="U131" s="58">
        <f t="shared" si="24"/>
        <v>2.4983407134436749E-2</v>
      </c>
      <c r="V131" s="10">
        <f>IFERROR(VLOOKUP(C131,'[2]INDICATEURS ACHATS - Matières P'!$C$2:$G$209999,5,0),0)</f>
        <v>2310</v>
      </c>
      <c r="W131" s="60">
        <f t="shared" si="15"/>
        <v>10346.9</v>
      </c>
      <c r="X131" s="28">
        <v>4.54</v>
      </c>
      <c r="Y131" s="59">
        <v>1563.5515652659935</v>
      </c>
      <c r="Z131" s="60">
        <f t="shared" si="16"/>
        <v>7098.524106307611</v>
      </c>
      <c r="AA131" s="60">
        <f t="shared" si="13"/>
        <v>6832.7203402123923</v>
      </c>
      <c r="AB131" s="60">
        <f t="shared" si="14"/>
        <v>265.80376609521863</v>
      </c>
      <c r="AC131" s="60">
        <f t="shared" si="17"/>
        <v>17445.424106307612</v>
      </c>
      <c r="AD131" s="61">
        <f>+VLOOKUP(C131,'[1]pic au 25-03'!C:R,16,FALSE)</f>
        <v>4119.9635652659936</v>
      </c>
      <c r="AE131" s="31"/>
      <c r="AF131" s="62">
        <v>22744.87928047125</v>
      </c>
      <c r="AG131" s="31"/>
      <c r="AH131" s="62">
        <v>23300.988798331186</v>
      </c>
      <c r="AI131" s="31"/>
      <c r="AJ131" s="28">
        <f t="shared" si="18"/>
        <v>17585.924106307612</v>
      </c>
      <c r="AK131" s="21">
        <f>+VLOOKUP(C131,'[1]stock au 25-03-25'!A:X,24,FALSE)</f>
        <v>246.41200000000001</v>
      </c>
      <c r="AL131" t="s">
        <v>45</v>
      </c>
      <c r="AM131" s="21">
        <f t="shared" si="25"/>
        <v>3873.5515652659938</v>
      </c>
      <c r="AN131" t="s">
        <v>45</v>
      </c>
      <c r="AO131" s="63">
        <v>23005.229424022607</v>
      </c>
      <c r="AP131" s="64">
        <f t="shared" si="26"/>
        <v>16927.420340212393</v>
      </c>
      <c r="AQ131" t="s">
        <v>46</v>
      </c>
      <c r="AR131" s="36">
        <f>(AP131-AO131)/AO131</f>
        <v>-0.26419250040008824</v>
      </c>
      <c r="AS131" s="81"/>
      <c r="AT131" s="81">
        <f>(AO131-J131)/J131</f>
        <v>0.33630134436340353</v>
      </c>
      <c r="AU131" s="81"/>
      <c r="AV131" s="66">
        <f>(AP131-J131)/J131</f>
        <v>-1.6739449091963423E-2</v>
      </c>
      <c r="BB131" s="56">
        <f>+R131*F131</f>
        <v>17217.8</v>
      </c>
    </row>
    <row r="132" spans="1:54" ht="18.75" outlineLevel="1" x14ac:dyDescent="0.3">
      <c r="A132">
        <v>4</v>
      </c>
      <c r="B132" t="s">
        <v>156</v>
      </c>
      <c r="C132">
        <v>360469</v>
      </c>
      <c r="D132" t="s">
        <v>183</v>
      </c>
      <c r="E132" t="s">
        <v>158</v>
      </c>
      <c r="F132" s="21">
        <f>+VLOOKUP(C132,'[1]stock au 25-03-25'!A:D,4,FALSE)</f>
        <v>9125</v>
      </c>
      <c r="G132" t="s">
        <v>45</v>
      </c>
      <c r="H132" s="22">
        <f>+VLOOKUP(C132,'[1]stock au 25-03-25'!A:F,6,FALSE)</f>
        <v>2.8996821917808218</v>
      </c>
      <c r="I132" t="s">
        <v>46</v>
      </c>
      <c r="J132" s="56">
        <f>+VLOOKUP(C132,'[1]stock au 25-03-25'!A:H,8,FALSE)</f>
        <v>26459.599999999999</v>
      </c>
      <c r="K132" t="s">
        <v>46</v>
      </c>
      <c r="L132" s="23">
        <v>2.95</v>
      </c>
      <c r="M132" t="s">
        <v>46</v>
      </c>
      <c r="N132" s="56">
        <f>+VLOOKUP(C132,'[1]stock au 25-03-25'!A:L,12,FALSE)</f>
        <v>26918.75</v>
      </c>
      <c r="Q132" t="s">
        <v>46</v>
      </c>
      <c r="R132" s="25">
        <f>H132*(1+VLOOKUP(A132,'[1]Variation MP'!$B$3:$D$22,3))</f>
        <v>2.8996821917808218</v>
      </c>
      <c r="T132" s="26" t="s">
        <v>53</v>
      </c>
      <c r="U132" s="58" t="str">
        <f t="shared" si="24"/>
        <v/>
      </c>
      <c r="V132" s="10">
        <f>IFERROR(VLOOKUP(C132,'[2]INDICATEURS ACHATS - Matières P'!$C$2:$G$209999,5,0),0)</f>
        <v>0</v>
      </c>
      <c r="W132" s="60">
        <f t="shared" si="15"/>
        <v>0</v>
      </c>
      <c r="X132" s="28">
        <v>2.8996821917808218</v>
      </c>
      <c r="Y132" s="59">
        <v>7479.1316862745098</v>
      </c>
      <c r="Z132" s="60">
        <f t="shared" si="16"/>
        <v>21687.104960673863</v>
      </c>
      <c r="AA132" s="60">
        <f t="shared" ref="AA132:AA195" si="27">SUM(Y132*R132)</f>
        <v>21687.104960673863</v>
      </c>
      <c r="AB132" s="60">
        <f t="shared" ref="AB132:AB195" si="28">Z132-AA132</f>
        <v>0</v>
      </c>
      <c r="AC132" s="60">
        <f t="shared" si="17"/>
        <v>21687.104960673863</v>
      </c>
      <c r="AD132" s="61">
        <f>+VLOOKUP(C132,'[1]pic au 25-03'!C:R,16,FALSE)</f>
        <v>7642.1316862745098</v>
      </c>
      <c r="AE132" s="31"/>
      <c r="AF132" s="62"/>
      <c r="AG132" s="31"/>
      <c r="AH132" s="62">
        <v>22544.288474509805</v>
      </c>
      <c r="AI132" s="31"/>
      <c r="AJ132" s="28">
        <f t="shared" si="18"/>
        <v>21687.104960673863</v>
      </c>
      <c r="AK132" s="21">
        <f>+VLOOKUP(C132,'[1]stock au 25-03-25'!A:X,24,FALSE)</f>
        <v>163</v>
      </c>
      <c r="AL132" t="s">
        <v>45</v>
      </c>
      <c r="AM132" s="21">
        <f t="shared" si="25"/>
        <v>7479.1316862745098</v>
      </c>
      <c r="AN132" t="s">
        <v>45</v>
      </c>
      <c r="AO132" s="63">
        <v>21687.104960673863</v>
      </c>
      <c r="AP132" s="64">
        <f t="shared" si="26"/>
        <v>21687.104960673863</v>
      </c>
      <c r="AQ132" t="s">
        <v>46</v>
      </c>
      <c r="AR132" s="36">
        <f>(AP132-AO132)/AO132</f>
        <v>0</v>
      </c>
      <c r="AS132" s="81"/>
      <c r="AT132" s="81">
        <f>(AO132-J132)/J132</f>
        <v>-0.18036913027128662</v>
      </c>
      <c r="AU132" s="81"/>
      <c r="AV132" s="66">
        <f>(AP132-J132)/J132</f>
        <v>-0.18036913027128662</v>
      </c>
      <c r="BB132" s="56">
        <f>+R132*F132</f>
        <v>26459.599999999999</v>
      </c>
    </row>
    <row r="133" spans="1:54" ht="18.75" outlineLevel="1" x14ac:dyDescent="0.3">
      <c r="A133">
        <v>4</v>
      </c>
      <c r="B133" t="s">
        <v>156</v>
      </c>
      <c r="C133">
        <v>338330</v>
      </c>
      <c r="D133" t="s">
        <v>184</v>
      </c>
      <c r="E133" t="s">
        <v>158</v>
      </c>
      <c r="F133" s="21">
        <f>+VLOOKUP(C133,'[1]stock au 25-03-25'!A:D,4,FALSE)</f>
        <v>10080</v>
      </c>
      <c r="G133" t="s">
        <v>45</v>
      </c>
      <c r="H133" s="22">
        <f>+VLOOKUP(C133,'[1]stock au 25-03-25'!A:F,6,FALSE)</f>
        <v>2.0214285714285714</v>
      </c>
      <c r="I133" t="s">
        <v>46</v>
      </c>
      <c r="J133" s="56">
        <f>+VLOOKUP(C133,'[1]stock au 25-03-25'!A:H,8,FALSE)</f>
        <v>20376</v>
      </c>
      <c r="K133" t="s">
        <v>46</v>
      </c>
      <c r="L133" s="23">
        <v>2.5499999999999998</v>
      </c>
      <c r="M133" t="s">
        <v>46</v>
      </c>
      <c r="N133" s="56">
        <f>+VLOOKUP(C133,'[1]stock au 25-03-25'!A:L,12,FALSE)</f>
        <v>25704</v>
      </c>
      <c r="P133" s="57">
        <v>2.02</v>
      </c>
      <c r="Q133" t="s">
        <v>46</v>
      </c>
      <c r="R133" s="25">
        <v>1.96</v>
      </c>
      <c r="T133" s="26">
        <v>1.7942857142857145</v>
      </c>
      <c r="U133" s="58">
        <f t="shared" si="24"/>
        <v>-8.4548104956268105E-2</v>
      </c>
      <c r="V133" s="10">
        <f>IFERROR(VLOOKUP(C133,'[2]INDICATEURS ACHATS - Matières P'!$C$2:$G$209999,5,0),0)</f>
        <v>5040</v>
      </c>
      <c r="W133" s="60">
        <f t="shared" ref="W133:W196" si="29">IFERROR(V133*T133,0)</f>
        <v>9043.2000000000007</v>
      </c>
      <c r="X133" s="28">
        <v>1.5</v>
      </c>
      <c r="Y133" s="59">
        <v>5736.4037459867341</v>
      </c>
      <c r="Z133" s="60">
        <f t="shared" ref="Z133:Z196" si="30">Y133*X133</f>
        <v>8604.605618980102</v>
      </c>
      <c r="AA133" s="60">
        <f t="shared" si="27"/>
        <v>11243.351342133999</v>
      </c>
      <c r="AB133" s="60">
        <f t="shared" si="28"/>
        <v>-2638.7457231538974</v>
      </c>
      <c r="AC133" s="60">
        <f t="shared" ref="AC133:AC196" si="31">+W133+Z133</f>
        <v>17647.805618980103</v>
      </c>
      <c r="AD133" s="61">
        <f>+VLOOKUP(C133,'[1]pic au 25-03'!C:R,16,FALSE)</f>
        <v>11081.769745986734</v>
      </c>
      <c r="AE133" s="31"/>
      <c r="AF133" s="62">
        <v>22385.174886893205</v>
      </c>
      <c r="AG133" s="31"/>
      <c r="AH133" s="62">
        <v>28258.512852266169</v>
      </c>
      <c r="AI133" s="31"/>
      <c r="AJ133" s="28">
        <f t="shared" ref="AJ133:AJ196" si="32">X133*AM133</f>
        <v>16164.605618980102</v>
      </c>
      <c r="AK133" s="21">
        <f>+VLOOKUP(C133,'[1]stock au 25-03-25'!A:X,24,FALSE)</f>
        <v>305.36599999999999</v>
      </c>
      <c r="AL133" t="s">
        <v>45</v>
      </c>
      <c r="AM133" s="21">
        <f t="shared" si="25"/>
        <v>10776.403745986734</v>
      </c>
      <c r="AN133" t="s">
        <v>45</v>
      </c>
      <c r="AO133" s="63">
        <v>20307.50540081604</v>
      </c>
      <c r="AP133" s="64">
        <f t="shared" si="26"/>
        <v>21121.751342133997</v>
      </c>
      <c r="AQ133" t="s">
        <v>46</v>
      </c>
      <c r="AR133" s="36">
        <f>(AP133-AO133)/AO133</f>
        <v>4.0095813111798405E-2</v>
      </c>
      <c r="AS133" s="81"/>
      <c r="AT133" s="81">
        <f>(AO133-J133)/J133</f>
        <v>-3.3615331362367249E-3</v>
      </c>
      <c r="AU133" s="81"/>
      <c r="AV133" s="66">
        <f>(AP133-J133)/J133</f>
        <v>3.6599496571162016E-2</v>
      </c>
      <c r="BB133" s="56">
        <f>+R133*F133</f>
        <v>19756.8</v>
      </c>
    </row>
    <row r="134" spans="1:54" ht="18.75" outlineLevel="1" x14ac:dyDescent="0.3">
      <c r="A134">
        <v>4</v>
      </c>
      <c r="B134" t="s">
        <v>156</v>
      </c>
      <c r="C134">
        <v>338366</v>
      </c>
      <c r="D134" t="s">
        <v>185</v>
      </c>
      <c r="E134" t="s">
        <v>158</v>
      </c>
      <c r="F134" s="21">
        <f>+VLOOKUP(C134,'[1]stock au 25-03-25'!A:D,4,FALSE)</f>
        <v>23760</v>
      </c>
      <c r="G134" t="s">
        <v>45</v>
      </c>
      <c r="H134" s="22">
        <f>+VLOOKUP(C134,'[1]stock au 25-03-25'!A:F,6,FALSE)</f>
        <v>1.0055050505050505</v>
      </c>
      <c r="I134" t="s">
        <v>46</v>
      </c>
      <c r="J134" s="56">
        <f>+VLOOKUP(C134,'[1]stock au 25-03-25'!A:H,8,FALSE)</f>
        <v>23890.799999999999</v>
      </c>
      <c r="K134" t="s">
        <v>46</v>
      </c>
      <c r="L134" s="23">
        <v>0.92</v>
      </c>
      <c r="M134" t="s">
        <v>46</v>
      </c>
      <c r="N134" s="56">
        <f>+VLOOKUP(C134,'[1]stock au 25-03-25'!A:L,12,FALSE)</f>
        <v>21859.200000000001</v>
      </c>
      <c r="P134" s="57">
        <v>0.92</v>
      </c>
      <c r="Q134" t="s">
        <v>46</v>
      </c>
      <c r="R134" s="25">
        <v>1.01</v>
      </c>
      <c r="T134" s="26">
        <v>0.98124787535410762</v>
      </c>
      <c r="U134" s="58">
        <f t="shared" si="24"/>
        <v>-2.8467450144447907E-2</v>
      </c>
      <c r="V134" s="10">
        <f>IFERROR(VLOOKUP(C134,'[2]INDICATEURS ACHATS - Matières P'!$C$2:$G$209999,5,0),0)</f>
        <v>14120</v>
      </c>
      <c r="W134" s="60">
        <f t="shared" si="29"/>
        <v>13855.22</v>
      </c>
      <c r="X134" s="28">
        <v>0.92999999999999994</v>
      </c>
      <c r="Y134" s="59">
        <v>3266.4647684227048</v>
      </c>
      <c r="Z134" s="60">
        <f t="shared" si="30"/>
        <v>3037.8122346331152</v>
      </c>
      <c r="AA134" s="60">
        <f t="shared" si="27"/>
        <v>3299.1294161069318</v>
      </c>
      <c r="AB134" s="60">
        <f t="shared" si="28"/>
        <v>-261.31718147381662</v>
      </c>
      <c r="AC134" s="60">
        <f t="shared" si="31"/>
        <v>16893.032234633116</v>
      </c>
      <c r="AD134" s="61">
        <f>+VLOOKUP(C134,'[1]pic au 25-03'!C:R,16,FALSE)</f>
        <v>20099.137768422705</v>
      </c>
      <c r="AE134" s="31"/>
      <c r="AF134" s="62">
        <v>18491.20674694889</v>
      </c>
      <c r="AG134" s="31"/>
      <c r="AH134" s="62">
        <v>18491.20674694889</v>
      </c>
      <c r="AI134" s="31"/>
      <c r="AJ134" s="28">
        <f t="shared" si="32"/>
        <v>16169.412234633115</v>
      </c>
      <c r="AK134" s="21">
        <f>+VLOOKUP(C134,'[1]stock au 25-03-25'!A:X,24,FALSE)</f>
        <v>2712.6729999999998</v>
      </c>
      <c r="AL134" t="s">
        <v>45</v>
      </c>
      <c r="AM134" s="21">
        <f t="shared" si="25"/>
        <v>17386.464768422706</v>
      </c>
      <c r="AN134" t="s">
        <v>45</v>
      </c>
      <c r="AO134" s="63">
        <v>17037.878544675343</v>
      </c>
      <c r="AP134" s="64">
        <f t="shared" si="26"/>
        <v>17560.329416106932</v>
      </c>
      <c r="AQ134" t="s">
        <v>46</v>
      </c>
      <c r="AR134" s="36">
        <f>(AP134-AO134)/AO134</f>
        <v>3.0664080041518115E-2</v>
      </c>
      <c r="AS134" s="81"/>
      <c r="AT134" s="81">
        <f>(AO134-J134)/J134</f>
        <v>-0.28684353204265478</v>
      </c>
      <c r="AU134" s="81"/>
      <c r="AV134" s="66">
        <f>(AP134-J134)/J134</f>
        <v>-0.26497524502708442</v>
      </c>
      <c r="BB134" s="56">
        <f>+R134*F134</f>
        <v>23997.599999999999</v>
      </c>
    </row>
    <row r="135" spans="1:54" ht="18.75" outlineLevel="1" x14ac:dyDescent="0.3">
      <c r="A135">
        <v>4</v>
      </c>
      <c r="B135" t="s">
        <v>156</v>
      </c>
      <c r="C135">
        <v>360943</v>
      </c>
      <c r="D135" t="s">
        <v>186</v>
      </c>
      <c r="E135" t="s">
        <v>158</v>
      </c>
      <c r="F135" s="21">
        <f>+VLOOKUP(C135,'[1]stock au 25-03-25'!A:D,4,FALSE)</f>
        <v>8190</v>
      </c>
      <c r="G135" t="s">
        <v>45</v>
      </c>
      <c r="H135" s="22">
        <f>+VLOOKUP(C135,'[1]stock au 25-03-25'!A:F,6,FALSE)</f>
        <v>1.8739560439560441</v>
      </c>
      <c r="I135" t="s">
        <v>46</v>
      </c>
      <c r="J135" s="56">
        <f>+VLOOKUP(C135,'[1]stock au 25-03-25'!A:H,8,FALSE)</f>
        <v>15347.7</v>
      </c>
      <c r="K135" t="s">
        <v>46</v>
      </c>
      <c r="L135" s="23">
        <v>2.08</v>
      </c>
      <c r="M135" t="s">
        <v>46</v>
      </c>
      <c r="N135" s="56">
        <f>+VLOOKUP(C135,'[1]stock au 25-03-25'!A:L,12,FALSE)</f>
        <v>17035.2</v>
      </c>
      <c r="P135" s="57">
        <v>2.08</v>
      </c>
      <c r="Q135" t="s">
        <v>46</v>
      </c>
      <c r="R135" s="25">
        <v>1.88</v>
      </c>
      <c r="T135" s="26">
        <v>1.8039999999999998</v>
      </c>
      <c r="U135" s="58">
        <f t="shared" si="24"/>
        <v>-4.0425531914893655E-2</v>
      </c>
      <c r="V135" s="10">
        <f>IFERROR(VLOOKUP(C135,'[2]INDICATEURS ACHATS - Matières P'!$C$2:$G$209999,5,0),0)</f>
        <v>7200</v>
      </c>
      <c r="W135" s="60">
        <f t="shared" si="29"/>
        <v>12988.8</v>
      </c>
      <c r="X135" s="28">
        <v>1.65</v>
      </c>
      <c r="Y135" s="59">
        <v>1219.3908797823242</v>
      </c>
      <c r="Z135" s="60">
        <f t="shared" si="30"/>
        <v>2011.9949516408349</v>
      </c>
      <c r="AA135" s="60">
        <f t="shared" si="27"/>
        <v>2292.4548539907692</v>
      </c>
      <c r="AB135" s="60">
        <f t="shared" si="28"/>
        <v>-280.45990234993428</v>
      </c>
      <c r="AC135" s="60">
        <f t="shared" si="31"/>
        <v>15000.794951640833</v>
      </c>
      <c r="AD135" s="61">
        <f>+VLOOKUP(C135,'[1]pic au 25-03'!C:R,16,FALSE)</f>
        <v>10129.390879782324</v>
      </c>
      <c r="AE135" s="31"/>
      <c r="AF135" s="62">
        <v>21069.133029947236</v>
      </c>
      <c r="AG135" s="31"/>
      <c r="AH135" s="62">
        <v>21069.133029947236</v>
      </c>
      <c r="AI135" s="31"/>
      <c r="AJ135" s="28">
        <f t="shared" si="32"/>
        <v>13891.994951640834</v>
      </c>
      <c r="AK135" s="21">
        <f>+VLOOKUP(C135,'[1]stock au 25-03-25'!A:X,24,FALSE)</f>
        <v>1710</v>
      </c>
      <c r="AL135" t="s">
        <v>45</v>
      </c>
      <c r="AM135" s="21">
        <f t="shared" si="25"/>
        <v>8419.3908797823242</v>
      </c>
      <c r="AN135" t="s">
        <v>45</v>
      </c>
      <c r="AO135" s="63">
        <v>17009.414579019867</v>
      </c>
      <c r="AP135" s="64">
        <f t="shared" si="26"/>
        <v>15828.454853990768</v>
      </c>
      <c r="AQ135" t="s">
        <v>46</v>
      </c>
      <c r="AR135" s="36">
        <f>(AP135-AO135)/AO135</f>
        <v>-6.9429768998972186E-2</v>
      </c>
      <c r="AS135" s="81"/>
      <c r="AT135" s="81">
        <f>(AO135-J135)/J135</f>
        <v>0.10827124448743893</v>
      </c>
      <c r="AU135" s="81"/>
      <c r="AV135" s="66">
        <f>(AP135-J135)/J135</f>
        <v>3.1324227994472625E-2</v>
      </c>
      <c r="BB135" s="56">
        <f>+R135*F135</f>
        <v>15397.199999999999</v>
      </c>
    </row>
    <row r="136" spans="1:54" ht="18.75" outlineLevel="1" x14ac:dyDescent="0.3">
      <c r="A136">
        <v>4</v>
      </c>
      <c r="B136" t="s">
        <v>156</v>
      </c>
      <c r="C136">
        <v>347203</v>
      </c>
      <c r="D136" t="s">
        <v>187</v>
      </c>
      <c r="E136" t="s">
        <v>158</v>
      </c>
      <c r="F136" s="21">
        <f>+VLOOKUP(C136,'[1]stock au 25-03-25'!A:D,4,FALSE)</f>
        <v>4940</v>
      </c>
      <c r="G136" t="s">
        <v>45</v>
      </c>
      <c r="H136" s="22">
        <f>+VLOOKUP(C136,'[1]stock au 25-03-25'!A:F,6,FALSE)</f>
        <v>3.3</v>
      </c>
      <c r="I136" t="s">
        <v>46</v>
      </c>
      <c r="J136" s="56">
        <f>+VLOOKUP(C136,'[1]stock au 25-03-25'!A:H,8,FALSE)</f>
        <v>16302</v>
      </c>
      <c r="K136" t="s">
        <v>46</v>
      </c>
      <c r="L136" s="23">
        <v>3.6</v>
      </c>
      <c r="M136" t="s">
        <v>46</v>
      </c>
      <c r="N136" s="56">
        <f>+VLOOKUP(C136,'[1]stock au 25-03-25'!A:L,12,FALSE)</f>
        <v>17784</v>
      </c>
      <c r="P136" s="57">
        <v>3.22</v>
      </c>
      <c r="Q136" t="s">
        <v>46</v>
      </c>
      <c r="R136" s="25">
        <f>H136*(1+VLOOKUP(A136,'[1]Variation MP'!$B$3:$D$22,3))</f>
        <v>3.3</v>
      </c>
      <c r="T136" s="26">
        <v>3.3</v>
      </c>
      <c r="U136" s="58">
        <f t="shared" si="24"/>
        <v>0</v>
      </c>
      <c r="V136" s="10">
        <f>IFERROR(VLOOKUP(C136,'[2]INDICATEURS ACHATS - Matières P'!$C$2:$G$209999,5,0),0)</f>
        <v>2630</v>
      </c>
      <c r="W136" s="60">
        <f t="shared" si="29"/>
        <v>8679</v>
      </c>
      <c r="X136" s="28">
        <v>3.3</v>
      </c>
      <c r="Y136" s="59">
        <v>2470.360794086957</v>
      </c>
      <c r="Z136" s="60">
        <f t="shared" si="30"/>
        <v>8152.1906204869574</v>
      </c>
      <c r="AA136" s="60">
        <f t="shared" si="27"/>
        <v>8152.1906204869574</v>
      </c>
      <c r="AB136" s="60">
        <f t="shared" si="28"/>
        <v>0</v>
      </c>
      <c r="AC136" s="60">
        <f t="shared" si="31"/>
        <v>16831.190620486959</v>
      </c>
      <c r="AD136" s="61">
        <f>+VLOOKUP(C136,'[1]pic au 25-03'!C:R,16,FALSE)</f>
        <v>5100.360794086957</v>
      </c>
      <c r="AE136" s="31"/>
      <c r="AF136" s="62">
        <v>16423.161756960002</v>
      </c>
      <c r="AG136" s="31"/>
      <c r="AH136" s="62">
        <v>18361.298858713046</v>
      </c>
      <c r="AI136" s="31"/>
      <c r="AJ136" s="28">
        <f t="shared" si="32"/>
        <v>16831.190620486956</v>
      </c>
      <c r="AK136" s="21">
        <f>+VLOOKUP(C136,'[1]stock au 25-03-25'!A:X,24,FALSE)</f>
        <v>0</v>
      </c>
      <c r="AL136" t="s">
        <v>45</v>
      </c>
      <c r="AM136" s="21">
        <f t="shared" si="25"/>
        <v>5100.360794086957</v>
      </c>
      <c r="AN136" t="s">
        <v>45</v>
      </c>
      <c r="AO136" s="63">
        <v>16831.190620486956</v>
      </c>
      <c r="AP136" s="64">
        <f t="shared" si="26"/>
        <v>16831.190620486956</v>
      </c>
      <c r="AQ136" t="s">
        <v>46</v>
      </c>
      <c r="AR136" s="36">
        <f>(AP136-AO136)/AO136</f>
        <v>0</v>
      </c>
      <c r="AS136" s="81"/>
      <c r="AT136" s="81">
        <f>(AO136-J136)/J136</f>
        <v>3.2461699207885879E-2</v>
      </c>
      <c r="AU136" s="81"/>
      <c r="AV136" s="66">
        <f>(AP136-J136)/J136</f>
        <v>3.2461699207885879E-2</v>
      </c>
      <c r="BB136" s="56">
        <f>+R136*F136</f>
        <v>16302</v>
      </c>
    </row>
    <row r="137" spans="1:54" ht="18.75" outlineLevel="1" x14ac:dyDescent="0.3">
      <c r="A137">
        <v>4</v>
      </c>
      <c r="B137" t="s">
        <v>156</v>
      </c>
      <c r="C137">
        <v>340384</v>
      </c>
      <c r="D137" t="s">
        <v>188</v>
      </c>
      <c r="E137" t="s">
        <v>158</v>
      </c>
      <c r="F137" s="21">
        <f>+VLOOKUP(C137,'[1]stock au 25-03-25'!A:D,4,FALSE)</f>
        <v>2550</v>
      </c>
      <c r="G137" t="s">
        <v>45</v>
      </c>
      <c r="H137" s="22">
        <f>+VLOOKUP(C137,'[1]stock au 25-03-25'!A:F,6,FALSE)</f>
        <v>9.7172549019607839</v>
      </c>
      <c r="I137" t="s">
        <v>46</v>
      </c>
      <c r="J137" s="56">
        <f>+VLOOKUP(C137,'[1]stock au 25-03-25'!A:H,8,FALSE)</f>
        <v>24779</v>
      </c>
      <c r="K137" t="s">
        <v>46</v>
      </c>
      <c r="L137" s="23">
        <v>13.4</v>
      </c>
      <c r="M137" t="s">
        <v>46</v>
      </c>
      <c r="N137" s="56">
        <f>+VLOOKUP(C137,'[1]stock au 25-03-25'!A:L,12,FALSE)</f>
        <v>34170</v>
      </c>
      <c r="P137" s="57">
        <v>10.210000000000001</v>
      </c>
      <c r="Q137" t="s">
        <v>46</v>
      </c>
      <c r="R137" s="25">
        <v>7.2</v>
      </c>
      <c r="T137" s="26">
        <v>8.6013157894736842</v>
      </c>
      <c r="U137" s="58">
        <f t="shared" si="24"/>
        <v>0.19462719298245612</v>
      </c>
      <c r="V137" s="10">
        <f>IFERROR(VLOOKUP(C137,'[2]INDICATEURS ACHATS - Matières P'!$C$2:$G$209999,5,0),0)</f>
        <v>3800</v>
      </c>
      <c r="W137" s="60">
        <f t="shared" si="29"/>
        <v>32685</v>
      </c>
      <c r="X137" s="28">
        <v>10.33235294117647</v>
      </c>
      <c r="Y137" s="59">
        <v>-1607.317346921739</v>
      </c>
      <c r="Z137" s="60">
        <f t="shared" si="30"/>
        <v>-16607.370116870792</v>
      </c>
      <c r="AA137" s="60">
        <f t="shared" si="27"/>
        <v>-11572.684897836521</v>
      </c>
      <c r="AB137" s="60">
        <f t="shared" si="28"/>
        <v>-5034.6852190342706</v>
      </c>
      <c r="AC137" s="60">
        <f t="shared" si="31"/>
        <v>16077.629883129208</v>
      </c>
      <c r="AD137" s="61">
        <f>+VLOOKUP(C137,'[1]pic au 25-03'!C:R,16,FALSE)</f>
        <v>2244.919653078261</v>
      </c>
      <c r="AE137" s="31"/>
      <c r="AF137" s="62">
        <v>22920.629657929047</v>
      </c>
      <c r="AG137" s="31"/>
      <c r="AH137" s="62">
        <v>30081.923351248697</v>
      </c>
      <c r="AI137" s="31"/>
      <c r="AJ137" s="28">
        <f t="shared" si="32"/>
        <v>22655.571059599795</v>
      </c>
      <c r="AK137" s="21">
        <f>+VLOOKUP(C137,'[1]stock au 25-03-25'!A:X,24,FALSE)</f>
        <v>52.237000000000002</v>
      </c>
      <c r="AL137" t="s">
        <v>45</v>
      </c>
      <c r="AM137" s="21">
        <f t="shared" si="25"/>
        <v>2192.682653078261</v>
      </c>
      <c r="AN137" t="s">
        <v>45</v>
      </c>
      <c r="AO137" s="63">
        <v>20569.481805343621</v>
      </c>
      <c r="AP137" s="64">
        <f t="shared" si="26"/>
        <v>15787.315102163479</v>
      </c>
      <c r="AQ137" t="s">
        <v>46</v>
      </c>
      <c r="AR137" s="36">
        <f>(AP137-AO137)/AO137</f>
        <v>-0.23248843837854061</v>
      </c>
      <c r="AS137" s="81"/>
      <c r="AT137" s="81">
        <f>(AO137-J137)/J137</f>
        <v>-0.1698824889889172</v>
      </c>
      <c r="AU137" s="81"/>
      <c r="AV137" s="66">
        <f>(AP137-J137)/J137</f>
        <v>-0.36287521279456481</v>
      </c>
      <c r="BB137" s="56">
        <f>+R137*F137</f>
        <v>18360</v>
      </c>
    </row>
    <row r="138" spans="1:54" ht="18.75" outlineLevel="1" x14ac:dyDescent="0.3">
      <c r="A138">
        <v>4</v>
      </c>
      <c r="B138" t="s">
        <v>156</v>
      </c>
      <c r="C138">
        <v>338255</v>
      </c>
      <c r="D138" t="s">
        <v>189</v>
      </c>
      <c r="E138" t="s">
        <v>158</v>
      </c>
      <c r="F138" s="21">
        <f>+VLOOKUP(C138,'[1]stock au 25-03-25'!A:D,4,FALSE)</f>
        <v>14265</v>
      </c>
      <c r="G138" t="s">
        <v>45</v>
      </c>
      <c r="H138" s="22">
        <f>+VLOOKUP(C138,'[1]stock au 25-03-25'!A:F,6,FALSE)</f>
        <v>0.84198738170347009</v>
      </c>
      <c r="I138" t="s">
        <v>46</v>
      </c>
      <c r="J138" s="56">
        <f>+VLOOKUP(C138,'[1]stock au 25-03-25'!A:H,8,FALSE)</f>
        <v>12010.95</v>
      </c>
      <c r="K138" t="s">
        <v>46</v>
      </c>
      <c r="L138" s="23">
        <v>0.92</v>
      </c>
      <c r="M138" t="s">
        <v>46</v>
      </c>
      <c r="N138" s="56">
        <f>+VLOOKUP(C138,'[1]stock au 25-03-25'!A:L,12,FALSE)</f>
        <v>13123.800000000001</v>
      </c>
      <c r="P138" s="57">
        <v>0.86</v>
      </c>
      <c r="Q138" t="s">
        <v>46</v>
      </c>
      <c r="R138" s="25">
        <v>0.84</v>
      </c>
      <c r="T138" s="26">
        <v>0.89</v>
      </c>
      <c r="U138" s="58">
        <f t="shared" si="24"/>
        <v>5.9523809523809576E-2</v>
      </c>
      <c r="V138" s="10">
        <f>IFERROR(VLOOKUP(C138,'[2]INDICATEURS ACHATS - Matières P'!$C$2:$G$209999,5,0),0)</f>
        <v>9900</v>
      </c>
      <c r="W138" s="60">
        <f t="shared" si="29"/>
        <v>8811</v>
      </c>
      <c r="X138" s="28">
        <v>0.95550505050505052</v>
      </c>
      <c r="Y138" s="59">
        <v>6055.8516043723275</v>
      </c>
      <c r="Z138" s="60">
        <f t="shared" si="30"/>
        <v>5786.3967930868721</v>
      </c>
      <c r="AA138" s="60">
        <f t="shared" si="27"/>
        <v>5086.9153476727552</v>
      </c>
      <c r="AB138" s="60">
        <f t="shared" si="28"/>
        <v>699.48144541411693</v>
      </c>
      <c r="AC138" s="60">
        <f t="shared" si="31"/>
        <v>14597.396793086871</v>
      </c>
      <c r="AD138" s="61">
        <f>+VLOOKUP(C138,'[1]pic au 25-03'!C:R,16,FALSE)</f>
        <v>16616.827604372327</v>
      </c>
      <c r="AE138" s="31"/>
      <c r="AF138" s="62">
        <v>14290.471739760203</v>
      </c>
      <c r="AG138" s="31"/>
      <c r="AH138" s="62">
        <v>15287.481396022546</v>
      </c>
      <c r="AI138" s="31"/>
      <c r="AJ138" s="28">
        <f t="shared" si="32"/>
        <v>15245.896793086871</v>
      </c>
      <c r="AK138" s="21">
        <f>+VLOOKUP(C138,'[1]stock au 25-03-25'!A:X,24,FALSE)</f>
        <v>660.976</v>
      </c>
      <c r="AL138" t="s">
        <v>45</v>
      </c>
      <c r="AM138" s="21">
        <f t="shared" si="25"/>
        <v>15955.851604372327</v>
      </c>
      <c r="AN138" t="s">
        <v>45</v>
      </c>
      <c r="AO138" s="63">
        <v>12042.901404047378</v>
      </c>
      <c r="AP138" s="64">
        <f t="shared" si="26"/>
        <v>13402.915347672753</v>
      </c>
      <c r="AQ138" t="s">
        <v>46</v>
      </c>
      <c r="AR138" s="36">
        <f>(AP138-AO138)/AO138</f>
        <v>0.11293075464092917</v>
      </c>
      <c r="AS138" s="81"/>
      <c r="AT138" s="81">
        <f>(AO138-J138)/J138</f>
        <v>2.6601895809554494E-3</v>
      </c>
      <c r="AU138" s="81"/>
      <c r="AV138" s="66">
        <f>(AP138-J138)/J138</f>
        <v>0.11589136143874985</v>
      </c>
      <c r="BB138" s="56">
        <f>+R138*F138</f>
        <v>11982.6</v>
      </c>
    </row>
    <row r="139" spans="1:54" ht="18.75" outlineLevel="1" x14ac:dyDescent="0.3">
      <c r="A139">
        <v>4</v>
      </c>
      <c r="B139" t="s">
        <v>156</v>
      </c>
      <c r="C139">
        <v>338322</v>
      </c>
      <c r="D139" t="s">
        <v>190</v>
      </c>
      <c r="E139" t="s">
        <v>62</v>
      </c>
      <c r="F139" s="21">
        <f>+VLOOKUP(C139,'[1]stock au 25-03-25'!A:D,4,FALSE)</f>
        <v>5044</v>
      </c>
      <c r="G139" t="s">
        <v>45</v>
      </c>
      <c r="H139" s="22">
        <f>+VLOOKUP(C139,'[1]stock au 25-03-25'!A:F,6,FALSE)</f>
        <v>2.894916732751784</v>
      </c>
      <c r="I139" t="s">
        <v>46</v>
      </c>
      <c r="J139" s="56">
        <f>+VLOOKUP(C139,'[1]stock au 25-03-25'!A:H,8,FALSE)</f>
        <v>14601.96</v>
      </c>
      <c r="K139" t="s">
        <v>46</v>
      </c>
      <c r="L139" s="23">
        <v>2.84</v>
      </c>
      <c r="M139" t="s">
        <v>46</v>
      </c>
      <c r="N139" s="56">
        <f>+VLOOKUP(C139,'[1]stock au 25-03-25'!A:L,12,FALSE)</f>
        <v>14324.96</v>
      </c>
      <c r="P139" s="57">
        <v>2.82</v>
      </c>
      <c r="Q139" t="s">
        <v>46</v>
      </c>
      <c r="R139" s="25">
        <v>2.83</v>
      </c>
      <c r="T139" s="26">
        <v>2.9162500000000002</v>
      </c>
      <c r="U139" s="58">
        <f t="shared" si="24"/>
        <v>3.0477031802120198E-2</v>
      </c>
      <c r="V139" s="10">
        <f>IFERROR(VLOOKUP(C139,'[2]INDICATEURS ACHATS - Matières P'!$C$2:$G$209999,5,0),0)</f>
        <v>3360</v>
      </c>
      <c r="W139" s="60">
        <f t="shared" si="29"/>
        <v>9798.6</v>
      </c>
      <c r="X139" s="28">
        <v>2.96</v>
      </c>
      <c r="Y139" s="59">
        <v>1893.7692612929111</v>
      </c>
      <c r="Z139" s="60">
        <f t="shared" si="30"/>
        <v>5605.5570134270165</v>
      </c>
      <c r="AA139" s="60">
        <f t="shared" si="27"/>
        <v>5359.3670094589388</v>
      </c>
      <c r="AB139" s="60">
        <f t="shared" si="28"/>
        <v>246.19000396807769</v>
      </c>
      <c r="AC139" s="60">
        <f t="shared" si="31"/>
        <v>15404.157013427017</v>
      </c>
      <c r="AD139" s="61">
        <f>+VLOOKUP(C139,'[1]pic au 25-03'!C:R,16,FALSE)</f>
        <v>5895.2682612929111</v>
      </c>
      <c r="AE139" s="31"/>
      <c r="AF139" s="62">
        <v>16624.656496846008</v>
      </c>
      <c r="AG139" s="31"/>
      <c r="AH139" s="62">
        <v>16742.561862071867</v>
      </c>
      <c r="AI139" s="31"/>
      <c r="AJ139" s="28">
        <f t="shared" si="32"/>
        <v>15551.157013427017</v>
      </c>
      <c r="AK139" s="21">
        <f>+VLOOKUP(C139,'[1]stock au 25-03-25'!A:X,24,FALSE)</f>
        <v>641.49900000000002</v>
      </c>
      <c r="AL139" t="s">
        <v>45</v>
      </c>
      <c r="AM139" s="21">
        <f t="shared" si="25"/>
        <v>5253.7692612929113</v>
      </c>
      <c r="AN139" t="s">
        <v>45</v>
      </c>
      <c r="AO139" s="63">
        <v>15266.339376300142</v>
      </c>
      <c r="AP139" s="64">
        <f t="shared" si="26"/>
        <v>14868.167009458939</v>
      </c>
      <c r="AQ139" t="s">
        <v>46</v>
      </c>
      <c r="AR139" s="36">
        <f>(AP139-AO139)/AO139</f>
        <v>-2.6081718546054091E-2</v>
      </c>
      <c r="AS139" s="81"/>
      <c r="AT139" s="81">
        <f>(AO139-J139)/J139</f>
        <v>4.5499328603841073E-2</v>
      </c>
      <c r="AU139" s="81"/>
      <c r="AV139" s="66">
        <f>(AP139-J139)/J139</f>
        <v>1.8230909375107168E-2</v>
      </c>
      <c r="BB139" s="56">
        <f>+R139*F139</f>
        <v>14274.52</v>
      </c>
    </row>
    <row r="140" spans="1:54" ht="18.75" outlineLevel="1" x14ac:dyDescent="0.3">
      <c r="A140">
        <v>4</v>
      </c>
      <c r="B140" t="s">
        <v>156</v>
      </c>
      <c r="C140">
        <v>338302</v>
      </c>
      <c r="D140" t="s">
        <v>191</v>
      </c>
      <c r="E140" t="s">
        <v>158</v>
      </c>
      <c r="F140" s="21">
        <f>+VLOOKUP(C140,'[1]stock au 25-03-25'!A:D,4,FALSE)</f>
        <v>6830</v>
      </c>
      <c r="G140" t="s">
        <v>45</v>
      </c>
      <c r="H140" s="22">
        <f>+VLOOKUP(C140,'[1]stock au 25-03-25'!A:F,6,FALSE)</f>
        <v>2.2677013177159591</v>
      </c>
      <c r="I140" t="s">
        <v>46</v>
      </c>
      <c r="J140" s="56">
        <f>+VLOOKUP(C140,'[1]stock au 25-03-25'!A:H,8,FALSE)</f>
        <v>15488.4</v>
      </c>
      <c r="K140" t="s">
        <v>46</v>
      </c>
      <c r="L140" s="23">
        <v>2.2799999999999998</v>
      </c>
      <c r="M140" t="s">
        <v>46</v>
      </c>
      <c r="N140" s="56">
        <f>+VLOOKUP(C140,'[1]stock au 25-03-25'!A:L,12,FALSE)</f>
        <v>15572.399999999998</v>
      </c>
      <c r="P140" s="57">
        <v>2.2799999999999998</v>
      </c>
      <c r="Q140" t="s">
        <v>46</v>
      </c>
      <c r="R140" s="25">
        <f>H140*(1+VLOOKUP(A140,'[1]Variation MP'!$B$3:$D$22,3))</f>
        <v>2.2677013177159591</v>
      </c>
      <c r="T140" s="26">
        <v>2.12</v>
      </c>
      <c r="U140" s="58">
        <f t="shared" si="24"/>
        <v>-6.5132615376668965E-2</v>
      </c>
      <c r="V140" s="10">
        <f>IFERROR(VLOOKUP(C140,'[2]INDICATEURS ACHATS - Matières P'!$C$2:$G$209999,5,0),0)</f>
        <v>4200</v>
      </c>
      <c r="W140" s="60">
        <f t="shared" si="29"/>
        <v>8904</v>
      </c>
      <c r="X140" s="28">
        <v>2.12</v>
      </c>
      <c r="Y140" s="59">
        <v>3068.3532607843135</v>
      </c>
      <c r="Z140" s="60">
        <f t="shared" si="30"/>
        <v>6504.9089128627447</v>
      </c>
      <c r="AA140" s="60">
        <f t="shared" si="27"/>
        <v>6958.1087326986471</v>
      </c>
      <c r="AB140" s="60">
        <f t="shared" si="28"/>
        <v>-453.19981983590242</v>
      </c>
      <c r="AC140" s="60">
        <f t="shared" si="31"/>
        <v>15408.908912862746</v>
      </c>
      <c r="AD140" s="61">
        <f>+VLOOKUP(C140,'[1]pic au 25-03'!C:R,16,FALSE)</f>
        <v>7513.3532607843135</v>
      </c>
      <c r="AE140" s="31"/>
      <c r="AF140" s="62">
        <v>17130.445434588233</v>
      </c>
      <c r="AG140" s="31"/>
      <c r="AH140" s="62">
        <v>17130.445434588233</v>
      </c>
      <c r="AI140" s="31"/>
      <c r="AJ140" s="28">
        <f t="shared" si="32"/>
        <v>15408.908912862746</v>
      </c>
      <c r="AK140" s="21">
        <f>+VLOOKUP(C140,'[1]stock au 25-03-25'!A:X,24,FALSE)</f>
        <v>245</v>
      </c>
      <c r="AL140" t="s">
        <v>45</v>
      </c>
      <c r="AM140" s="21">
        <f t="shared" si="25"/>
        <v>7268.3532607843135</v>
      </c>
      <c r="AN140" t="s">
        <v>45</v>
      </c>
      <c r="AO140" s="63">
        <v>14588.923666812851</v>
      </c>
      <c r="AP140" s="64">
        <f t="shared" si="26"/>
        <v>16482.454267105677</v>
      </c>
      <c r="AQ140" t="s">
        <v>46</v>
      </c>
      <c r="AR140" s="36">
        <f>(AP140-AO140)/AO140</f>
        <v>0.12979234407814913</v>
      </c>
      <c r="AS140" s="81"/>
      <c r="AT140" s="81">
        <f>(AO140-J140)/J140</f>
        <v>-5.807419315017362E-2</v>
      </c>
      <c r="AU140" s="81"/>
      <c r="AV140" s="66">
        <f>(AP140-J140)/J140</f>
        <v>6.4180565268567275E-2</v>
      </c>
      <c r="BB140" s="56">
        <f>+R140*F140</f>
        <v>15488.4</v>
      </c>
    </row>
    <row r="141" spans="1:54" ht="18.75" outlineLevel="1" x14ac:dyDescent="0.3">
      <c r="A141">
        <v>4</v>
      </c>
      <c r="B141" t="s">
        <v>156</v>
      </c>
      <c r="C141">
        <v>338247</v>
      </c>
      <c r="D141" t="s">
        <v>192</v>
      </c>
      <c r="E141" t="s">
        <v>158</v>
      </c>
      <c r="F141" s="21">
        <f>+VLOOKUP(C141,'[1]stock au 25-03-25'!A:D,4,FALSE)</f>
        <v>4404.3999999999996</v>
      </c>
      <c r="G141" t="s">
        <v>45</v>
      </c>
      <c r="H141" s="22">
        <f>+VLOOKUP(C141,'[1]stock au 25-03-25'!A:F,6,FALSE)</f>
        <v>2.909124965943148</v>
      </c>
      <c r="I141" t="s">
        <v>46</v>
      </c>
      <c r="J141" s="56">
        <f>+VLOOKUP(C141,'[1]stock au 25-03-25'!A:H,8,FALSE)</f>
        <v>12812.95</v>
      </c>
      <c r="K141" t="s">
        <v>46</v>
      </c>
      <c r="L141" s="23">
        <v>2.93</v>
      </c>
      <c r="M141" t="s">
        <v>46</v>
      </c>
      <c r="N141" s="56">
        <f>+VLOOKUP(C141,'[1]stock au 25-03-25'!A:L,12,FALSE)</f>
        <v>12904.892</v>
      </c>
      <c r="P141" s="57">
        <v>2.93</v>
      </c>
      <c r="Q141" t="s">
        <v>46</v>
      </c>
      <c r="R141" s="25">
        <v>2.86</v>
      </c>
      <c r="T141" s="26">
        <v>2.9861246943765281</v>
      </c>
      <c r="U141" s="58">
        <f t="shared" si="24"/>
        <v>4.4099543488296568E-2</v>
      </c>
      <c r="V141" s="10">
        <f>IFERROR(VLOOKUP(C141,'[2]INDICATEURS ACHATS - Matières P'!$C$2:$G$209999,5,0),0)</f>
        <v>2944.8</v>
      </c>
      <c r="W141" s="60">
        <f t="shared" si="29"/>
        <v>8793.5400000000009</v>
      </c>
      <c r="X141" s="28">
        <v>3.0050040849673203</v>
      </c>
      <c r="Y141" s="59">
        <v>1648.9953654901797</v>
      </c>
      <c r="Z141" s="60">
        <f t="shared" si="30"/>
        <v>4955.2378093901689</v>
      </c>
      <c r="AA141" s="60">
        <f t="shared" si="27"/>
        <v>4716.1267453019136</v>
      </c>
      <c r="AB141" s="60">
        <f t="shared" si="28"/>
        <v>239.11106408825526</v>
      </c>
      <c r="AC141" s="60">
        <f t="shared" si="31"/>
        <v>13748.777809390169</v>
      </c>
      <c r="AD141" s="61">
        <f>+VLOOKUP(C141,'[1]pic au 25-03'!C:R,16,FALSE)</f>
        <v>5157.5975774901799</v>
      </c>
      <c r="AE141" s="31"/>
      <c r="AF141" s="62">
        <v>15111.760902046226</v>
      </c>
      <c r="AG141" s="31"/>
      <c r="AH141" s="62">
        <v>15111.760902046226</v>
      </c>
      <c r="AI141" s="31"/>
      <c r="AJ141" s="28">
        <f t="shared" si="32"/>
        <v>13804.373838801934</v>
      </c>
      <c r="AK141" s="21">
        <f>+VLOOKUP(C141,'[1]stock au 25-03-25'!A:X,24,FALSE)</f>
        <v>563.80221200000005</v>
      </c>
      <c r="AL141" t="s">
        <v>45</v>
      </c>
      <c r="AM141" s="21">
        <f t="shared" si="25"/>
        <v>4593.7953654901794</v>
      </c>
      <c r="AN141" t="s">
        <v>45</v>
      </c>
      <c r="AO141" s="63">
        <v>13450.934181739985</v>
      </c>
      <c r="AP141" s="64">
        <f t="shared" si="26"/>
        <v>13138.254745301912</v>
      </c>
      <c r="AQ141" t="s">
        <v>46</v>
      </c>
      <c r="AR141" s="36">
        <f>(AP141-AO141)/AO141</f>
        <v>-2.3245927176013096E-2</v>
      </c>
      <c r="AS141" s="81"/>
      <c r="AT141" s="81">
        <f>(AO141-J141)/J141</f>
        <v>4.9792138558254317E-2</v>
      </c>
      <c r="AU141" s="81"/>
      <c r="AV141" s="66">
        <f>(AP141-J141)/J141</f>
        <v>2.5388746955378086E-2</v>
      </c>
      <c r="BB141" s="56">
        <f>+R141*F141</f>
        <v>12596.583999999999</v>
      </c>
    </row>
    <row r="142" spans="1:54" ht="18.75" outlineLevel="1" x14ac:dyDescent="0.3">
      <c r="A142">
        <v>4</v>
      </c>
      <c r="B142" t="s">
        <v>156</v>
      </c>
      <c r="C142">
        <v>338276</v>
      </c>
      <c r="D142" t="s">
        <v>193</v>
      </c>
      <c r="E142" t="s">
        <v>62</v>
      </c>
      <c r="F142" s="21">
        <f>+VLOOKUP(C142,'[1]stock au 25-03-25'!A:D,4,FALSE)</f>
        <v>1290</v>
      </c>
      <c r="G142" t="s">
        <v>45</v>
      </c>
      <c r="H142" s="22">
        <f>+VLOOKUP(C142,'[1]stock au 25-03-25'!A:F,6,FALSE)</f>
        <v>11.214852713178294</v>
      </c>
      <c r="I142" t="s">
        <v>46</v>
      </c>
      <c r="J142" s="56">
        <f>+VLOOKUP(C142,'[1]stock au 25-03-25'!A:H,8,FALSE)</f>
        <v>14467.16</v>
      </c>
      <c r="K142" t="s">
        <v>46</v>
      </c>
      <c r="L142" s="23">
        <v>11.3</v>
      </c>
      <c r="M142" t="s">
        <v>46</v>
      </c>
      <c r="N142" s="56">
        <f>+VLOOKUP(C142,'[1]stock au 25-03-25'!A:L,12,FALSE)</f>
        <v>14577.000000000002</v>
      </c>
      <c r="P142" s="57">
        <v>11.3</v>
      </c>
      <c r="Q142" t="s">
        <v>46</v>
      </c>
      <c r="R142" s="25">
        <v>11.21</v>
      </c>
      <c r="T142" s="26">
        <v>9.7475000000000005</v>
      </c>
      <c r="U142" s="58">
        <f t="shared" si="24"/>
        <v>-0.13046387154326497</v>
      </c>
      <c r="V142" s="10">
        <f>IFERROR(VLOOKUP(C142,'[2]INDICATEURS ACHATS - Matières P'!$C$2:$G$209999,5,0),0)</f>
        <v>1296</v>
      </c>
      <c r="W142" s="60">
        <f t="shared" si="29"/>
        <v>12632.76</v>
      </c>
      <c r="X142" s="28">
        <v>9.66300925925926</v>
      </c>
      <c r="Y142" s="59">
        <v>-108.60331187378355</v>
      </c>
      <c r="Z142" s="60">
        <f t="shared" si="30"/>
        <v>-1049.4348082225915</v>
      </c>
      <c r="AA142" s="60">
        <f t="shared" si="27"/>
        <v>-1217.4431261051138</v>
      </c>
      <c r="AB142" s="60">
        <f t="shared" si="28"/>
        <v>168.00831788252231</v>
      </c>
      <c r="AC142" s="60">
        <f t="shared" si="31"/>
        <v>11583.325191777409</v>
      </c>
      <c r="AD142" s="61">
        <f>+VLOOKUP(C142,'[1]pic au 25-03'!C:R,16,FALSE)</f>
        <v>1308.0790451262164</v>
      </c>
      <c r="AE142" s="31"/>
      <c r="AF142" s="62">
        <v>14781.293209926247</v>
      </c>
      <c r="AG142" s="31"/>
      <c r="AH142" s="62">
        <v>14781.293209926247</v>
      </c>
      <c r="AI142" s="31"/>
      <c r="AJ142" s="28">
        <f t="shared" si="32"/>
        <v>11473.825191777411</v>
      </c>
      <c r="AK142" s="21">
        <f>+VLOOKUP(C142,'[1]stock au 25-03-25'!A:X,24,FALSE)</f>
        <v>120.682357</v>
      </c>
      <c r="AL142" t="s">
        <v>45</v>
      </c>
      <c r="AM142" s="21">
        <f t="shared" si="25"/>
        <v>1187.3966881262165</v>
      </c>
      <c r="AN142" t="s">
        <v>45</v>
      </c>
      <c r="AO142" s="63">
        <v>13953.08237745384</v>
      </c>
      <c r="AP142" s="64">
        <f t="shared" si="26"/>
        <v>13310.716873894888</v>
      </c>
      <c r="AQ142" t="s">
        <v>46</v>
      </c>
      <c r="AR142" s="36">
        <f>(AP142-AO142)/AO142</f>
        <v>-4.6037533942816983E-2</v>
      </c>
      <c r="AS142" s="81"/>
      <c r="AT142" s="81">
        <f>(AO142-J142)/J142</f>
        <v>-3.5534107768640119E-2</v>
      </c>
      <c r="AU142" s="81"/>
      <c r="AV142" s="66">
        <f>(AP142-J142)/J142</f>
        <v>-7.9935739018930613E-2</v>
      </c>
      <c r="BB142" s="56">
        <f>+R142*F142</f>
        <v>14460.900000000001</v>
      </c>
    </row>
    <row r="143" spans="1:54" ht="18.75" outlineLevel="1" x14ac:dyDescent="0.3">
      <c r="A143">
        <v>4</v>
      </c>
      <c r="B143" t="s">
        <v>156</v>
      </c>
      <c r="C143">
        <v>340405</v>
      </c>
      <c r="D143" t="s">
        <v>194</v>
      </c>
      <c r="E143" t="s">
        <v>158</v>
      </c>
      <c r="F143" s="21">
        <f>+VLOOKUP(C143,'[1]stock au 25-03-25'!A:D,4,FALSE)</f>
        <v>5640</v>
      </c>
      <c r="G143" t="s">
        <v>45</v>
      </c>
      <c r="H143" s="22">
        <f>+VLOOKUP(C143,'[1]stock au 25-03-25'!A:F,6,FALSE)</f>
        <v>2.3800000000000003</v>
      </c>
      <c r="I143" t="s">
        <v>46</v>
      </c>
      <c r="J143" s="56">
        <f>+VLOOKUP(C143,'[1]stock au 25-03-25'!A:H,8,FALSE)</f>
        <v>13423.2</v>
      </c>
      <c r="K143" t="s">
        <v>46</v>
      </c>
      <c r="L143" s="23">
        <v>2.17</v>
      </c>
      <c r="M143" t="s">
        <v>46</v>
      </c>
      <c r="N143" s="56">
        <f>+VLOOKUP(C143,'[1]stock au 25-03-25'!A:L,12,FALSE)</f>
        <v>12238.8</v>
      </c>
      <c r="P143" s="57">
        <v>2.17</v>
      </c>
      <c r="Q143" t="s">
        <v>46</v>
      </c>
      <c r="R143" s="25">
        <f>H143*(1+VLOOKUP(A143,'[1]Variation MP'!$B$3:$D$22,3))</f>
        <v>2.3800000000000003</v>
      </c>
      <c r="T143" s="26">
        <v>2.38</v>
      </c>
      <c r="U143" s="58">
        <f t="shared" si="24"/>
        <v>-1.8659210497901788E-16</v>
      </c>
      <c r="V143" s="10">
        <f>IFERROR(VLOOKUP(C143,'[2]INDICATEURS ACHATS - Matières P'!$C$2:$G$209999,5,0),0)</f>
        <v>2760</v>
      </c>
      <c r="W143" s="60">
        <f t="shared" si="29"/>
        <v>6568.7999999999993</v>
      </c>
      <c r="X143" s="28">
        <v>2.3800000000000003</v>
      </c>
      <c r="Y143" s="59">
        <v>2935.2311356521741</v>
      </c>
      <c r="Z143" s="60">
        <f t="shared" si="30"/>
        <v>6985.850102852175</v>
      </c>
      <c r="AA143" s="60">
        <f t="shared" si="27"/>
        <v>6985.850102852175</v>
      </c>
      <c r="AB143" s="60">
        <f t="shared" si="28"/>
        <v>0</v>
      </c>
      <c r="AC143" s="60">
        <f t="shared" si="31"/>
        <v>13554.650102852174</v>
      </c>
      <c r="AD143" s="61">
        <f>+VLOOKUP(C143,'[1]pic au 25-03'!C:R,16,FALSE)</f>
        <v>5695.2311356521741</v>
      </c>
      <c r="AE143" s="31"/>
      <c r="AF143" s="62">
        <v>12358.651564365216</v>
      </c>
      <c r="AG143" s="31"/>
      <c r="AH143" s="62">
        <v>12358.651564365216</v>
      </c>
      <c r="AI143" s="31"/>
      <c r="AJ143" s="28">
        <f t="shared" si="32"/>
        <v>13554.650102852176</v>
      </c>
      <c r="AK143" s="21">
        <f>+VLOOKUP(C143,'[1]stock au 25-03-25'!A:X,24,FALSE)</f>
        <v>0</v>
      </c>
      <c r="AL143" t="s">
        <v>45</v>
      </c>
      <c r="AM143" s="21">
        <f t="shared" si="25"/>
        <v>5695.2311356521741</v>
      </c>
      <c r="AN143" t="s">
        <v>45</v>
      </c>
      <c r="AO143" s="63">
        <v>13554.650102852176</v>
      </c>
      <c r="AP143" s="64">
        <f t="shared" si="26"/>
        <v>13554.650102852176</v>
      </c>
      <c r="AQ143" t="s">
        <v>46</v>
      </c>
      <c r="AR143" s="36">
        <f>(AP143-AO143)/AO143</f>
        <v>0</v>
      </c>
      <c r="AS143" s="81"/>
      <c r="AT143" s="81">
        <f>(AO143-J143)/J143</f>
        <v>9.7927545482578964E-3</v>
      </c>
      <c r="AU143" s="81"/>
      <c r="AV143" s="66">
        <f>(AP143-J143)/J143</f>
        <v>9.7927545482578964E-3</v>
      </c>
      <c r="BB143" s="56">
        <f>+R143*F143</f>
        <v>13423.200000000003</v>
      </c>
    </row>
    <row r="144" spans="1:54" ht="18.75" outlineLevel="1" x14ac:dyDescent="0.3">
      <c r="A144">
        <v>4</v>
      </c>
      <c r="B144" t="s">
        <v>156</v>
      </c>
      <c r="C144">
        <v>338254</v>
      </c>
      <c r="D144" t="s">
        <v>195</v>
      </c>
      <c r="E144" t="s">
        <v>158</v>
      </c>
      <c r="F144" s="21">
        <f>+VLOOKUP(C144,'[1]stock au 25-03-25'!A:D,4,FALSE)</f>
        <v>10320</v>
      </c>
      <c r="G144" t="s">
        <v>45</v>
      </c>
      <c r="H144" s="22">
        <f>+VLOOKUP(C144,'[1]stock au 25-03-25'!A:F,6,FALSE)</f>
        <v>0.93467441860465117</v>
      </c>
      <c r="I144" t="s">
        <v>46</v>
      </c>
      <c r="J144" s="56">
        <f>+VLOOKUP(C144,'[1]stock au 25-03-25'!A:H,8,FALSE)</f>
        <v>9645.84</v>
      </c>
      <c r="K144" t="s">
        <v>46</v>
      </c>
      <c r="L144" s="23">
        <v>1</v>
      </c>
      <c r="M144" t="s">
        <v>46</v>
      </c>
      <c r="N144" s="56">
        <f>+VLOOKUP(C144,'[1]stock au 25-03-25'!A:L,12,FALSE)</f>
        <v>10320</v>
      </c>
      <c r="P144" s="57">
        <v>1</v>
      </c>
      <c r="Q144" t="s">
        <v>46</v>
      </c>
      <c r="R144" s="25">
        <v>0.94</v>
      </c>
      <c r="T144" s="26">
        <v>0.96547528517110259</v>
      </c>
      <c r="U144" s="58">
        <f t="shared" si="24"/>
        <v>2.710136720330069E-2</v>
      </c>
      <c r="V144" s="10">
        <f>IFERROR(VLOOKUP(C144,'[2]INDICATEURS ACHATS - Matières P'!$C$2:$G$209999,5,0),0)</f>
        <v>5260</v>
      </c>
      <c r="W144" s="60">
        <f t="shared" si="29"/>
        <v>5078.3999999999996</v>
      </c>
      <c r="X144" s="28">
        <v>0.9</v>
      </c>
      <c r="Y144" s="59">
        <v>6068.292908261622</v>
      </c>
      <c r="Z144" s="60">
        <f t="shared" si="30"/>
        <v>5461.46361743546</v>
      </c>
      <c r="AA144" s="60">
        <f t="shared" si="27"/>
        <v>5704.1953337659243</v>
      </c>
      <c r="AB144" s="60">
        <f t="shared" si="28"/>
        <v>-242.73171633046422</v>
      </c>
      <c r="AC144" s="60">
        <f t="shared" si="31"/>
        <v>10539.86361743546</v>
      </c>
      <c r="AD144" s="61">
        <f>+VLOOKUP(C144,'[1]pic au 25-03'!C:R,16,FALSE)</f>
        <v>12070.251908261622</v>
      </c>
      <c r="AE144" s="31"/>
      <c r="AF144" s="62">
        <v>12070.251908261622</v>
      </c>
      <c r="AG144" s="31"/>
      <c r="AH144" s="62">
        <v>12070.251908261622</v>
      </c>
      <c r="AI144" s="31"/>
      <c r="AJ144" s="28">
        <f t="shared" si="32"/>
        <v>10195.46361743546</v>
      </c>
      <c r="AK144" s="21">
        <f>+VLOOKUP(C144,'[1]stock au 25-03-25'!A:X,24,FALSE)</f>
        <v>741.95899999999995</v>
      </c>
      <c r="AL144" t="s">
        <v>45</v>
      </c>
      <c r="AM144" s="21">
        <f t="shared" si="25"/>
        <v>11328.292908261621</v>
      </c>
      <c r="AN144" t="s">
        <v>45</v>
      </c>
      <c r="AO144" s="63">
        <v>9966.7076026686464</v>
      </c>
      <c r="AP144" s="64">
        <f t="shared" si="26"/>
        <v>10648.595333765923</v>
      </c>
      <c r="AQ144" t="s">
        <v>46</v>
      </c>
      <c r="AR144" s="36">
        <f>(AP144-AO144)/AO144</f>
        <v>6.8416548200400412E-2</v>
      </c>
      <c r="AS144" s="81"/>
      <c r="AT144" s="81">
        <f>(AO144-J144)/J144</f>
        <v>3.3264868862498881E-2</v>
      </c>
      <c r="AU144" s="81"/>
      <c r="AV144" s="66">
        <f>(AP144-J144)/J144</f>
        <v>0.10395728456681044</v>
      </c>
      <c r="BB144" s="56">
        <f>+R144*F144</f>
        <v>9700.7999999999993</v>
      </c>
    </row>
    <row r="145" spans="1:54" ht="18.75" outlineLevel="1" x14ac:dyDescent="0.3">
      <c r="A145">
        <v>4</v>
      </c>
      <c r="B145" t="s">
        <v>156</v>
      </c>
      <c r="C145">
        <v>338325</v>
      </c>
      <c r="D145" t="s">
        <v>196</v>
      </c>
      <c r="E145" t="s">
        <v>62</v>
      </c>
      <c r="F145" s="21">
        <f>+VLOOKUP(C145,'[1]stock au 25-03-25'!A:D,4,FALSE)</f>
        <v>5040</v>
      </c>
      <c r="G145" t="s">
        <v>45</v>
      </c>
      <c r="H145" s="22">
        <f>+VLOOKUP(C145,'[1]stock au 25-03-25'!A:F,6,FALSE)</f>
        <v>2.335</v>
      </c>
      <c r="I145" t="s">
        <v>46</v>
      </c>
      <c r="J145" s="56">
        <f>+VLOOKUP(C145,'[1]stock au 25-03-25'!A:H,8,FALSE)</f>
        <v>11768.4</v>
      </c>
      <c r="K145" t="s">
        <v>46</v>
      </c>
      <c r="L145" s="23">
        <v>2.2999999999999998</v>
      </c>
      <c r="M145" t="s">
        <v>46</v>
      </c>
      <c r="N145" s="56">
        <f>+VLOOKUP(C145,'[1]stock au 25-03-25'!A:L,12,FALSE)</f>
        <v>11592</v>
      </c>
      <c r="P145" s="57">
        <v>2.13</v>
      </c>
      <c r="Q145" t="s">
        <v>46</v>
      </c>
      <c r="R145" s="25">
        <v>2.25</v>
      </c>
      <c r="T145" s="26">
        <v>2.3270813397129189</v>
      </c>
      <c r="U145" s="58">
        <f t="shared" si="24"/>
        <v>3.4258373205741717E-2</v>
      </c>
      <c r="V145" s="10">
        <f>IFERROR(VLOOKUP(C145,'[2]INDICATEURS ACHATS - Matières P'!$C$2:$G$209999,5,0),0)</f>
        <v>2926</v>
      </c>
      <c r="W145" s="60">
        <f t="shared" si="29"/>
        <v>6809.0400000000009</v>
      </c>
      <c r="X145" s="28">
        <v>2.27</v>
      </c>
      <c r="Y145" s="59">
        <v>2412.7734529961267</v>
      </c>
      <c r="Z145" s="60">
        <f t="shared" si="30"/>
        <v>5476.9957383012079</v>
      </c>
      <c r="AA145" s="60">
        <f t="shared" si="27"/>
        <v>5428.7402692412852</v>
      </c>
      <c r="AB145" s="60">
        <f t="shared" si="28"/>
        <v>48.255469059922689</v>
      </c>
      <c r="AC145" s="60">
        <f t="shared" si="31"/>
        <v>12286.035738301209</v>
      </c>
      <c r="AD145" s="61">
        <f>+VLOOKUP(C145,'[1]pic au 25-03'!C:R,16,FALSE)</f>
        <v>6054.6994529961266</v>
      </c>
      <c r="AE145" s="31"/>
      <c r="AF145" s="62">
        <v>12904.695831948413</v>
      </c>
      <c r="AG145" s="31"/>
      <c r="AH145" s="62">
        <v>13934.648081446643</v>
      </c>
      <c r="AI145" s="31"/>
      <c r="AJ145" s="28">
        <f t="shared" si="32"/>
        <v>12119.015738301207</v>
      </c>
      <c r="AK145" s="21">
        <f>+VLOOKUP(C145,'[1]stock au 25-03-25'!A:X,24,FALSE)</f>
        <v>715.92600000000004</v>
      </c>
      <c r="AL145" t="s">
        <v>45</v>
      </c>
      <c r="AM145" s="21">
        <f t="shared" si="25"/>
        <v>5338.7734529961263</v>
      </c>
      <c r="AN145" t="s">
        <v>45</v>
      </c>
      <c r="AO145" s="63">
        <v>12251.111210769861</v>
      </c>
      <c r="AP145" s="64">
        <f t="shared" si="26"/>
        <v>12012.240269241283</v>
      </c>
      <c r="AQ145" t="s">
        <v>46</v>
      </c>
      <c r="AR145" s="36">
        <f>(AP145-AO145)/AO145</f>
        <v>-1.9497900020578367E-2</v>
      </c>
      <c r="AS145" s="81"/>
      <c r="AT145" s="81">
        <f>(AO145-J145)/J145</f>
        <v>4.1017573397391427E-2</v>
      </c>
      <c r="AU145" s="81"/>
      <c r="AV145" s="66">
        <f>(AP145-J145)/J145</f>
        <v>2.071991683162399E-2</v>
      </c>
      <c r="BB145" s="56">
        <f>+R145*F145</f>
        <v>11340</v>
      </c>
    </row>
    <row r="146" spans="1:54" ht="18.75" outlineLevel="1" x14ac:dyDescent="0.3">
      <c r="A146">
        <v>4</v>
      </c>
      <c r="B146" t="s">
        <v>156</v>
      </c>
      <c r="C146">
        <v>336874</v>
      </c>
      <c r="D146" t="s">
        <v>197</v>
      </c>
      <c r="E146" t="s">
        <v>158</v>
      </c>
      <c r="F146" s="21">
        <f>+VLOOKUP(C146,'[1]stock au 25-03-25'!A:D,4,FALSE)</f>
        <v>4731.46</v>
      </c>
      <c r="G146" t="s">
        <v>45</v>
      </c>
      <c r="H146" s="22">
        <f>+VLOOKUP(C146,'[1]stock au 25-03-25'!A:F,6,FALSE)</f>
        <v>3.6848118762496145</v>
      </c>
      <c r="I146" t="s">
        <v>46</v>
      </c>
      <c r="J146" s="56">
        <f>+VLOOKUP(C146,'[1]stock au 25-03-25'!A:H,8,FALSE)</f>
        <v>17434.54</v>
      </c>
      <c r="K146" t="s">
        <v>46</v>
      </c>
      <c r="L146" s="23">
        <v>4.0999999999999996</v>
      </c>
      <c r="M146" t="s">
        <v>46</v>
      </c>
      <c r="N146" s="56">
        <f>+VLOOKUP(C146,'[1]stock au 25-03-25'!A:L,12,FALSE)</f>
        <v>19398.985999999997</v>
      </c>
      <c r="P146" s="57">
        <v>3.77</v>
      </c>
      <c r="Q146" t="s">
        <v>46</v>
      </c>
      <c r="R146" s="25">
        <v>3.65</v>
      </c>
      <c r="T146" s="26">
        <v>3.7712787796481702</v>
      </c>
      <c r="U146" s="58">
        <f t="shared" si="24"/>
        <v>3.322706291730692E-2</v>
      </c>
      <c r="V146" s="10">
        <f>IFERROR(VLOOKUP(C146,'[2]INDICATEURS ACHATS - Matières P'!$C$2:$G$209999,5,0),0)</f>
        <v>949.89</v>
      </c>
      <c r="W146" s="60">
        <f t="shared" si="29"/>
        <v>3582.3</v>
      </c>
      <c r="X146" s="28">
        <v>3.7712787796481697</v>
      </c>
      <c r="Y146" s="59">
        <v>979.85175276269456</v>
      </c>
      <c r="Z146" s="60">
        <f t="shared" si="30"/>
        <v>3695.2941223950147</v>
      </c>
      <c r="AA146" s="60">
        <f t="shared" si="27"/>
        <v>3576.4588975838351</v>
      </c>
      <c r="AB146" s="60">
        <f t="shared" si="28"/>
        <v>118.83522481117961</v>
      </c>
      <c r="AC146" s="60">
        <f t="shared" si="31"/>
        <v>7277.5941223950149</v>
      </c>
      <c r="AD146" s="61">
        <f>+VLOOKUP(C146,'[1]pic au 25-03'!C:R,16,FALSE)</f>
        <v>3200.1167527626944</v>
      </c>
      <c r="AE146" s="31"/>
      <c r="AF146" s="62">
        <v>12064.44015791536</v>
      </c>
      <c r="AG146" s="31"/>
      <c r="AH146" s="62">
        <v>13120.478686327047</v>
      </c>
      <c r="AI146" s="31"/>
      <c r="AJ146" s="28">
        <f t="shared" si="32"/>
        <v>7277.594122395014</v>
      </c>
      <c r="AK146" s="21">
        <f>+VLOOKUP(C146,'[1]stock au 25-03-25'!A:X,24,FALSE)</f>
        <v>1270.375</v>
      </c>
      <c r="AL146" t="s">
        <v>45</v>
      </c>
      <c r="AM146" s="21">
        <f t="shared" si="25"/>
        <v>1929.7417527626944</v>
      </c>
      <c r="AN146" t="s">
        <v>45</v>
      </c>
      <c r="AO146" s="63">
        <v>10909.378938803751</v>
      </c>
      <c r="AP146" s="64">
        <f t="shared" si="26"/>
        <v>7043.5573975838342</v>
      </c>
      <c r="AQ146" t="s">
        <v>46</v>
      </c>
      <c r="AR146" s="36">
        <f>(AP146-AO146)/AO146</f>
        <v>-0.35435761860553877</v>
      </c>
      <c r="AS146" s="81"/>
      <c r="AT146" s="81">
        <f>(AO146-J146)/J146</f>
        <v>-0.37426631624328771</v>
      </c>
      <c r="AU146" s="81"/>
      <c r="AV146" s="66">
        <f>(AP146-J146)/J146</f>
        <v>-0.59599981430058757</v>
      </c>
      <c r="BB146" s="56">
        <f>+R146*F146</f>
        <v>17269.828999999998</v>
      </c>
    </row>
    <row r="147" spans="1:54" ht="18.75" outlineLevel="1" x14ac:dyDescent="0.3">
      <c r="A147">
        <v>4</v>
      </c>
      <c r="B147" t="s">
        <v>156</v>
      </c>
      <c r="C147">
        <v>338259</v>
      </c>
      <c r="D147" t="s">
        <v>198</v>
      </c>
      <c r="E147" t="s">
        <v>158</v>
      </c>
      <c r="F147" s="21">
        <f>+VLOOKUP(C147,'[1]stock au 25-03-25'!A:D,4,FALSE)</f>
        <v>8910</v>
      </c>
      <c r="G147" t="s">
        <v>45</v>
      </c>
      <c r="H147" s="22">
        <f>+VLOOKUP(C147,'[1]stock au 25-03-25'!A:F,6,FALSE)</f>
        <v>0.88611111111111107</v>
      </c>
      <c r="I147" t="s">
        <v>46</v>
      </c>
      <c r="J147" s="56">
        <f>+VLOOKUP(C147,'[1]stock au 25-03-25'!A:H,8,FALSE)</f>
        <v>7895.25</v>
      </c>
      <c r="K147" t="s">
        <v>46</v>
      </c>
      <c r="L147" s="23">
        <v>1</v>
      </c>
      <c r="M147" t="s">
        <v>46</v>
      </c>
      <c r="N147" s="56">
        <f>+VLOOKUP(C147,'[1]stock au 25-03-25'!A:L,12,FALSE)</f>
        <v>8910</v>
      </c>
      <c r="P147" s="57">
        <v>1</v>
      </c>
      <c r="Q147" t="s">
        <v>46</v>
      </c>
      <c r="R147" s="25">
        <v>0.89</v>
      </c>
      <c r="T147" s="26">
        <v>0.95</v>
      </c>
      <c r="U147" s="58">
        <f t="shared" si="24"/>
        <v>6.741573033707858E-2</v>
      </c>
      <c r="V147" s="10">
        <f>IFERROR(VLOOKUP(C147,'[2]INDICATEURS ACHATS - Matières P'!$C$2:$G$209999,5,0),0)</f>
        <v>1485</v>
      </c>
      <c r="W147" s="60">
        <f t="shared" si="29"/>
        <v>1410.75</v>
      </c>
      <c r="X147" s="28">
        <v>0.89</v>
      </c>
      <c r="Y147" s="59">
        <v>8994.6702286957625</v>
      </c>
      <c r="Z147" s="60">
        <f t="shared" si="30"/>
        <v>8005.256503539229</v>
      </c>
      <c r="AA147" s="60">
        <f t="shared" si="27"/>
        <v>8005.256503539229</v>
      </c>
      <c r="AB147" s="60">
        <f t="shared" si="28"/>
        <v>0</v>
      </c>
      <c r="AC147" s="60">
        <f t="shared" si="31"/>
        <v>9416.006503539229</v>
      </c>
      <c r="AD147" s="61">
        <f>+VLOOKUP(C147,'[1]pic au 25-03'!C:R,16,FALSE)</f>
        <v>11053.482228695762</v>
      </c>
      <c r="AE147" s="31"/>
      <c r="AF147" s="62">
        <v>11053.482228695762</v>
      </c>
      <c r="AG147" s="31"/>
      <c r="AH147" s="62">
        <v>11053.482228695762</v>
      </c>
      <c r="AI147" s="31"/>
      <c r="AJ147" s="28">
        <f t="shared" si="32"/>
        <v>9326.9065035392287</v>
      </c>
      <c r="AK147" s="21">
        <f>+VLOOKUP(C147,'[1]stock au 25-03-25'!A:X,24,FALSE)</f>
        <v>573.81200000000001</v>
      </c>
      <c r="AL147" t="s">
        <v>45</v>
      </c>
      <c r="AM147" s="21">
        <f t="shared" si="25"/>
        <v>10479.670228695762</v>
      </c>
      <c r="AN147" t="s">
        <v>45</v>
      </c>
      <c r="AO147" s="63">
        <v>8292.9386415387435</v>
      </c>
      <c r="AP147" s="64">
        <f t="shared" si="26"/>
        <v>9326.9065035392287</v>
      </c>
      <c r="AQ147" t="s">
        <v>46</v>
      </c>
      <c r="AR147" s="36">
        <f>(AP147-AO147)/AO147</f>
        <v>0.12468051515796985</v>
      </c>
      <c r="AS147" s="81"/>
      <c r="AT147" s="81">
        <f>(AO147-J147)/J147</f>
        <v>5.0370620504574706E-2</v>
      </c>
      <c r="AU147" s="81"/>
      <c r="AV147" s="66">
        <f>(AP147-J147)/J147</f>
        <v>0.18133137057588153</v>
      </c>
      <c r="BB147" s="56">
        <f>+R147*F147</f>
        <v>7929.9000000000005</v>
      </c>
    </row>
    <row r="148" spans="1:54" ht="18.75" outlineLevel="1" x14ac:dyDescent="0.3">
      <c r="A148">
        <v>4</v>
      </c>
      <c r="B148" t="s">
        <v>156</v>
      </c>
      <c r="C148">
        <v>338250</v>
      </c>
      <c r="D148" t="s">
        <v>199</v>
      </c>
      <c r="E148" t="s">
        <v>158</v>
      </c>
      <c r="F148" s="21">
        <f>+VLOOKUP(C148,'[1]stock au 25-03-25'!A:D,4,FALSE)</f>
        <v>4006.8</v>
      </c>
      <c r="G148" t="s">
        <v>45</v>
      </c>
      <c r="H148" s="22">
        <f>+VLOOKUP(C148,'[1]stock au 25-03-25'!A:F,6,FALSE)</f>
        <v>2.268770589997005</v>
      </c>
      <c r="I148" t="s">
        <v>46</v>
      </c>
      <c r="J148" s="56">
        <f>+VLOOKUP(C148,'[1]stock au 25-03-25'!A:H,8,FALSE)</f>
        <v>9090.51</v>
      </c>
      <c r="K148" t="s">
        <v>46</v>
      </c>
      <c r="L148" s="23">
        <v>2.35</v>
      </c>
      <c r="M148" t="s">
        <v>46</v>
      </c>
      <c r="N148" s="56">
        <f>+VLOOKUP(C148,'[1]stock au 25-03-25'!A:L,12,FALSE)</f>
        <v>9415.9800000000014</v>
      </c>
      <c r="P148" s="57">
        <v>2.35</v>
      </c>
      <c r="Q148" t="s">
        <v>46</v>
      </c>
      <c r="R148" s="25">
        <v>2.27</v>
      </c>
      <c r="T148" s="26">
        <v>2.3388007054673721</v>
      </c>
      <c r="U148" s="58">
        <f t="shared" si="24"/>
        <v>3.0308680822630857E-2</v>
      </c>
      <c r="V148" s="10">
        <f>IFERROR(VLOOKUP(C148,'[2]INDICATEURS ACHATS - Matières P'!$C$2:$G$209999,5,0),0)</f>
        <v>907.2</v>
      </c>
      <c r="W148" s="60">
        <f t="shared" si="29"/>
        <v>2121.7600000000002</v>
      </c>
      <c r="X148" s="28">
        <v>2.27</v>
      </c>
      <c r="Y148" s="59">
        <v>3444.9284168848058</v>
      </c>
      <c r="Z148" s="60">
        <f t="shared" si="30"/>
        <v>7819.987506328509</v>
      </c>
      <c r="AA148" s="60">
        <f t="shared" si="27"/>
        <v>7819.987506328509</v>
      </c>
      <c r="AB148" s="60">
        <f t="shared" si="28"/>
        <v>0</v>
      </c>
      <c r="AC148" s="60">
        <f t="shared" si="31"/>
        <v>9941.7475063285092</v>
      </c>
      <c r="AD148" s="61">
        <f>+VLOOKUP(C148,'[1]pic au 25-03'!C:R,16,FALSE)</f>
        <v>4580.0999168848057</v>
      </c>
      <c r="AE148" s="31"/>
      <c r="AF148" s="62">
        <v>10763.234804679292</v>
      </c>
      <c r="AG148" s="31"/>
      <c r="AH148" s="62">
        <v>10763.234804679292</v>
      </c>
      <c r="AI148" s="31"/>
      <c r="AJ148" s="28">
        <f t="shared" si="32"/>
        <v>9879.3315063285099</v>
      </c>
      <c r="AK148" s="21">
        <f>+VLOOKUP(C148,'[1]stock au 25-03-25'!A:X,24,FALSE)</f>
        <v>227.97149999999999</v>
      </c>
      <c r="AL148" t="s">
        <v>45</v>
      </c>
      <c r="AM148" s="21">
        <f t="shared" si="25"/>
        <v>4352.128416884806</v>
      </c>
      <c r="AN148" t="s">
        <v>45</v>
      </c>
      <c r="AO148" s="63">
        <v>9619.5713450623898</v>
      </c>
      <c r="AP148" s="64">
        <f t="shared" si="26"/>
        <v>9879.3315063285099</v>
      </c>
      <c r="AQ148" t="s">
        <v>46</v>
      </c>
      <c r="AR148" s="36">
        <f>(AP148-AO148)/AO148</f>
        <v>2.700329899829184E-2</v>
      </c>
      <c r="AS148" s="81"/>
      <c r="AT148" s="81">
        <f>(AO148-J148)/J148</f>
        <v>5.8199302906260436E-2</v>
      </c>
      <c r="AU148" s="81"/>
      <c r="AV148" s="66">
        <f>(AP148-J148)/J148</f>
        <v>8.6774175082422189E-2</v>
      </c>
      <c r="BB148" s="56">
        <f>+R148*F148</f>
        <v>9095.4359999999997</v>
      </c>
    </row>
    <row r="149" spans="1:54" ht="18.75" outlineLevel="1" x14ac:dyDescent="0.3">
      <c r="A149">
        <v>4</v>
      </c>
      <c r="B149" t="s">
        <v>156</v>
      </c>
      <c r="C149">
        <v>347068</v>
      </c>
      <c r="D149" t="s">
        <v>200</v>
      </c>
      <c r="E149" t="s">
        <v>158</v>
      </c>
      <c r="F149" s="21">
        <f>+VLOOKUP(C149,'[1]stock au 25-03-25'!A:D,4,FALSE)</f>
        <v>4220</v>
      </c>
      <c r="G149" t="s">
        <v>45</v>
      </c>
      <c r="H149" s="22">
        <f>+VLOOKUP(C149,'[1]stock au 25-03-25'!A:F,6,FALSE)</f>
        <v>3.4419431279620851</v>
      </c>
      <c r="I149" t="s">
        <v>46</v>
      </c>
      <c r="J149" s="56">
        <f>+VLOOKUP(C149,'[1]stock au 25-03-25'!A:H,8,FALSE)</f>
        <v>14525</v>
      </c>
      <c r="K149" t="s">
        <v>46</v>
      </c>
      <c r="L149" s="23">
        <v>4.5</v>
      </c>
      <c r="M149" t="s">
        <v>46</v>
      </c>
      <c r="N149" s="56">
        <f>+VLOOKUP(C149,'[1]stock au 25-03-25'!A:L,12,FALSE)</f>
        <v>18990</v>
      </c>
      <c r="P149" s="57">
        <v>4.5</v>
      </c>
      <c r="Q149" t="s">
        <v>46</v>
      </c>
      <c r="R149" s="25">
        <f>H149*(1+VLOOKUP(A149,'[1]Variation MP'!$B$3:$D$22,3))</f>
        <v>3.4419431279620851</v>
      </c>
      <c r="T149" s="26">
        <v>4.1500000000000004</v>
      </c>
      <c r="U149" s="58">
        <f t="shared" si="24"/>
        <v>0.20571428571428588</v>
      </c>
      <c r="V149" s="10">
        <f>IFERROR(VLOOKUP(C149,'[2]INDICATEURS ACHATS - Matières P'!$C$2:$G$209999,5,0),0)</f>
        <v>3200</v>
      </c>
      <c r="W149" s="60">
        <f t="shared" si="29"/>
        <v>13280.000000000002</v>
      </c>
      <c r="X149" s="28">
        <v>4.1500000000000004</v>
      </c>
      <c r="Y149" s="59">
        <v>-442.11951699210795</v>
      </c>
      <c r="Z149" s="60">
        <f t="shared" si="30"/>
        <v>-1834.7959955172482</v>
      </c>
      <c r="AA149" s="60">
        <f t="shared" si="27"/>
        <v>-1521.7502332489023</v>
      </c>
      <c r="AB149" s="60">
        <f t="shared" si="28"/>
        <v>-313.04576226834592</v>
      </c>
      <c r="AC149" s="60">
        <f t="shared" si="31"/>
        <v>11445.204004482754</v>
      </c>
      <c r="AD149" s="61">
        <f>+VLOOKUP(C149,'[1]pic au 25-03'!C:R,16,FALSE)</f>
        <v>3503.1974830078921</v>
      </c>
      <c r="AE149" s="31"/>
      <c r="AF149" s="62">
        <v>15764.388673535519</v>
      </c>
      <c r="AG149" s="31"/>
      <c r="AH149" s="62">
        <v>15764.388673535519</v>
      </c>
      <c r="AI149" s="31"/>
      <c r="AJ149" s="28">
        <f t="shared" si="32"/>
        <v>11445.204004482754</v>
      </c>
      <c r="AK149" s="21">
        <f>+VLOOKUP(C149,'[1]stock au 25-03-25'!A:X,24,FALSE)</f>
        <v>745.31700000000001</v>
      </c>
      <c r="AL149" t="s">
        <v>45</v>
      </c>
      <c r="AM149" s="21">
        <f t="shared" si="25"/>
        <v>2757.8804830078921</v>
      </c>
      <c r="AN149" t="s">
        <v>45</v>
      </c>
      <c r="AO149" s="63">
        <v>9017.2627821539427</v>
      </c>
      <c r="AP149" s="64">
        <f t="shared" si="26"/>
        <v>9492.4677762297706</v>
      </c>
      <c r="AQ149" t="s">
        <v>46</v>
      </c>
      <c r="AR149" s="36">
        <f>(AP149-AO149)/AO149</f>
        <v>5.2699472728720484E-2</v>
      </c>
      <c r="AS149" s="81"/>
      <c r="AT149" s="81">
        <f>(AO149-J149)/J149</f>
        <v>-0.37919016990334303</v>
      </c>
      <c r="AU149" s="81"/>
      <c r="AV149" s="66">
        <f>(AP149-J149)/J149</f>
        <v>-0.34647381919244263</v>
      </c>
      <c r="BB149" s="56">
        <f>+R149*F149</f>
        <v>14525</v>
      </c>
    </row>
    <row r="150" spans="1:54" ht="18.75" outlineLevel="1" x14ac:dyDescent="0.3">
      <c r="A150">
        <v>4</v>
      </c>
      <c r="B150" t="s">
        <v>156</v>
      </c>
      <c r="C150">
        <v>338337</v>
      </c>
      <c r="D150" t="s">
        <v>201</v>
      </c>
      <c r="E150" t="s">
        <v>158</v>
      </c>
      <c r="F150" s="21">
        <f>+VLOOKUP(C150,'[1]stock au 25-03-25'!A:D,4,FALSE)</f>
        <v>10710</v>
      </c>
      <c r="G150" t="s">
        <v>45</v>
      </c>
      <c r="H150" s="22">
        <f>+VLOOKUP(C150,'[1]stock au 25-03-25'!A:F,6,FALSE)</f>
        <v>1.7570588235294116</v>
      </c>
      <c r="I150" t="s">
        <v>46</v>
      </c>
      <c r="J150" s="56">
        <f>+VLOOKUP(C150,'[1]stock au 25-03-25'!A:H,8,FALSE)</f>
        <v>18818.099999999999</v>
      </c>
      <c r="K150" t="s">
        <v>46</v>
      </c>
      <c r="L150" s="23">
        <v>1.97</v>
      </c>
      <c r="M150" t="s">
        <v>46</v>
      </c>
      <c r="N150" s="56">
        <f>+VLOOKUP(C150,'[1]stock au 25-03-25'!A:L,12,FALSE)</f>
        <v>21098.7</v>
      </c>
      <c r="P150" s="57">
        <v>1.97</v>
      </c>
      <c r="Q150" t="s">
        <v>46</v>
      </c>
      <c r="R150" s="25">
        <v>1.76</v>
      </c>
      <c r="T150" s="26">
        <v>1.7</v>
      </c>
      <c r="U150" s="58">
        <f t="shared" si="24"/>
        <v>-3.4090909090909123E-2</v>
      </c>
      <c r="V150" s="10">
        <f>IFERROR(VLOOKUP(C150,'[2]INDICATEURS ACHATS - Matières P'!$C$2:$G$209999,5,0),0)</f>
        <v>2520</v>
      </c>
      <c r="W150" s="60">
        <f t="shared" si="29"/>
        <v>4284</v>
      </c>
      <c r="X150" s="28">
        <v>1.53</v>
      </c>
      <c r="Y150" s="59">
        <v>1949.2945560462545</v>
      </c>
      <c r="Z150" s="60">
        <f t="shared" si="30"/>
        <v>2982.4206707507692</v>
      </c>
      <c r="AA150" s="60">
        <f t="shared" si="27"/>
        <v>3430.7584186414078</v>
      </c>
      <c r="AB150" s="60">
        <f t="shared" si="28"/>
        <v>-448.33774789063864</v>
      </c>
      <c r="AC150" s="60">
        <f t="shared" si="31"/>
        <v>7266.4206707507692</v>
      </c>
      <c r="AD150" s="61">
        <f>+VLOOKUP(C150,'[1]pic au 25-03'!C:R,16,FALSE)</f>
        <v>8021.4745560462543</v>
      </c>
      <c r="AE150" s="31"/>
      <c r="AF150" s="62">
        <v>15802.304875411121</v>
      </c>
      <c r="AG150" s="31"/>
      <c r="AH150" s="62">
        <v>15802.304875411121</v>
      </c>
      <c r="AI150" s="31"/>
      <c r="AJ150" s="28">
        <f t="shared" si="32"/>
        <v>6838.0206707507687</v>
      </c>
      <c r="AK150" s="21">
        <f>+VLOOKUP(C150,'[1]stock au 25-03-25'!A:X,24,FALSE)</f>
        <v>3552.18</v>
      </c>
      <c r="AL150" t="s">
        <v>45</v>
      </c>
      <c r="AM150" s="21">
        <f t="shared" si="25"/>
        <v>4469.294556046254</v>
      </c>
      <c r="AN150" t="s">
        <v>45</v>
      </c>
      <c r="AO150" s="63">
        <v>7677.4238228883296</v>
      </c>
      <c r="AP150" s="64">
        <f t="shared" si="26"/>
        <v>7865.9584186414068</v>
      </c>
      <c r="AQ150" t="s">
        <v>46</v>
      </c>
      <c r="AR150" s="36">
        <f>(AP150-AO150)/AO150</f>
        <v>2.4557012886407045E-2</v>
      </c>
      <c r="AS150" s="81"/>
      <c r="AT150" s="81">
        <f>(AO150-J150)/J150</f>
        <v>-0.59201918244199303</v>
      </c>
      <c r="AU150" s="81"/>
      <c r="AV150" s="66">
        <f>(AP150-J150)/J150</f>
        <v>-0.58200039224781419</v>
      </c>
      <c r="BB150" s="56">
        <f>+R150*F150</f>
        <v>18849.599999999999</v>
      </c>
    </row>
    <row r="151" spans="1:54" ht="18.75" outlineLevel="1" x14ac:dyDescent="0.3">
      <c r="A151">
        <v>4</v>
      </c>
      <c r="B151" t="s">
        <v>156</v>
      </c>
      <c r="C151">
        <v>341591</v>
      </c>
      <c r="D151" t="s">
        <v>202</v>
      </c>
      <c r="E151" t="s">
        <v>158</v>
      </c>
      <c r="F151" s="21">
        <f>+VLOOKUP(C151,'[1]stock au 25-03-25'!A:D,4,FALSE)</f>
        <v>6076</v>
      </c>
      <c r="G151" t="s">
        <v>45</v>
      </c>
      <c r="H151" s="22">
        <f>+VLOOKUP(C151,'[1]stock au 25-03-25'!A:F,6,FALSE)</f>
        <v>1.3821066491112575</v>
      </c>
      <c r="I151" t="s">
        <v>46</v>
      </c>
      <c r="J151" s="56">
        <f>+VLOOKUP(C151,'[1]stock au 25-03-25'!A:H,8,FALSE)</f>
        <v>8397.68</v>
      </c>
      <c r="K151" t="s">
        <v>46</v>
      </c>
      <c r="L151" s="23">
        <v>1.67</v>
      </c>
      <c r="M151" t="s">
        <v>46</v>
      </c>
      <c r="N151" s="56">
        <f>+VLOOKUP(C151,'[1]stock au 25-03-25'!A:L,12,FALSE)</f>
        <v>10146.92</v>
      </c>
      <c r="P151" s="57">
        <v>1.67</v>
      </c>
      <c r="Q151" t="s">
        <v>46</v>
      </c>
      <c r="R151" s="25">
        <v>1.38</v>
      </c>
      <c r="T151" s="26">
        <v>1.5049999999999999</v>
      </c>
      <c r="U151" s="58">
        <f t="shared" si="24"/>
        <v>9.057971014492755E-2</v>
      </c>
      <c r="V151" s="10">
        <f>IFERROR(VLOOKUP(C151,'[2]INDICATEURS ACHATS - Matières P'!$C$2:$G$209999,5,0),0)</f>
        <v>2520</v>
      </c>
      <c r="W151" s="60">
        <f t="shared" si="29"/>
        <v>3792.6</v>
      </c>
      <c r="X151" s="28">
        <v>1.38</v>
      </c>
      <c r="Y151" s="59">
        <v>2289.2912636668125</v>
      </c>
      <c r="Z151" s="60">
        <f t="shared" si="30"/>
        <v>3159.221943860201</v>
      </c>
      <c r="AA151" s="60">
        <f t="shared" si="27"/>
        <v>3159.221943860201</v>
      </c>
      <c r="AB151" s="60">
        <f t="shared" si="28"/>
        <v>0</v>
      </c>
      <c r="AC151" s="60">
        <f t="shared" si="31"/>
        <v>6951.8219438602009</v>
      </c>
      <c r="AD151" s="61">
        <f>+VLOOKUP(C151,'[1]pic au 25-03'!C:R,16,FALSE)</f>
        <v>5853.7902636668123</v>
      </c>
      <c r="AE151" s="31"/>
      <c r="AF151" s="62">
        <v>9775.8297403235756</v>
      </c>
      <c r="AG151" s="31"/>
      <c r="AH151" s="62">
        <v>9775.8297403235756</v>
      </c>
      <c r="AI151" s="31"/>
      <c r="AJ151" s="28">
        <f t="shared" si="32"/>
        <v>6636.8219438602009</v>
      </c>
      <c r="AK151" s="21">
        <f>+VLOOKUP(C151,'[1]stock au 25-03-25'!A:X,24,FALSE)</f>
        <v>1044.499</v>
      </c>
      <c r="AL151" t="s">
        <v>45</v>
      </c>
      <c r="AM151" s="21">
        <f t="shared" si="25"/>
        <v>4809.2912636668125</v>
      </c>
      <c r="AN151" t="s">
        <v>45</v>
      </c>
      <c r="AO151" s="63">
        <v>6901.2628512873061</v>
      </c>
      <c r="AP151" s="64">
        <f t="shared" si="26"/>
        <v>6636.8219438602009</v>
      </c>
      <c r="AQ151" t="s">
        <v>46</v>
      </c>
      <c r="AR151" s="36">
        <f>(AP151-AO151)/AO151</f>
        <v>-3.8317756202805482E-2</v>
      </c>
      <c r="AS151" s="81"/>
      <c r="AT151" s="81">
        <f>(AO151-J151)/J151</f>
        <v>-0.17819411417352102</v>
      </c>
      <c r="AU151" s="81"/>
      <c r="AV151" s="66">
        <f>(AP151-J151)/J151</f>
        <v>-0.20968387175265066</v>
      </c>
      <c r="BB151" s="56">
        <f>+R151*F151</f>
        <v>8384.8799999999992</v>
      </c>
    </row>
    <row r="152" spans="1:54" ht="18.75" outlineLevel="1" x14ac:dyDescent="0.3">
      <c r="A152">
        <v>4</v>
      </c>
      <c r="B152" t="s">
        <v>156</v>
      </c>
      <c r="C152">
        <v>340396</v>
      </c>
      <c r="D152" t="s">
        <v>203</v>
      </c>
      <c r="E152" t="s">
        <v>158</v>
      </c>
      <c r="F152" s="21">
        <f>+VLOOKUP(C152,'[1]stock au 25-03-25'!A:D,4,FALSE)</f>
        <v>8340</v>
      </c>
      <c r="G152" t="s">
        <v>45</v>
      </c>
      <c r="H152" s="22">
        <f>+VLOOKUP(C152,'[1]stock au 25-03-25'!A:F,6,FALSE)</f>
        <v>0.91158273381294963</v>
      </c>
      <c r="I152" t="s">
        <v>46</v>
      </c>
      <c r="J152" s="56">
        <f>+VLOOKUP(C152,'[1]stock au 25-03-25'!A:H,8,FALSE)</f>
        <v>7602.6</v>
      </c>
      <c r="K152" t="s">
        <v>46</v>
      </c>
      <c r="L152" s="23">
        <v>1</v>
      </c>
      <c r="M152" t="s">
        <v>46</v>
      </c>
      <c r="N152" s="56">
        <f>+VLOOKUP(C152,'[1]stock au 25-03-25'!A:L,12,FALSE)</f>
        <v>8340</v>
      </c>
      <c r="P152" s="57">
        <v>0.88</v>
      </c>
      <c r="Q152" t="s">
        <v>46</v>
      </c>
      <c r="R152" s="25">
        <v>0.91</v>
      </c>
      <c r="T152" s="26">
        <v>0.91666666666666663</v>
      </c>
      <c r="U152" s="58">
        <f t="shared" si="24"/>
        <v>7.3260073260072505E-3</v>
      </c>
      <c r="V152" s="10">
        <f>IFERROR(VLOOKUP(C152,'[2]INDICATEURS ACHATS - Matières P'!$C$2:$G$209999,5,0),0)</f>
        <v>4320</v>
      </c>
      <c r="W152" s="60">
        <f t="shared" si="29"/>
        <v>3960</v>
      </c>
      <c r="X152" s="28">
        <v>0.8</v>
      </c>
      <c r="Y152" s="59">
        <v>3625.0007816114821</v>
      </c>
      <c r="Z152" s="60">
        <f t="shared" si="30"/>
        <v>2900.0006252891858</v>
      </c>
      <c r="AA152" s="60">
        <f t="shared" si="27"/>
        <v>3298.7507112664489</v>
      </c>
      <c r="AB152" s="60">
        <f t="shared" si="28"/>
        <v>-398.7500859772631</v>
      </c>
      <c r="AC152" s="60">
        <f t="shared" si="31"/>
        <v>6860.0006252891853</v>
      </c>
      <c r="AD152" s="61">
        <f>+VLOOKUP(C152,'[1]pic au 25-03'!C:R,16,FALSE)</f>
        <v>9075.1407816114825</v>
      </c>
      <c r="AE152" s="31"/>
      <c r="AF152" s="62">
        <v>7986.1238878181048</v>
      </c>
      <c r="AG152" s="31"/>
      <c r="AH152" s="62">
        <v>9075.1407816114825</v>
      </c>
      <c r="AI152" s="31"/>
      <c r="AJ152" s="28">
        <f t="shared" si="32"/>
        <v>6356.0006252891862</v>
      </c>
      <c r="AK152" s="21">
        <f>+VLOOKUP(C152,'[1]stock au 25-03-25'!A:X,24,FALSE)</f>
        <v>1130.1400000000001</v>
      </c>
      <c r="AL152" t="s">
        <v>45</v>
      </c>
      <c r="AM152" s="21">
        <f t="shared" si="25"/>
        <v>7945.0007816114821</v>
      </c>
      <c r="AN152" t="s">
        <v>45</v>
      </c>
      <c r="AO152" s="63">
        <v>7200.6494772362212</v>
      </c>
      <c r="AP152" s="64">
        <f t="shared" si="26"/>
        <v>7229.9507112664487</v>
      </c>
      <c r="AQ152" t="s">
        <v>46</v>
      </c>
      <c r="AR152" s="36">
        <f>(AP152-AO152)/AO152</f>
        <v>4.0692487702476019E-3</v>
      </c>
      <c r="AS152" s="81"/>
      <c r="AT152" s="81">
        <f>(AO152-J152)/J152</f>
        <v>-5.2870139526448735E-2</v>
      </c>
      <c r="AU152" s="81"/>
      <c r="AV152" s="66">
        <f>(AP152-J152)/J152</f>
        <v>-4.9016032506451958E-2</v>
      </c>
      <c r="BB152" s="56">
        <f>+R152*F152</f>
        <v>7589.4000000000005</v>
      </c>
    </row>
    <row r="153" spans="1:54" ht="18.75" outlineLevel="1" x14ac:dyDescent="0.3">
      <c r="A153">
        <v>4</v>
      </c>
      <c r="B153" t="s">
        <v>156</v>
      </c>
      <c r="C153">
        <v>350013</v>
      </c>
      <c r="D153" t="s">
        <v>204</v>
      </c>
      <c r="E153" t="s">
        <v>205</v>
      </c>
      <c r="F153" s="21">
        <f>+VLOOKUP(C153,'[1]stock au 25-03-25'!A:D,4,FALSE)</f>
        <v>1575</v>
      </c>
      <c r="G153" t="s">
        <v>45</v>
      </c>
      <c r="H153" s="22">
        <f>+VLOOKUP(C153,'[1]stock au 25-03-25'!A:F,6,FALSE)</f>
        <v>1.7337142857142858</v>
      </c>
      <c r="I153" t="s">
        <v>46</v>
      </c>
      <c r="J153" s="56">
        <f>+VLOOKUP(C153,'[1]stock au 25-03-25'!A:H,8,FALSE)</f>
        <v>2730.6</v>
      </c>
      <c r="K153" t="s">
        <v>46</v>
      </c>
      <c r="L153" s="23">
        <v>1.5</v>
      </c>
      <c r="M153" t="s">
        <v>46</v>
      </c>
      <c r="N153" s="56">
        <f>+VLOOKUP(C153,'[1]stock au 25-03-25'!A:L,12,FALSE)</f>
        <v>2362.5</v>
      </c>
      <c r="Q153" t="s">
        <v>46</v>
      </c>
      <c r="R153" s="25">
        <f>H153*(1+VLOOKUP(A153,'[1]Variation MP'!$B$3:$D$22,3))</f>
        <v>1.7337142857142858</v>
      </c>
      <c r="T153" s="26">
        <v>1.85</v>
      </c>
      <c r="U153" s="58">
        <f t="shared" si="24"/>
        <v>6.7073170731707335E-2</v>
      </c>
      <c r="V153" s="10">
        <f>IFERROR(VLOOKUP(C153,'[2]INDICATEURS ACHATS - Matières P'!$C$2:$G$209999,5,0),0)</f>
        <v>795</v>
      </c>
      <c r="W153" s="60">
        <f t="shared" si="29"/>
        <v>1470.75</v>
      </c>
      <c r="X153" s="28">
        <v>1.85</v>
      </c>
      <c r="Y153" s="59">
        <v>3742.5623066666658</v>
      </c>
      <c r="Z153" s="60">
        <f t="shared" si="30"/>
        <v>6923.7402673333318</v>
      </c>
      <c r="AA153" s="60">
        <f t="shared" si="27"/>
        <v>6488.5337362438086</v>
      </c>
      <c r="AB153" s="60">
        <f t="shared" si="28"/>
        <v>435.2065310895232</v>
      </c>
      <c r="AC153" s="60">
        <f t="shared" si="31"/>
        <v>8394.4902673333308</v>
      </c>
      <c r="AD153" s="61">
        <f>+VLOOKUP(C153,'[1]pic au 25-03'!C:R,16,FALSE)</f>
        <v>5304.206306666666</v>
      </c>
      <c r="AE153" s="31"/>
      <c r="AF153" s="62"/>
      <c r="AG153" s="31"/>
      <c r="AH153" s="62">
        <v>7956.3094600000004</v>
      </c>
      <c r="AI153" s="31"/>
      <c r="AJ153" s="28">
        <f t="shared" si="32"/>
        <v>8394.4902673333327</v>
      </c>
      <c r="AK153" s="21">
        <f>+VLOOKUP(C153,'[1]stock au 25-03-25'!A:X,24,FALSE)</f>
        <v>766.64400000000001</v>
      </c>
      <c r="AL153" t="s">
        <v>45</v>
      </c>
      <c r="AM153" s="21">
        <f t="shared" si="25"/>
        <v>4537.5623066666658</v>
      </c>
      <c r="AN153" t="s">
        <v>45</v>
      </c>
      <c r="AO153" s="63">
        <v>7663.0000150552396</v>
      </c>
      <c r="AP153" s="64">
        <f t="shared" si="26"/>
        <v>7866.8365933866653</v>
      </c>
      <c r="AQ153" t="s">
        <v>46</v>
      </c>
      <c r="AR153" s="36">
        <f>(AP153-AO153)/AO153</f>
        <v>2.6600101517806968E-2</v>
      </c>
      <c r="AS153" s="81"/>
      <c r="AT153" s="81">
        <f>(AO153-J153)/J153</f>
        <v>1.8063429338076762</v>
      </c>
      <c r="AU153" s="81"/>
      <c r="AV153" s="66">
        <f>(AP153-J153)/J153</f>
        <v>1.8809919407407405</v>
      </c>
      <c r="BB153" s="56">
        <f>+R153*F153</f>
        <v>2730.6</v>
      </c>
    </row>
    <row r="154" spans="1:54" ht="18.75" outlineLevel="1" x14ac:dyDescent="0.3">
      <c r="A154">
        <v>4</v>
      </c>
      <c r="B154" t="s">
        <v>156</v>
      </c>
      <c r="C154">
        <v>339688</v>
      </c>
      <c r="D154" t="s">
        <v>206</v>
      </c>
      <c r="E154" t="s">
        <v>158</v>
      </c>
      <c r="F154" s="21">
        <f>+VLOOKUP(C154,'[1]stock au 25-03-25'!A:D,4,FALSE)</f>
        <v>1940</v>
      </c>
      <c r="G154" t="s">
        <v>45</v>
      </c>
      <c r="H154" s="22">
        <f>+VLOOKUP(C154,'[1]stock au 25-03-25'!A:F,6,FALSE)</f>
        <v>3.67</v>
      </c>
      <c r="I154" t="s">
        <v>46</v>
      </c>
      <c r="J154" s="56">
        <f>+VLOOKUP(C154,'[1]stock au 25-03-25'!A:H,8,FALSE)</f>
        <v>7119.8</v>
      </c>
      <c r="K154" t="s">
        <v>46</v>
      </c>
      <c r="L154" s="23">
        <v>2.96</v>
      </c>
      <c r="M154" t="s">
        <v>46</v>
      </c>
      <c r="N154" s="56">
        <f>+VLOOKUP(C154,'[1]stock au 25-03-25'!A:L,12,FALSE)</f>
        <v>5742.4</v>
      </c>
      <c r="P154" s="57">
        <v>2.96</v>
      </c>
      <c r="Q154" t="s">
        <v>46</v>
      </c>
      <c r="R154" s="25">
        <f>H154*(1+VLOOKUP(A154,'[1]Variation MP'!$B$3:$D$22,3))</f>
        <v>3.67</v>
      </c>
      <c r="T154" s="26">
        <v>3.67</v>
      </c>
      <c r="U154" s="58">
        <f t="shared" si="24"/>
        <v>0</v>
      </c>
      <c r="V154" s="10">
        <f>IFERROR(VLOOKUP(C154,'[2]INDICATEURS ACHATS - Matières P'!$C$2:$G$209999,5,0),0)</f>
        <v>400</v>
      </c>
      <c r="W154" s="60">
        <f t="shared" si="29"/>
        <v>1468</v>
      </c>
      <c r="X154" s="28">
        <v>3.67</v>
      </c>
      <c r="Y154" s="59">
        <v>1780.8951527346151</v>
      </c>
      <c r="Z154" s="60">
        <f t="shared" si="30"/>
        <v>6535.8852105360374</v>
      </c>
      <c r="AA154" s="60">
        <f t="shared" si="27"/>
        <v>6535.8852105360374</v>
      </c>
      <c r="AB154" s="60">
        <f t="shared" si="28"/>
        <v>0</v>
      </c>
      <c r="AC154" s="60">
        <f t="shared" si="31"/>
        <v>8003.8852105360374</v>
      </c>
      <c r="AD154" s="61">
        <f>+VLOOKUP(C154,'[1]pic au 25-03'!C:R,16,FALSE)</f>
        <v>2193.4771527346152</v>
      </c>
      <c r="AE154" s="31"/>
      <c r="AF154" s="62">
        <v>6492.6923720944606</v>
      </c>
      <c r="AG154" s="31"/>
      <c r="AH154" s="62">
        <v>6492.6923720944606</v>
      </c>
      <c r="AI154" s="31"/>
      <c r="AJ154" s="28">
        <f t="shared" si="32"/>
        <v>8003.8852105360384</v>
      </c>
      <c r="AK154" s="21">
        <f>+VLOOKUP(C154,'[1]stock au 25-03-25'!A:X,24,FALSE)</f>
        <v>12.582000000000001</v>
      </c>
      <c r="AL154" t="s">
        <v>45</v>
      </c>
      <c r="AM154" s="21">
        <f t="shared" si="25"/>
        <v>2180.8951527346153</v>
      </c>
      <c r="AN154" t="s">
        <v>45</v>
      </c>
      <c r="AO154" s="63">
        <v>7051.769770536037</v>
      </c>
      <c r="AP154" s="64">
        <f t="shared" si="26"/>
        <v>8003.8852105360384</v>
      </c>
      <c r="AQ154" t="s">
        <v>46</v>
      </c>
      <c r="AR154" s="36">
        <f>(AP154-AO154)/AO154</f>
        <v>0.13501794173402612</v>
      </c>
      <c r="AS154" s="81"/>
      <c r="AT154" s="81">
        <f>(AO154-J154)/J154</f>
        <v>-9.5550759099923069E-3</v>
      </c>
      <c r="AU154" s="81"/>
      <c r="AV154" s="66">
        <f>(AP154-J154)/J154</f>
        <v>0.12417275914155428</v>
      </c>
      <c r="BB154" s="56">
        <f>+R154*F154</f>
        <v>7119.8</v>
      </c>
    </row>
    <row r="155" spans="1:54" ht="18.75" outlineLevel="1" x14ac:dyDescent="0.3">
      <c r="A155">
        <v>4</v>
      </c>
      <c r="B155" t="s">
        <v>156</v>
      </c>
      <c r="C155">
        <v>338275</v>
      </c>
      <c r="D155" t="s">
        <v>207</v>
      </c>
      <c r="E155" t="s">
        <v>158</v>
      </c>
      <c r="F155" s="21">
        <f>+VLOOKUP(C155,'[1]stock au 25-03-25'!A:D,4,FALSE)</f>
        <v>838</v>
      </c>
      <c r="G155" t="s">
        <v>45</v>
      </c>
      <c r="H155" s="22">
        <f>+VLOOKUP(C155,'[1]stock au 25-03-25'!A:F,6,FALSE)</f>
        <v>8.1012410501193326</v>
      </c>
      <c r="I155" t="s">
        <v>46</v>
      </c>
      <c r="J155" s="56">
        <f>+VLOOKUP(C155,'[1]stock au 25-03-25'!A:H,8,FALSE)</f>
        <v>6788.84</v>
      </c>
      <c r="K155" t="s">
        <v>46</v>
      </c>
      <c r="L155" s="23">
        <v>8.2799999999999994</v>
      </c>
      <c r="M155" t="s">
        <v>46</v>
      </c>
      <c r="N155" s="56">
        <f>+VLOOKUP(C155,'[1]stock au 25-03-25'!A:L,12,FALSE)</f>
        <v>6938.6399999999994</v>
      </c>
      <c r="P155" s="57">
        <v>5.54</v>
      </c>
      <c r="Q155" t="s">
        <v>46</v>
      </c>
      <c r="R155" s="25">
        <v>8.1</v>
      </c>
      <c r="T155" s="26">
        <v>9.5</v>
      </c>
      <c r="U155" s="58">
        <f t="shared" si="24"/>
        <v>0.17283950617283955</v>
      </c>
      <c r="V155" s="10">
        <f>IFERROR(VLOOKUP(C155,'[2]INDICATEURS ACHATS - Matières P'!$C$2:$G$209999,5,0),0)</f>
        <v>365</v>
      </c>
      <c r="W155" s="60">
        <f t="shared" si="29"/>
        <v>3467.5</v>
      </c>
      <c r="X155" s="28">
        <v>9.5</v>
      </c>
      <c r="Y155" s="59">
        <v>417.33913691476255</v>
      </c>
      <c r="Z155" s="60">
        <f t="shared" si="30"/>
        <v>3964.721800690244</v>
      </c>
      <c r="AA155" s="60">
        <f t="shared" si="27"/>
        <v>3380.4470090095765</v>
      </c>
      <c r="AB155" s="60">
        <f t="shared" si="28"/>
        <v>584.27479168066748</v>
      </c>
      <c r="AC155" s="60">
        <f t="shared" si="31"/>
        <v>7432.221800690244</v>
      </c>
      <c r="AD155" s="61">
        <f>+VLOOKUP(C155,'[1]pic au 25-03'!C:R,16,FALSE)</f>
        <v>908.29618491476253</v>
      </c>
      <c r="AE155" s="31"/>
      <c r="AF155" s="62">
        <v>5031.9608644277851</v>
      </c>
      <c r="AG155" s="31"/>
      <c r="AH155" s="62">
        <v>7520.6924110942346</v>
      </c>
      <c r="AI155" s="31"/>
      <c r="AJ155" s="28">
        <f t="shared" si="32"/>
        <v>7432.221800690244</v>
      </c>
      <c r="AK155" s="21">
        <f>+VLOOKUP(C155,'[1]stock au 25-03-25'!A:X,24,FALSE)</f>
        <v>125.957048</v>
      </c>
      <c r="AL155" t="s">
        <v>45</v>
      </c>
      <c r="AM155" s="21">
        <f t="shared" si="25"/>
        <v>782.33913691476255</v>
      </c>
      <c r="AN155" t="s">
        <v>45</v>
      </c>
      <c r="AO155" s="63">
        <v>5907.6317167280886</v>
      </c>
      <c r="AP155" s="64">
        <f t="shared" si="26"/>
        <v>6336.9470090095765</v>
      </c>
      <c r="AQ155" t="s">
        <v>46</v>
      </c>
      <c r="AR155" s="36">
        <f>(AP155-AO155)/AO155</f>
        <v>7.267130262467715E-2</v>
      </c>
      <c r="AS155" s="81"/>
      <c r="AT155" s="81">
        <f>(AO155-J155)/J155</f>
        <v>-0.12980248220195373</v>
      </c>
      <c r="AU155" s="81"/>
      <c r="AV155" s="66">
        <f>(AP155-J155)/J155</f>
        <v>-6.6564095042809024E-2</v>
      </c>
      <c r="BB155" s="56">
        <f>+R155*F155</f>
        <v>6787.7999999999993</v>
      </c>
    </row>
    <row r="156" spans="1:54" ht="18.75" outlineLevel="1" x14ac:dyDescent="0.3">
      <c r="A156">
        <v>4</v>
      </c>
      <c r="B156" t="s">
        <v>156</v>
      </c>
      <c r="C156">
        <v>360414</v>
      </c>
      <c r="D156" t="s">
        <v>208</v>
      </c>
      <c r="E156" t="s">
        <v>158</v>
      </c>
      <c r="F156" s="21">
        <f>+VLOOKUP(C156,'[1]stock au 25-03-25'!A:D,4,FALSE)</f>
        <v>6480</v>
      </c>
      <c r="G156" t="s">
        <v>45</v>
      </c>
      <c r="H156" s="22">
        <f>+VLOOKUP(C156,'[1]stock au 25-03-25'!A:F,6,FALSE)</f>
        <v>1.2344444444444445</v>
      </c>
      <c r="I156" t="s">
        <v>46</v>
      </c>
      <c r="J156" s="56">
        <f>+VLOOKUP(C156,'[1]stock au 25-03-25'!A:H,8,FALSE)</f>
        <v>7999.2</v>
      </c>
      <c r="K156" t="s">
        <v>46</v>
      </c>
      <c r="L156" s="23">
        <v>1.51</v>
      </c>
      <c r="M156" t="s">
        <v>46</v>
      </c>
      <c r="N156" s="56">
        <f>+VLOOKUP(C156,'[1]stock au 25-03-25'!A:L,12,FALSE)</f>
        <v>9784.7999999999993</v>
      </c>
      <c r="P156" s="57">
        <v>1.51</v>
      </c>
      <c r="Q156" t="s">
        <v>46</v>
      </c>
      <c r="R156" s="25">
        <v>1.23</v>
      </c>
      <c r="T156" s="26" t="s">
        <v>53</v>
      </c>
      <c r="U156" s="58" t="str">
        <f t="shared" si="24"/>
        <v/>
      </c>
      <c r="V156" s="10">
        <f>IFERROR(VLOOKUP(C156,'[2]INDICATEURS ACHATS - Matières P'!$C$2:$G$209999,5,0),0)</f>
        <v>0</v>
      </c>
      <c r="W156" s="60">
        <f t="shared" si="29"/>
        <v>0</v>
      </c>
      <c r="X156" s="28">
        <v>1.25</v>
      </c>
      <c r="Y156" s="59">
        <v>5306.8427458333335</v>
      </c>
      <c r="Z156" s="60">
        <f t="shared" si="30"/>
        <v>6633.5534322916665</v>
      </c>
      <c r="AA156" s="60">
        <f t="shared" si="27"/>
        <v>6527.4165773750001</v>
      </c>
      <c r="AB156" s="60">
        <f t="shared" si="28"/>
        <v>106.13685491666638</v>
      </c>
      <c r="AC156" s="60">
        <f t="shared" si="31"/>
        <v>6633.5534322916665</v>
      </c>
      <c r="AD156" s="61">
        <f>+VLOOKUP(C156,'[1]pic au 25-03'!C:R,16,FALSE)</f>
        <v>6643.8427458333335</v>
      </c>
      <c r="AE156" s="31"/>
      <c r="AF156" s="62">
        <v>10032.202546208333</v>
      </c>
      <c r="AG156" s="31"/>
      <c r="AH156" s="62">
        <v>10032.202546208333</v>
      </c>
      <c r="AI156" s="31"/>
      <c r="AJ156" s="28">
        <f t="shared" si="32"/>
        <v>6633.5534322916665</v>
      </c>
      <c r="AK156" s="21">
        <f>+VLOOKUP(C156,'[1]stock au 25-03-25'!A:X,24,FALSE)</f>
        <v>1337</v>
      </c>
      <c r="AL156" t="s">
        <v>45</v>
      </c>
      <c r="AM156" s="21">
        <f t="shared" si="25"/>
        <v>5306.8427458333335</v>
      </c>
      <c r="AN156" t="s">
        <v>45</v>
      </c>
      <c r="AO156" s="63">
        <v>6551.0025451342599</v>
      </c>
      <c r="AP156" s="64">
        <f t="shared" si="26"/>
        <v>6527.4165773750001</v>
      </c>
      <c r="AQ156" t="s">
        <v>46</v>
      </c>
      <c r="AR156" s="36">
        <f>(AP156-AO156)/AO156</f>
        <v>-3.600360036003683E-3</v>
      </c>
      <c r="AS156" s="81"/>
      <c r="AT156" s="81">
        <f>(AO156-J156)/J156</f>
        <v>-0.18104278613683117</v>
      </c>
      <c r="AU156" s="81"/>
      <c r="AV156" s="66">
        <f>(AP156-J156)/J156</f>
        <v>-0.18399132696082104</v>
      </c>
      <c r="BB156" s="56">
        <f>+R156*F156</f>
        <v>7970.4</v>
      </c>
    </row>
    <row r="157" spans="1:54" ht="18.75" outlineLevel="1" x14ac:dyDescent="0.3">
      <c r="A157">
        <v>4</v>
      </c>
      <c r="B157" t="s">
        <v>156</v>
      </c>
      <c r="C157">
        <v>338285</v>
      </c>
      <c r="D157" t="s">
        <v>209</v>
      </c>
      <c r="E157" t="s">
        <v>158</v>
      </c>
      <c r="F157" s="21">
        <f>+VLOOKUP(C157,'[1]stock au 25-03-25'!A:D,4,FALSE)</f>
        <v>5480</v>
      </c>
      <c r="G157" t="s">
        <v>45</v>
      </c>
      <c r="H157" s="22">
        <f>+VLOOKUP(C157,'[1]stock au 25-03-25'!A:F,6,FALSE)</f>
        <v>1.0494160583941605</v>
      </c>
      <c r="I157" t="s">
        <v>46</v>
      </c>
      <c r="J157" s="56">
        <f>+VLOOKUP(C157,'[1]stock au 25-03-25'!A:H,8,FALSE)</f>
        <v>5750.8</v>
      </c>
      <c r="K157" t="s">
        <v>46</v>
      </c>
      <c r="L157" s="23">
        <v>1.3</v>
      </c>
      <c r="M157" t="s">
        <v>46</v>
      </c>
      <c r="N157" s="56">
        <f>+VLOOKUP(C157,'[1]stock au 25-03-25'!A:L,12,FALSE)</f>
        <v>7124</v>
      </c>
      <c r="P157" s="57">
        <v>1.1200000000000001</v>
      </c>
      <c r="Q157" t="s">
        <v>46</v>
      </c>
      <c r="R157" s="25">
        <v>1.05</v>
      </c>
      <c r="T157" s="26">
        <v>1.21</v>
      </c>
      <c r="U157" s="58">
        <f t="shared" si="24"/>
        <v>0.15238095238095231</v>
      </c>
      <c r="V157" s="10">
        <f>IFERROR(VLOOKUP(C157,'[2]INDICATEURS ACHATS - Matières P'!$C$2:$G$209999,5,0),0)</f>
        <v>3000</v>
      </c>
      <c r="W157" s="60">
        <f t="shared" si="29"/>
        <v>3630</v>
      </c>
      <c r="X157" s="28">
        <v>1.27</v>
      </c>
      <c r="Y157" s="59">
        <v>2164.0309995643665</v>
      </c>
      <c r="Z157" s="60">
        <f t="shared" si="30"/>
        <v>2748.3193694467454</v>
      </c>
      <c r="AA157" s="60">
        <f t="shared" si="27"/>
        <v>2272.2325495425848</v>
      </c>
      <c r="AB157" s="60">
        <f t="shared" si="28"/>
        <v>476.08681990416062</v>
      </c>
      <c r="AC157" s="60">
        <f t="shared" si="31"/>
        <v>6378.3193694467454</v>
      </c>
      <c r="AD157" s="61">
        <f>+VLOOKUP(C157,'[1]pic au 25-03'!C:R,16,FALSE)</f>
        <v>5636.2709995643663</v>
      </c>
      <c r="AE157" s="31"/>
      <c r="AF157" s="62">
        <v>6312.6235195120917</v>
      </c>
      <c r="AG157" s="31"/>
      <c r="AH157" s="62">
        <v>7327.1522994336774</v>
      </c>
      <c r="AI157" s="31"/>
      <c r="AJ157" s="28">
        <f t="shared" si="32"/>
        <v>6558.3193694467454</v>
      </c>
      <c r="AK157" s="21">
        <f>+VLOOKUP(C157,'[1]stock au 25-03-25'!A:X,24,FALSE)</f>
        <v>472.24</v>
      </c>
      <c r="AL157" t="s">
        <v>45</v>
      </c>
      <c r="AM157" s="21">
        <f t="shared" si="25"/>
        <v>5164.0309995643665</v>
      </c>
      <c r="AN157" t="s">
        <v>45</v>
      </c>
      <c r="AO157" s="63">
        <v>5010.5744438494085</v>
      </c>
      <c r="AP157" s="64">
        <f t="shared" si="26"/>
        <v>5422.2325495425848</v>
      </c>
      <c r="AQ157" t="s">
        <v>46</v>
      </c>
      <c r="AR157" s="36">
        <f>(AP157-AO157)/AO157</f>
        <v>8.2157866389650364E-2</v>
      </c>
      <c r="AS157" s="81"/>
      <c r="AT157" s="81">
        <f>(AO157-J157)/J157</f>
        <v>-0.12871697088241491</v>
      </c>
      <c r="AU157" s="81"/>
      <c r="AV157" s="66">
        <f>(AP157-J157)/J157</f>
        <v>-5.7134216188602517E-2</v>
      </c>
      <c r="BB157" s="56">
        <f>+R157*F157</f>
        <v>5754</v>
      </c>
    </row>
    <row r="158" spans="1:54" ht="18.75" outlineLevel="1" x14ac:dyDescent="0.3">
      <c r="A158">
        <v>4</v>
      </c>
      <c r="B158" t="s">
        <v>156</v>
      </c>
      <c r="C158">
        <v>340380</v>
      </c>
      <c r="D158" t="s">
        <v>210</v>
      </c>
      <c r="E158" t="s">
        <v>158</v>
      </c>
      <c r="F158" s="21">
        <f>+VLOOKUP(C158,'[1]stock au 25-03-25'!A:D,4,FALSE)</f>
        <v>6360</v>
      </c>
      <c r="G158" t="s">
        <v>45</v>
      </c>
      <c r="H158" s="22">
        <f>+VLOOKUP(C158,'[1]stock au 25-03-25'!A:F,6,FALSE)</f>
        <v>1.0416037735849057</v>
      </c>
      <c r="I158" t="s">
        <v>46</v>
      </c>
      <c r="J158" s="56">
        <f>+VLOOKUP(C158,'[1]stock au 25-03-25'!A:H,8,FALSE)</f>
        <v>6624.6</v>
      </c>
      <c r="K158" t="s">
        <v>46</v>
      </c>
      <c r="L158" s="23">
        <v>0.85</v>
      </c>
      <c r="M158" t="s">
        <v>46</v>
      </c>
      <c r="N158" s="56">
        <f>+VLOOKUP(C158,'[1]stock au 25-03-25'!A:L,12,FALSE)</f>
        <v>5406</v>
      </c>
      <c r="Q158" t="s">
        <v>46</v>
      </c>
      <c r="R158" s="25">
        <f>H158*(1+VLOOKUP(A158,'[1]Variation MP'!$B$3:$D$22,3))</f>
        <v>1.0416037735849057</v>
      </c>
      <c r="T158" s="26">
        <v>1.05</v>
      </c>
      <c r="U158" s="58">
        <f t="shared" si="24"/>
        <v>8.0608640521691484E-3</v>
      </c>
      <c r="V158" s="10">
        <f>IFERROR(VLOOKUP(C158,'[2]INDICATEURS ACHATS - Matières P'!$C$2:$G$209999,5,0),0)</f>
        <v>2880</v>
      </c>
      <c r="W158" s="60">
        <f t="shared" si="29"/>
        <v>3024</v>
      </c>
      <c r="X158" s="28">
        <v>1.2</v>
      </c>
      <c r="Y158" s="59">
        <v>3883.3693416944438</v>
      </c>
      <c r="Z158" s="60">
        <f t="shared" si="30"/>
        <v>4660.0432100333328</v>
      </c>
      <c r="AA158" s="60">
        <f t="shared" si="27"/>
        <v>4044.9321605328641</v>
      </c>
      <c r="AB158" s="60">
        <f t="shared" si="28"/>
        <v>615.11104950046865</v>
      </c>
      <c r="AC158" s="60">
        <f t="shared" si="31"/>
        <v>7684.0432100333328</v>
      </c>
      <c r="AD158" s="61">
        <f>+VLOOKUP(C158,'[1]pic au 25-03'!C:R,16,FALSE)</f>
        <v>7736.5193416944439</v>
      </c>
      <c r="AE158" s="31"/>
      <c r="AF158" s="62"/>
      <c r="AG158" s="31"/>
      <c r="AH158" s="62">
        <v>6576.0414404402782</v>
      </c>
      <c r="AI158" s="31"/>
      <c r="AJ158" s="28">
        <f t="shared" si="32"/>
        <v>8116.0432100333328</v>
      </c>
      <c r="AK158" s="21">
        <f>+VLOOKUP(C158,'[1]stock au 25-03-25'!A:X,24,FALSE)</f>
        <v>973.15</v>
      </c>
      <c r="AL158" t="s">
        <v>45</v>
      </c>
      <c r="AM158" s="21">
        <f t="shared" si="25"/>
        <v>6763.3693416944443</v>
      </c>
      <c r="AN158" t="s">
        <v>45</v>
      </c>
      <c r="AO158" s="63">
        <v>6588.7275219479598</v>
      </c>
      <c r="AP158" s="64">
        <f t="shared" si="26"/>
        <v>7044.7510284573927</v>
      </c>
      <c r="AQ158" t="s">
        <v>46</v>
      </c>
      <c r="AR158" s="36">
        <f>(AP158-AO158)/AO158</f>
        <v>6.9212682568880843E-2</v>
      </c>
      <c r="AS158" s="81"/>
      <c r="AT158" s="81">
        <f>(AO158-J158)/J158</f>
        <v>-5.4150406140809409E-3</v>
      </c>
      <c r="AU158" s="81"/>
      <c r="AV158" s="66">
        <f>(AP158-J158)/J158</f>
        <v>6.342285246767991E-2</v>
      </c>
      <c r="BB158" s="56">
        <f>+R158*F158</f>
        <v>6624.6</v>
      </c>
    </row>
    <row r="159" spans="1:54" ht="18.75" outlineLevel="1" x14ac:dyDescent="0.3">
      <c r="A159">
        <v>4</v>
      </c>
      <c r="B159" t="s">
        <v>156</v>
      </c>
      <c r="C159">
        <v>338336</v>
      </c>
      <c r="D159" t="s">
        <v>211</v>
      </c>
      <c r="E159" t="s">
        <v>158</v>
      </c>
      <c r="F159" s="21">
        <f>+VLOOKUP(C159,'[1]stock au 25-03-25'!A:D,4,FALSE)</f>
        <v>4320</v>
      </c>
      <c r="G159" t="s">
        <v>45</v>
      </c>
      <c r="H159" s="22">
        <f>+VLOOKUP(C159,'[1]stock au 25-03-25'!A:F,6,FALSE)</f>
        <v>1.3666666666666667</v>
      </c>
      <c r="I159" t="s">
        <v>46</v>
      </c>
      <c r="J159" s="56">
        <f>+VLOOKUP(C159,'[1]stock au 25-03-25'!A:H,8,FALSE)</f>
        <v>5904</v>
      </c>
      <c r="K159" t="s">
        <v>46</v>
      </c>
      <c r="L159" s="23">
        <v>1.48</v>
      </c>
      <c r="M159" t="s">
        <v>46</v>
      </c>
      <c r="N159" s="56">
        <f>+VLOOKUP(C159,'[1]stock au 25-03-25'!A:L,12,FALSE)</f>
        <v>6393.6</v>
      </c>
      <c r="P159" s="57">
        <v>1.37</v>
      </c>
      <c r="Q159" t="s">
        <v>46</v>
      </c>
      <c r="R159" s="25">
        <v>1.37</v>
      </c>
      <c r="T159" s="26">
        <v>1.3774999999999999</v>
      </c>
      <c r="U159" s="58">
        <f t="shared" si="24"/>
        <v>5.4744525547444087E-3</v>
      </c>
      <c r="V159" s="10">
        <f>IFERROR(VLOOKUP(C159,'[2]INDICATEURS ACHATS - Matières P'!$C$2:$G$209999,5,0),0)</f>
        <v>2880</v>
      </c>
      <c r="W159" s="60">
        <f t="shared" si="29"/>
        <v>3967.2</v>
      </c>
      <c r="X159" s="28">
        <v>1.25</v>
      </c>
      <c r="Y159" s="59">
        <v>1347.3344005217391</v>
      </c>
      <c r="Z159" s="60">
        <f t="shared" si="30"/>
        <v>1684.1680006521738</v>
      </c>
      <c r="AA159" s="60">
        <f t="shared" si="27"/>
        <v>1845.8481287147827</v>
      </c>
      <c r="AB159" s="60">
        <f t="shared" si="28"/>
        <v>-161.6801280626089</v>
      </c>
      <c r="AC159" s="60">
        <f t="shared" si="31"/>
        <v>5651.3680006521736</v>
      </c>
      <c r="AD159" s="61">
        <f>+VLOOKUP(C159,'[1]pic au 25-03'!C:R,16,FALSE)</f>
        <v>4653.5784005217392</v>
      </c>
      <c r="AE159" s="31"/>
      <c r="AF159" s="62">
        <v>6375.4024087147836</v>
      </c>
      <c r="AG159" s="31"/>
      <c r="AH159" s="62">
        <v>6887.2960327721739</v>
      </c>
      <c r="AI159" s="31"/>
      <c r="AJ159" s="28">
        <f t="shared" si="32"/>
        <v>5284.1680006521747</v>
      </c>
      <c r="AK159" s="21">
        <f>+VLOOKUP(C159,'[1]stock au 25-03-25'!A:X,24,FALSE)</f>
        <v>426.24400000000003</v>
      </c>
      <c r="AL159" t="s">
        <v>45</v>
      </c>
      <c r="AM159" s="21">
        <f t="shared" si="25"/>
        <v>4227.3344005217396</v>
      </c>
      <c r="AN159" t="s">
        <v>45</v>
      </c>
      <c r="AO159" s="63">
        <v>5301.2158140463771</v>
      </c>
      <c r="AP159" s="64">
        <f t="shared" si="26"/>
        <v>5791.4481287147837</v>
      </c>
      <c r="AQ159" t="s">
        <v>46</v>
      </c>
      <c r="AR159" s="36">
        <f>(AP159-AO159)/AO159</f>
        <v>9.2475449380774427E-2</v>
      </c>
      <c r="AS159" s="81"/>
      <c r="AT159" s="81">
        <f>(AO159-J159)/J159</f>
        <v>-0.1020975924718196</v>
      </c>
      <c r="AU159" s="81"/>
      <c r="AV159" s="66">
        <f>(AP159-J159)/J159</f>
        <v>-1.9063663835571867E-2</v>
      </c>
      <c r="BB159" s="56">
        <f>+R159*F159</f>
        <v>5918.4000000000005</v>
      </c>
    </row>
    <row r="160" spans="1:54" ht="18.75" outlineLevel="1" x14ac:dyDescent="0.3">
      <c r="A160">
        <v>4</v>
      </c>
      <c r="B160" t="s">
        <v>156</v>
      </c>
      <c r="C160">
        <v>338350</v>
      </c>
      <c r="D160" t="s">
        <v>212</v>
      </c>
      <c r="E160" t="s">
        <v>158</v>
      </c>
      <c r="F160" s="21">
        <f>+VLOOKUP(C160,'[1]stock au 25-03-25'!A:D,4,FALSE)</f>
        <v>3200</v>
      </c>
      <c r="G160" t="s">
        <v>45</v>
      </c>
      <c r="H160" s="22">
        <f>+VLOOKUP(C160,'[1]stock au 25-03-25'!A:F,6,FALSE)</f>
        <v>4.96</v>
      </c>
      <c r="I160" t="s">
        <v>46</v>
      </c>
      <c r="J160" s="56">
        <f>+VLOOKUP(C160,'[1]stock au 25-03-25'!A:H,8,FALSE)</f>
        <v>15872</v>
      </c>
      <c r="K160" t="s">
        <v>46</v>
      </c>
      <c r="L160" s="23">
        <v>7.99</v>
      </c>
      <c r="M160" t="s">
        <v>46</v>
      </c>
      <c r="N160" s="56">
        <f>+VLOOKUP(C160,'[1]stock au 25-03-25'!A:L,12,FALSE)</f>
        <v>25568</v>
      </c>
      <c r="P160" s="57">
        <v>7.99</v>
      </c>
      <c r="Q160" t="s">
        <v>46</v>
      </c>
      <c r="R160" s="25">
        <f>H160*(1+VLOOKUP(A160,'[1]Variation MP'!$B$3:$D$22,3))</f>
        <v>4.96</v>
      </c>
      <c r="T160" s="26">
        <v>6.2</v>
      </c>
      <c r="U160" s="58">
        <f t="shared" si="24"/>
        <v>0.25000000000000006</v>
      </c>
      <c r="V160" s="10">
        <f>IFERROR(VLOOKUP(C160,'[2]INDICATEURS ACHATS - Matières P'!$C$2:$G$209999,5,0),0)</f>
        <v>1280</v>
      </c>
      <c r="W160" s="60">
        <f t="shared" si="29"/>
        <v>7936</v>
      </c>
      <c r="X160" s="28">
        <v>6.2</v>
      </c>
      <c r="Y160" s="59">
        <v>450.8576657491455</v>
      </c>
      <c r="Z160" s="60">
        <f t="shared" si="30"/>
        <v>2795.3175276447023</v>
      </c>
      <c r="AA160" s="60">
        <f t="shared" si="27"/>
        <v>2236.2540221157615</v>
      </c>
      <c r="AB160" s="60">
        <f t="shared" si="28"/>
        <v>559.06350552894082</v>
      </c>
      <c r="AC160" s="60">
        <f t="shared" si="31"/>
        <v>10731.317527644702</v>
      </c>
      <c r="AD160" s="61">
        <f>+VLOOKUP(C160,'[1]pic au 25-03'!C:R,16,FALSE)</f>
        <v>2106.6956657491455</v>
      </c>
      <c r="AE160" s="31"/>
      <c r="AF160" s="62">
        <v>16832.498369335673</v>
      </c>
      <c r="AG160" s="31"/>
      <c r="AH160" s="62">
        <v>16832.498369335673</v>
      </c>
      <c r="AI160" s="31"/>
      <c r="AJ160" s="28">
        <f t="shared" si="32"/>
        <v>10731.317527644702</v>
      </c>
      <c r="AK160" s="21">
        <f>+VLOOKUP(C160,'[1]stock au 25-03-25'!A:X,24,FALSE)</f>
        <v>375.83800000000002</v>
      </c>
      <c r="AL160" t="s">
        <v>45</v>
      </c>
      <c r="AM160" s="21">
        <f t="shared" si="25"/>
        <v>1730.8576657491456</v>
      </c>
      <c r="AN160" t="s">
        <v>45</v>
      </c>
      <c r="AO160" s="63">
        <v>5632.4553021157626</v>
      </c>
      <c r="AP160" s="64">
        <f t="shared" si="26"/>
        <v>8585.0540221157626</v>
      </c>
      <c r="AQ160" t="s">
        <v>46</v>
      </c>
      <c r="AR160" s="36">
        <f>(AP160-AO160)/AO160</f>
        <v>0.52421165577486117</v>
      </c>
      <c r="AS160" s="81"/>
      <c r="AT160" s="81">
        <f>(AO160-J160)/J160</f>
        <v>-0.64513260445339193</v>
      </c>
      <c r="AU160" s="81"/>
      <c r="AV160" s="66">
        <f>(AP160-J160)/J160</f>
        <v>-0.45910697945339196</v>
      </c>
      <c r="BB160" s="56">
        <f>+R160*F160</f>
        <v>15872</v>
      </c>
    </row>
    <row r="161" spans="1:54" ht="18.75" outlineLevel="1" x14ac:dyDescent="0.3">
      <c r="A161">
        <v>4</v>
      </c>
      <c r="B161" t="s">
        <v>156</v>
      </c>
      <c r="C161">
        <v>360409</v>
      </c>
      <c r="D161" t="s">
        <v>213</v>
      </c>
      <c r="E161" t="s">
        <v>158</v>
      </c>
      <c r="F161" s="21">
        <f>+VLOOKUP(C161,'[1]stock au 25-03-25'!A:D,4,FALSE)</f>
        <v>9181</v>
      </c>
      <c r="G161" t="s">
        <v>45</v>
      </c>
      <c r="H161" s="22">
        <f>+VLOOKUP(C161,'[1]stock au 25-03-25'!A:F,6,FALSE)</f>
        <v>1.9266528700577277</v>
      </c>
      <c r="I161" t="s">
        <v>46</v>
      </c>
      <c r="J161" s="56">
        <f>+VLOOKUP(C161,'[1]stock au 25-03-25'!A:H,8,FALSE)</f>
        <v>17688.599999999999</v>
      </c>
      <c r="K161" t="s">
        <v>46</v>
      </c>
      <c r="L161" s="23">
        <v>1.9</v>
      </c>
      <c r="M161" t="s">
        <v>46</v>
      </c>
      <c r="N161" s="56">
        <f>+VLOOKUP(C161,'[1]stock au 25-03-25'!A:L,12,FALSE)</f>
        <v>17443.899999999998</v>
      </c>
      <c r="P161" s="57">
        <v>1.9</v>
      </c>
      <c r="Q161" t="s">
        <v>46</v>
      </c>
      <c r="R161" s="25">
        <f>H161*(1+VLOOKUP(A161,'[1]Variation MP'!$B$3:$D$22,3))</f>
        <v>1.9266528700577277</v>
      </c>
      <c r="T161" s="26">
        <v>1.93</v>
      </c>
      <c r="U161" s="58">
        <f t="shared" si="24"/>
        <v>1.7372771163349087E-3</v>
      </c>
      <c r="V161" s="10">
        <f>IFERROR(VLOOKUP(C161,'[2]INDICATEURS ACHATS - Matières P'!$C$2:$G$209999,5,0),0)</f>
        <v>6300</v>
      </c>
      <c r="W161" s="60">
        <f t="shared" si="29"/>
        <v>12159</v>
      </c>
      <c r="X161" s="28">
        <v>1.9300000000000002</v>
      </c>
      <c r="Y161" s="59">
        <v>-2876.0757331923073</v>
      </c>
      <c r="Z161" s="60">
        <f t="shared" si="30"/>
        <v>-5550.8261650611539</v>
      </c>
      <c r="AA161" s="60">
        <f t="shared" si="27"/>
        <v>-5541.1995658583419</v>
      </c>
      <c r="AB161" s="60">
        <f t="shared" si="28"/>
        <v>-9.6265992028120309</v>
      </c>
      <c r="AC161" s="60">
        <f t="shared" si="31"/>
        <v>6608.1738349388461</v>
      </c>
      <c r="AD161" s="61">
        <f>+VLOOKUP(C161,'[1]pic au 25-03'!C:R,16,FALSE)</f>
        <v>3925.8222668076928</v>
      </c>
      <c r="AE161" s="31"/>
      <c r="AF161" s="62">
        <v>7459.0623069346148</v>
      </c>
      <c r="AG161" s="31"/>
      <c r="AH161" s="62">
        <v>7459.0623069346148</v>
      </c>
      <c r="AI161" s="31"/>
      <c r="AJ161" s="28">
        <f t="shared" si="32"/>
        <v>6608.173834938847</v>
      </c>
      <c r="AK161" s="21">
        <f>+VLOOKUP(C161,'[1]stock au 25-03-25'!A:X,24,FALSE)</f>
        <v>501.89800000000002</v>
      </c>
      <c r="AL161" t="s">
        <v>45</v>
      </c>
      <c r="AM161" s="21">
        <f t="shared" si="25"/>
        <v>3423.9242668076927</v>
      </c>
      <c r="AN161" t="s">
        <v>45</v>
      </c>
      <c r="AO161" s="63">
        <v>5413.9278320068115</v>
      </c>
      <c r="AP161" s="64">
        <f t="shared" si="26"/>
        <v>6596.713515505342</v>
      </c>
      <c r="AQ161" t="s">
        <v>46</v>
      </c>
      <c r="AR161" s="36">
        <f>(AP161-AO161)/AO161</f>
        <v>0.21847089953914303</v>
      </c>
      <c r="AS161" s="81"/>
      <c r="AT161" s="81">
        <f>(AO161-J161)/J161</f>
        <v>-0.69393124204251255</v>
      </c>
      <c r="AU161" s="81"/>
      <c r="AV161" s="66">
        <f>(AP161-J161)/J161</f>
        <v>-0.62706412517071208</v>
      </c>
      <c r="BB161" s="56">
        <f>+R161*F161</f>
        <v>17688.599999999999</v>
      </c>
    </row>
    <row r="162" spans="1:54" ht="18.75" outlineLevel="1" x14ac:dyDescent="0.3">
      <c r="A162">
        <v>4</v>
      </c>
      <c r="B162" t="s">
        <v>156</v>
      </c>
      <c r="C162">
        <v>338348</v>
      </c>
      <c r="D162" t="s">
        <v>214</v>
      </c>
      <c r="E162" t="s">
        <v>62</v>
      </c>
      <c r="F162" s="21">
        <f>+VLOOKUP(C162,'[1]stock au 25-03-25'!A:D,4,FALSE)</f>
        <v>864</v>
      </c>
      <c r="G162" t="s">
        <v>45</v>
      </c>
      <c r="H162" s="22">
        <f>+VLOOKUP(C162,'[1]stock au 25-03-25'!A:F,6,FALSE)</f>
        <v>6.0837499999999993</v>
      </c>
      <c r="I162" t="s">
        <v>46</v>
      </c>
      <c r="J162" s="56">
        <f>+VLOOKUP(C162,'[1]stock au 25-03-25'!A:H,8,FALSE)</f>
        <v>5256.36</v>
      </c>
      <c r="K162" t="s">
        <v>46</v>
      </c>
      <c r="L162" s="23">
        <v>6.07</v>
      </c>
      <c r="M162" t="s">
        <v>46</v>
      </c>
      <c r="N162" s="56">
        <f>+VLOOKUP(C162,'[1]stock au 25-03-25'!A:L,12,FALSE)</f>
        <v>5244.4800000000005</v>
      </c>
      <c r="P162" s="57">
        <v>6.07</v>
      </c>
      <c r="Q162" t="s">
        <v>46</v>
      </c>
      <c r="R162" s="25">
        <v>6</v>
      </c>
      <c r="T162" s="26">
        <v>6.0960000000000001</v>
      </c>
      <c r="U162" s="58">
        <f t="shared" si="24"/>
        <v>1.6000000000000014E-2</v>
      </c>
      <c r="V162" s="10">
        <f>IFERROR(VLOOKUP(C162,'[2]INDICATEURS ACHATS - Matières P'!$C$2:$G$209999,5,0),0)</f>
        <v>540</v>
      </c>
      <c r="W162" s="60">
        <f t="shared" si="29"/>
        <v>3291.84</v>
      </c>
      <c r="X162" s="28">
        <v>6.0699999999999994</v>
      </c>
      <c r="Y162" s="59">
        <v>383.14611986859342</v>
      </c>
      <c r="Z162" s="60">
        <f t="shared" si="30"/>
        <v>2325.6969476023619</v>
      </c>
      <c r="AA162" s="60">
        <f t="shared" si="27"/>
        <v>2298.8767192115606</v>
      </c>
      <c r="AB162" s="60">
        <f t="shared" si="28"/>
        <v>26.820228390801276</v>
      </c>
      <c r="AC162" s="60">
        <f t="shared" si="31"/>
        <v>5617.5369476023625</v>
      </c>
      <c r="AD162" s="61">
        <f>+VLOOKUP(C162,'[1]pic au 25-03'!C:R,16,FALSE)</f>
        <v>986.73411986859344</v>
      </c>
      <c r="AE162" s="31"/>
      <c r="AF162" s="62">
        <v>6641.1253968920437</v>
      </c>
      <c r="AG162" s="31"/>
      <c r="AH162" s="62">
        <v>6641.1253968920437</v>
      </c>
      <c r="AI162" s="31"/>
      <c r="AJ162" s="28">
        <f t="shared" si="32"/>
        <v>5603.4969476023616</v>
      </c>
      <c r="AK162" s="21">
        <f>+VLOOKUP(C162,'[1]stock au 25-03-25'!A:X,24,FALSE)</f>
        <v>63.588000000000001</v>
      </c>
      <c r="AL162" t="s">
        <v>45</v>
      </c>
      <c r="AM162" s="21">
        <f t="shared" si="25"/>
        <v>923.14611986859347</v>
      </c>
      <c r="AN162" t="s">
        <v>45</v>
      </c>
      <c r="AO162" s="63">
        <v>5334.4866123462871</v>
      </c>
      <c r="AP162" s="64">
        <f t="shared" si="26"/>
        <v>5538.8767192115611</v>
      </c>
      <c r="AQ162" t="s">
        <v>46</v>
      </c>
      <c r="AR162" s="36">
        <f>(AP162-AO162)/AO162</f>
        <v>3.8314859839038255E-2</v>
      </c>
      <c r="AS162" s="81"/>
      <c r="AT162" s="81">
        <f>(AO162-J162)/J162</f>
        <v>1.486325372430492E-2</v>
      </c>
      <c r="AU162" s="81"/>
      <c r="AV162" s="66">
        <f>(AP162-J162)/J162</f>
        <v>5.374759704654198E-2</v>
      </c>
      <c r="BB162" s="56">
        <f>+R162*F162</f>
        <v>5184</v>
      </c>
    </row>
    <row r="163" spans="1:54" ht="18.75" outlineLevel="1" x14ac:dyDescent="0.3">
      <c r="A163">
        <v>4</v>
      </c>
      <c r="B163" t="s">
        <v>156</v>
      </c>
      <c r="C163">
        <v>343915</v>
      </c>
      <c r="D163" t="s">
        <v>215</v>
      </c>
      <c r="E163" t="s">
        <v>158</v>
      </c>
      <c r="F163" s="21">
        <f>+VLOOKUP(C163,'[1]stock au 25-03-25'!A:D,4,FALSE)</f>
        <v>9876</v>
      </c>
      <c r="G163" t="s">
        <v>45</v>
      </c>
      <c r="H163" s="22">
        <f>+VLOOKUP(C163,'[1]stock au 25-03-25'!A:F,6,FALSE)</f>
        <v>2.5155589307411907</v>
      </c>
      <c r="I163" t="s">
        <v>46</v>
      </c>
      <c r="J163" s="56">
        <f>+VLOOKUP(C163,'[1]stock au 25-03-25'!A:H,8,FALSE)</f>
        <v>24843.66</v>
      </c>
      <c r="K163" t="s">
        <v>46</v>
      </c>
      <c r="L163" s="23">
        <v>2.58</v>
      </c>
      <c r="M163" t="s">
        <v>46</v>
      </c>
      <c r="N163" s="56">
        <f>+VLOOKUP(C163,'[1]stock au 25-03-25'!A:L,12,FALSE)</f>
        <v>25480.080000000002</v>
      </c>
      <c r="P163" s="57">
        <v>2.58</v>
      </c>
      <c r="Q163" t="s">
        <v>46</v>
      </c>
      <c r="R163" s="25">
        <v>2.5</v>
      </c>
      <c r="T163" s="26">
        <v>2.42</v>
      </c>
      <c r="U163" s="58">
        <f t="shared" si="24"/>
        <v>-3.2000000000000028E-2</v>
      </c>
      <c r="V163" s="10">
        <f>IFERROR(VLOOKUP(C163,'[2]INDICATEURS ACHATS - Matières P'!$C$2:$G$209999,5,0),0)</f>
        <v>1620</v>
      </c>
      <c r="W163" s="60">
        <f t="shared" si="29"/>
        <v>3920.4</v>
      </c>
      <c r="X163" s="28">
        <v>2.42</v>
      </c>
      <c r="Y163" s="59">
        <v>663.99359003445943</v>
      </c>
      <c r="Z163" s="60">
        <f t="shared" si="30"/>
        <v>1606.8644878833918</v>
      </c>
      <c r="AA163" s="60">
        <f t="shared" si="27"/>
        <v>1659.9839750861486</v>
      </c>
      <c r="AB163" s="60">
        <f t="shared" si="28"/>
        <v>-53.119487202756773</v>
      </c>
      <c r="AC163" s="60">
        <f t="shared" si="31"/>
        <v>5527.2644878833917</v>
      </c>
      <c r="AD163" s="61">
        <f>+VLOOKUP(C163,'[1]pic au 25-03'!C:R,16,FALSE)</f>
        <v>3688.7035900344595</v>
      </c>
      <c r="AE163" s="31"/>
      <c r="AF163" s="62">
        <v>9516.8552622889056</v>
      </c>
      <c r="AG163" s="31"/>
      <c r="AH163" s="62">
        <v>9516.8552622889056</v>
      </c>
      <c r="AI163" s="31"/>
      <c r="AJ163" s="28">
        <f t="shared" si="32"/>
        <v>5527.2644878833917</v>
      </c>
      <c r="AK163" s="21">
        <f>+VLOOKUP(C163,'[1]stock au 25-03-25'!A:X,24,FALSE)</f>
        <v>1404.71</v>
      </c>
      <c r="AL163" t="s">
        <v>45</v>
      </c>
      <c r="AM163" s="21">
        <f t="shared" si="25"/>
        <v>2283.9935900344594</v>
      </c>
      <c r="AN163" t="s">
        <v>45</v>
      </c>
      <c r="AO163" s="63">
        <v>4767.7478723770246</v>
      </c>
      <c r="AP163" s="64">
        <f t="shared" si="26"/>
        <v>5709.9839750861483</v>
      </c>
      <c r="AQ163" t="s">
        <v>46</v>
      </c>
      <c r="AR163" s="36">
        <f>(AP163-AO163)/AO163</f>
        <v>0.19762708262493742</v>
      </c>
      <c r="AS163" s="81"/>
      <c r="AT163" s="81">
        <f>(AO163-J163)/J163</f>
        <v>-0.80808995645661608</v>
      </c>
      <c r="AU163" s="81"/>
      <c r="AV163" s="66">
        <f>(AP163-J163)/J163</f>
        <v>-0.77016333442471252</v>
      </c>
      <c r="BB163" s="56">
        <f>+R163*F163</f>
        <v>24690</v>
      </c>
    </row>
    <row r="164" spans="1:54" ht="18.75" outlineLevel="1" x14ac:dyDescent="0.3">
      <c r="A164">
        <v>4</v>
      </c>
      <c r="B164" t="s">
        <v>156</v>
      </c>
      <c r="C164">
        <v>360403</v>
      </c>
      <c r="D164" t="s">
        <v>216</v>
      </c>
      <c r="E164" t="s">
        <v>158</v>
      </c>
      <c r="F164" s="21">
        <f>+VLOOKUP(C164,'[1]stock au 25-03-25'!A:D,4,FALSE)</f>
        <v>7200</v>
      </c>
      <c r="G164" t="s">
        <v>45</v>
      </c>
      <c r="H164" s="22">
        <f>+VLOOKUP(C164,'[1]stock au 25-03-25'!A:F,6,FALSE)</f>
        <v>0.81400000000000006</v>
      </c>
      <c r="I164" t="s">
        <v>46</v>
      </c>
      <c r="J164" s="56">
        <f>+VLOOKUP(C164,'[1]stock au 25-03-25'!A:H,8,FALSE)</f>
        <v>5860.8</v>
      </c>
      <c r="K164" t="s">
        <v>46</v>
      </c>
      <c r="L164" s="23">
        <v>6</v>
      </c>
      <c r="M164" t="s">
        <v>46</v>
      </c>
      <c r="N164" s="56">
        <f>+VLOOKUP(C164,'[1]stock au 25-03-25'!A:L,12,FALSE)</f>
        <v>43200</v>
      </c>
      <c r="P164" s="57">
        <v>0.83</v>
      </c>
      <c r="Q164" t="s">
        <v>46</v>
      </c>
      <c r="R164" s="25">
        <v>0.81</v>
      </c>
      <c r="T164" s="26">
        <v>0.82</v>
      </c>
      <c r="U164" s="58">
        <f t="shared" si="24"/>
        <v>1.2345679012345552E-2</v>
      </c>
      <c r="V164" s="10">
        <f>IFERROR(VLOOKUP(C164,'[2]INDICATEURS ACHATS - Matières P'!$C$2:$G$209999,5,0),0)</f>
        <v>1440</v>
      </c>
      <c r="W164" s="60">
        <f t="shared" si="29"/>
        <v>1180.8</v>
      </c>
      <c r="X164" s="28">
        <v>0.82</v>
      </c>
      <c r="Y164" s="59">
        <v>4402.2596190444192</v>
      </c>
      <c r="Z164" s="60">
        <f t="shared" si="30"/>
        <v>3609.8528876164237</v>
      </c>
      <c r="AA164" s="60">
        <f t="shared" si="27"/>
        <v>3565.8302914259798</v>
      </c>
      <c r="AB164" s="60">
        <f t="shared" si="28"/>
        <v>44.022596190443892</v>
      </c>
      <c r="AC164" s="60">
        <f t="shared" si="31"/>
        <v>4790.6528876164239</v>
      </c>
      <c r="AD164" s="61">
        <f>+VLOOKUP(C164,'[1]pic au 25-03'!C:R,16,FALSE)</f>
        <v>7029.8806190444193</v>
      </c>
      <c r="AE164" s="31"/>
      <c r="AF164" s="62">
        <v>5834.8009138068674</v>
      </c>
      <c r="AG164" s="31"/>
      <c r="AH164" s="62">
        <v>42179.283714266508</v>
      </c>
      <c r="AI164" s="31"/>
      <c r="AJ164" s="28">
        <f t="shared" si="32"/>
        <v>4790.6528876164239</v>
      </c>
      <c r="AK164" s="21">
        <f>+VLOOKUP(C164,'[1]stock au 25-03-25'!A:X,24,FALSE)</f>
        <v>1187.6210000000001</v>
      </c>
      <c r="AL164" t="s">
        <v>45</v>
      </c>
      <c r="AM164" s="21">
        <f t="shared" si="25"/>
        <v>5842.2596190444192</v>
      </c>
      <c r="AN164" t="s">
        <v>45</v>
      </c>
      <c r="AO164" s="63">
        <v>3674.0757879021567</v>
      </c>
      <c r="AP164" s="64">
        <f t="shared" si="26"/>
        <v>4732.2302914259799</v>
      </c>
      <c r="AQ164" t="s">
        <v>46</v>
      </c>
      <c r="AR164" s="36">
        <f>(AP164-AO164)/AO164</f>
        <v>0.28800562770318189</v>
      </c>
      <c r="AS164" s="81"/>
      <c r="AT164" s="81">
        <f>(AO164-J164)/J164</f>
        <v>-0.37311019179938631</v>
      </c>
      <c r="AU164" s="81"/>
      <c r="AV164" s="66">
        <f>(AP164-J164)/J164</f>
        <v>-0.19256239908784129</v>
      </c>
      <c r="BB164" s="56">
        <f>+R164*F164</f>
        <v>5832</v>
      </c>
    </row>
    <row r="165" spans="1:54" ht="18.75" outlineLevel="1" x14ac:dyDescent="0.3">
      <c r="A165">
        <v>4</v>
      </c>
      <c r="B165" t="s">
        <v>156</v>
      </c>
      <c r="C165">
        <v>340012</v>
      </c>
      <c r="D165" t="s">
        <v>217</v>
      </c>
      <c r="E165" t="s">
        <v>158</v>
      </c>
      <c r="F165" s="21">
        <f>+VLOOKUP(C165,'[1]stock au 25-03-25'!A:D,4,FALSE)</f>
        <v>6120</v>
      </c>
      <c r="G165" t="s">
        <v>45</v>
      </c>
      <c r="H165" s="22">
        <f>+VLOOKUP(C165,'[1]stock au 25-03-25'!A:F,6,FALSE)</f>
        <v>0.99117647058823533</v>
      </c>
      <c r="I165" t="s">
        <v>46</v>
      </c>
      <c r="J165" s="56">
        <f>+VLOOKUP(C165,'[1]stock au 25-03-25'!A:H,8,FALSE)</f>
        <v>6066</v>
      </c>
      <c r="K165" t="s">
        <v>46</v>
      </c>
      <c r="L165" s="23">
        <v>1.1599999999999999</v>
      </c>
      <c r="M165" t="s">
        <v>46</v>
      </c>
      <c r="N165" s="56">
        <f>+VLOOKUP(C165,'[1]stock au 25-03-25'!A:L,12,FALSE)</f>
        <v>7099.2</v>
      </c>
      <c r="P165" s="57">
        <v>1.1599999999999999</v>
      </c>
      <c r="Q165" t="s">
        <v>46</v>
      </c>
      <c r="R165" s="25">
        <f>H165*(1+VLOOKUP(A165,'[1]Variation MP'!$B$3:$D$22,3))</f>
        <v>0.99117647058823533</v>
      </c>
      <c r="T165" s="26">
        <v>1.1000000000000001</v>
      </c>
      <c r="U165" s="58">
        <f t="shared" si="24"/>
        <v>0.1097922848664689</v>
      </c>
      <c r="V165" s="10">
        <f>IFERROR(VLOOKUP(C165,'[2]INDICATEURS ACHATS - Matières P'!$C$2:$G$209999,5,0),0)</f>
        <v>2160</v>
      </c>
      <c r="W165" s="60">
        <f t="shared" si="29"/>
        <v>2376</v>
      </c>
      <c r="X165" s="28">
        <v>1.1000000000000001</v>
      </c>
      <c r="Y165" s="59">
        <v>2766.2444605611186</v>
      </c>
      <c r="Z165" s="60">
        <f t="shared" si="30"/>
        <v>3042.8689066172306</v>
      </c>
      <c r="AA165" s="60">
        <f t="shared" si="27"/>
        <v>2741.8364212032266</v>
      </c>
      <c r="AB165" s="60">
        <f t="shared" si="28"/>
        <v>301.03248541400399</v>
      </c>
      <c r="AC165" s="60">
        <f t="shared" si="31"/>
        <v>5418.8689066172301</v>
      </c>
      <c r="AD165" s="61">
        <f>+VLOOKUP(C165,'[1]pic au 25-03'!C:R,16,FALSE)</f>
        <v>5700.7554605611185</v>
      </c>
      <c r="AE165" s="31"/>
      <c r="AF165" s="62">
        <v>6612.8763342508973</v>
      </c>
      <c r="AG165" s="31"/>
      <c r="AH165" s="62">
        <v>6612.8763342508973</v>
      </c>
      <c r="AI165" s="31"/>
      <c r="AJ165" s="28">
        <f t="shared" si="32"/>
        <v>5418.8689066172301</v>
      </c>
      <c r="AK165" s="21">
        <f>+VLOOKUP(C165,'[1]stock au 25-03-25'!A:X,24,FALSE)</f>
        <v>774.51099999999997</v>
      </c>
      <c r="AL165" t="s">
        <v>45</v>
      </c>
      <c r="AM165" s="21">
        <f t="shared" si="25"/>
        <v>4926.2444605611181</v>
      </c>
      <c r="AN165" t="s">
        <v>45</v>
      </c>
      <c r="AO165" s="63">
        <v>4410.2510653208737</v>
      </c>
      <c r="AP165" s="64">
        <f t="shared" si="26"/>
        <v>4882.7775976738139</v>
      </c>
      <c r="AQ165" t="s">
        <v>46</v>
      </c>
      <c r="AR165" s="36">
        <f>(AP165-AO165)/AO165</f>
        <v>0.10714277381361755</v>
      </c>
      <c r="AS165" s="81"/>
      <c r="AT165" s="81">
        <f>(AO165-J165)/J165</f>
        <v>-0.27295564369916359</v>
      </c>
      <c r="AU165" s="81"/>
      <c r="AV165" s="66">
        <f>(AP165-J165)/J165</f>
        <v>-0.1950580946795559</v>
      </c>
      <c r="BB165" s="56">
        <f>+R165*F165</f>
        <v>6066</v>
      </c>
    </row>
    <row r="166" spans="1:54" ht="18.75" outlineLevel="1" x14ac:dyDescent="0.3">
      <c r="A166">
        <v>4</v>
      </c>
      <c r="B166" t="s">
        <v>156</v>
      </c>
      <c r="C166">
        <v>340390</v>
      </c>
      <c r="D166" t="s">
        <v>218</v>
      </c>
      <c r="E166" t="s">
        <v>158</v>
      </c>
      <c r="F166" s="21">
        <f>+VLOOKUP(C166,'[1]stock au 25-03-25'!A:D,4,FALSE)</f>
        <v>4800</v>
      </c>
      <c r="G166" t="s">
        <v>45</v>
      </c>
      <c r="H166" s="22">
        <f>+VLOOKUP(C166,'[1]stock au 25-03-25'!A:F,6,FALSE)</f>
        <v>0.94612499999999988</v>
      </c>
      <c r="I166" t="s">
        <v>46</v>
      </c>
      <c r="J166" s="56">
        <f>+VLOOKUP(C166,'[1]stock au 25-03-25'!A:H,8,FALSE)</f>
        <v>4541.3999999999996</v>
      </c>
      <c r="K166" t="s">
        <v>46</v>
      </c>
      <c r="L166" s="23">
        <v>0.91</v>
      </c>
      <c r="M166" t="s">
        <v>46</v>
      </c>
      <c r="N166" s="56">
        <f>+VLOOKUP(C166,'[1]stock au 25-03-25'!A:L,12,FALSE)</f>
        <v>4368</v>
      </c>
      <c r="P166" s="57">
        <v>0.91</v>
      </c>
      <c r="Q166" t="s">
        <v>46</v>
      </c>
      <c r="R166" s="25">
        <v>0.95</v>
      </c>
      <c r="T166" s="26">
        <v>0.97039999999999993</v>
      </c>
      <c r="U166" s="58">
        <f t="shared" si="24"/>
        <v>2.1473684210526291E-2</v>
      </c>
      <c r="V166" s="10">
        <f>IFERROR(VLOOKUP(C166,'[2]INDICATEURS ACHATS - Matières P'!$C$2:$G$209999,5,0),0)</f>
        <v>3000</v>
      </c>
      <c r="W166" s="60">
        <f t="shared" si="29"/>
        <v>2911.2</v>
      </c>
      <c r="X166" s="28">
        <v>1.0475000000000001</v>
      </c>
      <c r="Y166" s="59">
        <v>1159.859908521739</v>
      </c>
      <c r="Z166" s="60">
        <f t="shared" si="30"/>
        <v>1214.9532541765218</v>
      </c>
      <c r="AA166" s="60">
        <f t="shared" si="27"/>
        <v>1101.8669130956521</v>
      </c>
      <c r="AB166" s="60">
        <f t="shared" si="28"/>
        <v>113.08634108086972</v>
      </c>
      <c r="AC166" s="60">
        <f t="shared" si="31"/>
        <v>4126.1532541765218</v>
      </c>
      <c r="AD166" s="61">
        <f>+VLOOKUP(C166,'[1]pic au 25-03'!C:R,16,FALSE)</f>
        <v>4556.1849085217391</v>
      </c>
      <c r="AE166" s="31"/>
      <c r="AF166" s="62">
        <v>4146.128266754783</v>
      </c>
      <c r="AG166" s="31"/>
      <c r="AH166" s="62">
        <v>4146.128266754783</v>
      </c>
      <c r="AI166" s="31"/>
      <c r="AJ166" s="28">
        <f t="shared" si="32"/>
        <v>4357.453254176522</v>
      </c>
      <c r="AK166" s="21">
        <f>+VLOOKUP(C166,'[1]stock au 25-03-25'!A:X,24,FALSE)</f>
        <v>396.32499999999999</v>
      </c>
      <c r="AL166" t="s">
        <v>45</v>
      </c>
      <c r="AM166" s="21">
        <f t="shared" si="25"/>
        <v>4159.8599085217393</v>
      </c>
      <c r="AN166" t="s">
        <v>45</v>
      </c>
      <c r="AO166" s="63">
        <v>3592.4223465751302</v>
      </c>
      <c r="AP166" s="64">
        <f t="shared" si="26"/>
        <v>3951.8669130956523</v>
      </c>
      <c r="AQ166" t="s">
        <v>46</v>
      </c>
      <c r="AR166" s="36">
        <f>(AP166-AO166)/AO166</f>
        <v>0.10005632184734682</v>
      </c>
      <c r="AS166" s="81"/>
      <c r="AT166" s="81">
        <f>(AO166-J166)/J166</f>
        <v>-0.20896147739130433</v>
      </c>
      <c r="AU166" s="81"/>
      <c r="AV166" s="66">
        <f>(AP166-J166)/J166</f>
        <v>-0.12981307237951895</v>
      </c>
      <c r="BB166" s="56">
        <f>+R166*F166</f>
        <v>4560</v>
      </c>
    </row>
    <row r="167" spans="1:54" ht="18.75" outlineLevel="1" x14ac:dyDescent="0.3">
      <c r="A167">
        <v>4</v>
      </c>
      <c r="B167" t="s">
        <v>156</v>
      </c>
      <c r="C167">
        <v>338323</v>
      </c>
      <c r="D167" t="s">
        <v>219</v>
      </c>
      <c r="E167" t="s">
        <v>158</v>
      </c>
      <c r="F167" s="21">
        <f>+VLOOKUP(C167,'[1]stock au 25-03-25'!A:D,4,FALSE)</f>
        <v>2740</v>
      </c>
      <c r="G167" t="s">
        <v>45</v>
      </c>
      <c r="H167" s="22">
        <f>+VLOOKUP(C167,'[1]stock au 25-03-25'!A:F,6,FALSE)</f>
        <v>1.1361313868613139</v>
      </c>
      <c r="I167" t="s">
        <v>46</v>
      </c>
      <c r="J167" s="56">
        <f>+VLOOKUP(C167,'[1]stock au 25-03-25'!A:H,8,FALSE)</f>
        <v>3113</v>
      </c>
      <c r="K167" t="s">
        <v>46</v>
      </c>
      <c r="L167" s="23">
        <v>1.05</v>
      </c>
      <c r="M167" t="s">
        <v>46</v>
      </c>
      <c r="N167" s="56">
        <f>+VLOOKUP(C167,'[1]stock au 25-03-25'!A:L,12,FALSE)</f>
        <v>2877</v>
      </c>
      <c r="P167" s="57">
        <v>1.05</v>
      </c>
      <c r="Q167" t="s">
        <v>46</v>
      </c>
      <c r="R167" s="25">
        <v>1.1399999999999999</v>
      </c>
      <c r="T167" s="26" t="s">
        <v>53</v>
      </c>
      <c r="U167" s="58" t="str">
        <f t="shared" si="24"/>
        <v/>
      </c>
      <c r="V167" s="10">
        <f>IFERROR(VLOOKUP(C167,'[2]INDICATEURS ACHATS - Matières P'!$C$2:$G$209999,5,0),0)</f>
        <v>0</v>
      </c>
      <c r="W167" s="60">
        <f t="shared" si="29"/>
        <v>0</v>
      </c>
      <c r="X167" s="28">
        <v>1.27</v>
      </c>
      <c r="Y167" s="59">
        <v>2825.8807815575205</v>
      </c>
      <c r="Z167" s="60">
        <f t="shared" si="30"/>
        <v>3588.868592578051</v>
      </c>
      <c r="AA167" s="60">
        <f t="shared" si="27"/>
        <v>3221.504090975573</v>
      </c>
      <c r="AB167" s="60">
        <f t="shared" si="28"/>
        <v>367.36450160247796</v>
      </c>
      <c r="AC167" s="60">
        <f t="shared" si="31"/>
        <v>3588.868592578051</v>
      </c>
      <c r="AD167" s="61">
        <f>+VLOOKUP(C167,'[1]pic au 25-03'!C:R,16,FALSE)</f>
        <v>2911.2407815575207</v>
      </c>
      <c r="AE167" s="31"/>
      <c r="AF167" s="62">
        <v>3056.8028206353965</v>
      </c>
      <c r="AG167" s="31"/>
      <c r="AH167" s="62">
        <v>3056.8028206353965</v>
      </c>
      <c r="AI167" s="31"/>
      <c r="AJ167" s="28">
        <f t="shared" si="32"/>
        <v>3588.868592578051</v>
      </c>
      <c r="AK167" s="21">
        <f>+VLOOKUP(C167,'[1]stock au 25-03-25'!A:X,24,FALSE)</f>
        <v>85.36</v>
      </c>
      <c r="AL167" t="s">
        <v>45</v>
      </c>
      <c r="AM167" s="21">
        <f t="shared" si="25"/>
        <v>2825.8807815575205</v>
      </c>
      <c r="AN167" t="s">
        <v>45</v>
      </c>
      <c r="AO167" s="63">
        <v>3210.5718514556788</v>
      </c>
      <c r="AP167" s="64">
        <f t="shared" si="26"/>
        <v>3221.504090975573</v>
      </c>
      <c r="AQ167" t="s">
        <v>46</v>
      </c>
      <c r="AR167" s="36">
        <f>(AP167-AO167)/AO167</f>
        <v>3.4050754898811916E-3</v>
      </c>
      <c r="AS167" s="81"/>
      <c r="AT167" s="81">
        <f>(AO167-J167)/J167</f>
        <v>3.1343350933401487E-2</v>
      </c>
      <c r="AU167" s="81"/>
      <c r="AV167" s="66">
        <f>(AP167-J167)/J167</f>
        <v>3.4855152899316746E-2</v>
      </c>
      <c r="BB167" s="56">
        <f>+R167*F167</f>
        <v>3123.6</v>
      </c>
    </row>
    <row r="168" spans="1:54" ht="18.75" outlineLevel="1" x14ac:dyDescent="0.3">
      <c r="A168">
        <v>4</v>
      </c>
      <c r="B168" t="s">
        <v>156</v>
      </c>
      <c r="C168">
        <v>338471</v>
      </c>
      <c r="D168" t="s">
        <v>220</v>
      </c>
      <c r="E168" t="s">
        <v>62</v>
      </c>
      <c r="F168" s="21">
        <f>+VLOOKUP(C168,'[1]stock au 25-03-25'!A:D,4,FALSE)</f>
        <v>800</v>
      </c>
      <c r="G168" t="s">
        <v>45</v>
      </c>
      <c r="H168" s="22">
        <f>+VLOOKUP(C168,'[1]stock au 25-03-25'!A:F,6,FALSE)</f>
        <v>4.256875</v>
      </c>
      <c r="I168" t="s">
        <v>46</v>
      </c>
      <c r="J168" s="56">
        <f>+VLOOKUP(C168,'[1]stock au 25-03-25'!A:H,8,FALSE)</f>
        <v>3405.5</v>
      </c>
      <c r="K168" t="s">
        <v>46</v>
      </c>
      <c r="L168" s="23">
        <v>4.33</v>
      </c>
      <c r="M168" t="s">
        <v>46</v>
      </c>
      <c r="N168" s="56">
        <f>+VLOOKUP(C168,'[1]stock au 25-03-25'!A:L,12,FALSE)</f>
        <v>3464</v>
      </c>
      <c r="P168" s="57">
        <v>4.33</v>
      </c>
      <c r="Q168" t="s">
        <v>46</v>
      </c>
      <c r="R168" s="25">
        <v>4.17</v>
      </c>
      <c r="T168" s="26">
        <v>3.8573333333333335</v>
      </c>
      <c r="U168" s="58">
        <f t="shared" si="24"/>
        <v>-7.4980015987210172E-2</v>
      </c>
      <c r="V168" s="10">
        <f>IFERROR(VLOOKUP(C168,'[2]INDICATEURS ACHATS - Matières P'!$C$2:$G$209999,5,0),0)</f>
        <v>750</v>
      </c>
      <c r="W168" s="60">
        <f t="shared" si="29"/>
        <v>2893</v>
      </c>
      <c r="X168" s="28">
        <v>3.22</v>
      </c>
      <c r="Y168" s="59">
        <v>181.59491178232329</v>
      </c>
      <c r="Z168" s="60">
        <f t="shared" si="30"/>
        <v>584.73561593908107</v>
      </c>
      <c r="AA168" s="60">
        <f t="shared" si="27"/>
        <v>757.25078213228812</v>
      </c>
      <c r="AB168" s="60">
        <f t="shared" si="28"/>
        <v>-172.51516619320705</v>
      </c>
      <c r="AC168" s="60">
        <f t="shared" si="31"/>
        <v>3477.7356159390811</v>
      </c>
      <c r="AD168" s="61">
        <f>+VLOOKUP(C168,'[1]pic au 25-03'!C:R,16,FALSE)</f>
        <v>991.66591178232329</v>
      </c>
      <c r="AE168" s="31"/>
      <c r="AF168" s="62">
        <v>4293.9133980174602</v>
      </c>
      <c r="AG168" s="31"/>
      <c r="AH168" s="62">
        <v>4293.9133980174602</v>
      </c>
      <c r="AI168" s="31"/>
      <c r="AJ168" s="28">
        <f t="shared" si="32"/>
        <v>2999.7356159390811</v>
      </c>
      <c r="AK168" s="21">
        <f>+VLOOKUP(C168,'[1]stock au 25-03-25'!A:X,24,FALSE)</f>
        <v>60.070999999999998</v>
      </c>
      <c r="AL168" t="s">
        <v>45</v>
      </c>
      <c r="AM168" s="21">
        <f t="shared" si="25"/>
        <v>931.59491178232327</v>
      </c>
      <c r="AN168" t="s">
        <v>45</v>
      </c>
      <c r="AO168" s="63">
        <v>3773.0169275933777</v>
      </c>
      <c r="AP168" s="64">
        <f t="shared" si="26"/>
        <v>3884.7507821322879</v>
      </c>
      <c r="AQ168" t="s">
        <v>46</v>
      </c>
      <c r="AR168" s="36">
        <f>(AP168-AO168)/AO168</f>
        <v>2.9613928769246147E-2</v>
      </c>
      <c r="AS168" s="81"/>
      <c r="AT168" s="81">
        <f>(AO168-J168)/J168</f>
        <v>0.10791863972790418</v>
      </c>
      <c r="AU168" s="81"/>
      <c r="AV168" s="66">
        <f>(AP168-J168)/J168</f>
        <v>0.14072846340692641</v>
      </c>
      <c r="BB168" s="56">
        <f>+R168*F168</f>
        <v>3336</v>
      </c>
    </row>
    <row r="169" spans="1:54" ht="18.75" outlineLevel="1" x14ac:dyDescent="0.3">
      <c r="A169">
        <v>4</v>
      </c>
      <c r="B169" t="s">
        <v>156</v>
      </c>
      <c r="C169">
        <v>347199</v>
      </c>
      <c r="D169" t="s">
        <v>221</v>
      </c>
      <c r="E169" t="s">
        <v>158</v>
      </c>
      <c r="F169" s="21">
        <f>+VLOOKUP(C169,'[1]stock au 25-03-25'!A:D,4,FALSE)</f>
        <v>490</v>
      </c>
      <c r="G169" t="s">
        <v>45</v>
      </c>
      <c r="H169" s="22">
        <f>+VLOOKUP(C169,'[1]stock au 25-03-25'!A:F,6,FALSE)</f>
        <v>9.6277551020408172</v>
      </c>
      <c r="I169" t="s">
        <v>46</v>
      </c>
      <c r="J169" s="56">
        <f>+VLOOKUP(C169,'[1]stock au 25-03-25'!A:H,8,FALSE)</f>
        <v>4717.6000000000004</v>
      </c>
      <c r="K169" t="s">
        <v>46</v>
      </c>
      <c r="L169" s="23">
        <v>9.51</v>
      </c>
      <c r="M169" t="s">
        <v>46</v>
      </c>
      <c r="N169" s="56">
        <f>+VLOOKUP(C169,'[1]stock au 25-03-25'!A:L,12,FALSE)</f>
        <v>4659.8999999999996</v>
      </c>
      <c r="P169" s="57">
        <v>9.42</v>
      </c>
      <c r="Q169" t="s">
        <v>46</v>
      </c>
      <c r="R169" s="25">
        <f>H169*(1+VLOOKUP(A169,'[1]Variation MP'!$B$3:$D$22,3))</f>
        <v>9.6277551020408172</v>
      </c>
      <c r="T169" s="26">
        <v>9.7513636363636369</v>
      </c>
      <c r="U169" s="58">
        <f t="shared" si="24"/>
        <v>1.2838770098817546E-2</v>
      </c>
      <c r="V169" s="10">
        <f>IFERROR(VLOOKUP(C169,'[2]INDICATEURS ACHATS - Matières P'!$C$2:$G$209999,5,0),0)</f>
        <v>220</v>
      </c>
      <c r="W169" s="60">
        <f t="shared" si="29"/>
        <v>2145.3000000000002</v>
      </c>
      <c r="X169" s="28">
        <v>9.7650000000000006</v>
      </c>
      <c r="Y169" s="59">
        <v>151.25824782125608</v>
      </c>
      <c r="Z169" s="60">
        <f t="shared" si="30"/>
        <v>1477.0367899745656</v>
      </c>
      <c r="AA169" s="60">
        <f t="shared" si="27"/>
        <v>1456.2773671868524</v>
      </c>
      <c r="AB169" s="60">
        <f t="shared" si="28"/>
        <v>20.75942278771322</v>
      </c>
      <c r="AC169" s="60">
        <f t="shared" si="31"/>
        <v>3622.3367899745658</v>
      </c>
      <c r="AD169" s="61">
        <f>+VLOOKUP(C169,'[1]pic au 25-03'!C:R,16,FALSE)</f>
        <v>410.83824782125606</v>
      </c>
      <c r="AE169" s="31"/>
      <c r="AF169" s="62">
        <v>3870.0962944762323</v>
      </c>
      <c r="AG169" s="31"/>
      <c r="AH169" s="62">
        <v>3907.0717367801449</v>
      </c>
      <c r="AI169" s="31"/>
      <c r="AJ169" s="28">
        <f t="shared" si="32"/>
        <v>3625.3367899745658</v>
      </c>
      <c r="AK169" s="21">
        <f>+VLOOKUP(C169,'[1]stock au 25-03-25'!A:X,24,FALSE)</f>
        <v>39.58</v>
      </c>
      <c r="AL169" t="s">
        <v>45</v>
      </c>
      <c r="AM169" s="21">
        <f t="shared" si="25"/>
        <v>371.25824782125608</v>
      </c>
      <c r="AN169" t="s">
        <v>45</v>
      </c>
      <c r="AO169" s="63">
        <v>3527.4117606699706</v>
      </c>
      <c r="AP169" s="64">
        <f t="shared" si="26"/>
        <v>3574.3834896358321</v>
      </c>
      <c r="AQ169" t="s">
        <v>46</v>
      </c>
      <c r="AR169" s="36">
        <f>(AP169-AO169)/AO169</f>
        <v>1.3316202403583319E-2</v>
      </c>
      <c r="AS169" s="81"/>
      <c r="AT169" s="81">
        <f>(AO169-J169)/J169</f>
        <v>-0.25228680670892606</v>
      </c>
      <c r="AU169" s="81"/>
      <c r="AV169" s="66">
        <f>(AP169-J169)/J169</f>
        <v>-0.24233010648723252</v>
      </c>
      <c r="BB169" s="56">
        <f>+R169*F169</f>
        <v>4717.6000000000004</v>
      </c>
    </row>
    <row r="170" spans="1:54" ht="18.75" outlineLevel="1" x14ac:dyDescent="0.3">
      <c r="A170">
        <v>4</v>
      </c>
      <c r="B170" t="s">
        <v>156</v>
      </c>
      <c r="C170">
        <v>338252</v>
      </c>
      <c r="D170" t="s">
        <v>222</v>
      </c>
      <c r="E170" t="s">
        <v>62</v>
      </c>
      <c r="F170" s="21">
        <f>+VLOOKUP(C170,'[1]stock au 25-03-25'!A:D,4,FALSE)</f>
        <v>1188</v>
      </c>
      <c r="G170" t="s">
        <v>45</v>
      </c>
      <c r="H170" s="22">
        <f>+VLOOKUP(C170,'[1]stock au 25-03-25'!A:F,6,FALSE)</f>
        <v>3.1354545454545457</v>
      </c>
      <c r="I170" t="s">
        <v>46</v>
      </c>
      <c r="J170" s="56">
        <f>+VLOOKUP(C170,'[1]stock au 25-03-25'!A:H,8,FALSE)</f>
        <v>3724.92</v>
      </c>
      <c r="K170" t="s">
        <v>46</v>
      </c>
      <c r="L170" s="23">
        <v>3.2</v>
      </c>
      <c r="M170" t="s">
        <v>46</v>
      </c>
      <c r="N170" s="56">
        <f>+VLOOKUP(C170,'[1]stock au 25-03-25'!A:L,12,FALSE)</f>
        <v>3801.6000000000004</v>
      </c>
      <c r="P170" s="57">
        <v>2.9</v>
      </c>
      <c r="Q170" t="s">
        <v>46</v>
      </c>
      <c r="R170" s="25">
        <v>3</v>
      </c>
      <c r="T170" s="26">
        <v>3.0942857142857148</v>
      </c>
      <c r="U170" s="58">
        <f t="shared" si="24"/>
        <v>3.1428571428571583E-2</v>
      </c>
      <c r="V170" s="10">
        <f>IFERROR(VLOOKUP(C170,'[2]INDICATEURS ACHATS - Matières P'!$C$2:$G$209999,5,0),0)</f>
        <v>756</v>
      </c>
      <c r="W170" s="60">
        <f t="shared" si="29"/>
        <v>2339.2800000000002</v>
      </c>
      <c r="X170" s="28">
        <v>3.14</v>
      </c>
      <c r="Y170" s="59">
        <v>394.34839992439686</v>
      </c>
      <c r="Z170" s="60">
        <f t="shared" si="30"/>
        <v>1238.2539757626062</v>
      </c>
      <c r="AA170" s="60">
        <f t="shared" si="27"/>
        <v>1183.0451997731907</v>
      </c>
      <c r="AB170" s="60">
        <f t="shared" si="28"/>
        <v>55.208775989415471</v>
      </c>
      <c r="AC170" s="60">
        <f t="shared" si="31"/>
        <v>3577.5339757626061</v>
      </c>
      <c r="AD170" s="61">
        <f>+VLOOKUP(C170,'[1]pic au 25-03'!C:R,16,FALSE)</f>
        <v>1291.2583999243968</v>
      </c>
      <c r="AE170" s="31"/>
      <c r="AF170" s="62">
        <v>3744.6493597807498</v>
      </c>
      <c r="AG170" s="31"/>
      <c r="AH170" s="62">
        <v>4132.0268797580693</v>
      </c>
      <c r="AI170" s="31"/>
      <c r="AJ170" s="28">
        <f t="shared" si="32"/>
        <v>3612.0939757626061</v>
      </c>
      <c r="AK170" s="21">
        <f>+VLOOKUP(C170,'[1]stock au 25-03-25'!A:X,24,FALSE)</f>
        <v>140.91</v>
      </c>
      <c r="AL170" t="s">
        <v>45</v>
      </c>
      <c r="AM170" s="21">
        <f t="shared" si="25"/>
        <v>1150.3483999243967</v>
      </c>
      <c r="AN170" t="s">
        <v>45</v>
      </c>
      <c r="AO170" s="63">
        <v>3647.2100937629834</v>
      </c>
      <c r="AP170" s="64">
        <f t="shared" si="26"/>
        <v>3451.0451997731902</v>
      </c>
      <c r="AQ170" t="s">
        <v>46</v>
      </c>
      <c r="AR170" s="36">
        <f>(AP170-AO170)/AO170</f>
        <v>-5.3784917497692444E-2</v>
      </c>
      <c r="AS170" s="81"/>
      <c r="AT170" s="81">
        <f>(AO170-J170)/J170</f>
        <v>-2.0862167841729926E-2</v>
      </c>
      <c r="AU170" s="81"/>
      <c r="AV170" s="66">
        <f>(AP170-J170)/J170</f>
        <v>-7.3525015363231916E-2</v>
      </c>
      <c r="BB170" s="56">
        <f>+R170*F170</f>
        <v>3564</v>
      </c>
    </row>
    <row r="171" spans="1:54" ht="18.75" outlineLevel="1" x14ac:dyDescent="0.3">
      <c r="A171">
        <v>4</v>
      </c>
      <c r="B171" t="s">
        <v>156</v>
      </c>
      <c r="C171">
        <v>338273</v>
      </c>
      <c r="D171" t="s">
        <v>223</v>
      </c>
      <c r="E171" t="s">
        <v>62</v>
      </c>
      <c r="F171" s="21">
        <f>+VLOOKUP(C171,'[1]stock au 25-03-25'!A:D,4,FALSE)</f>
        <v>1083.25</v>
      </c>
      <c r="G171" t="s">
        <v>45</v>
      </c>
      <c r="H171" s="22">
        <f>+VLOOKUP(C171,'[1]stock au 25-03-25'!A:F,6,FALSE)</f>
        <v>3.1440018462958688</v>
      </c>
      <c r="I171" t="s">
        <v>46</v>
      </c>
      <c r="J171" s="56">
        <f>+VLOOKUP(C171,'[1]stock au 25-03-25'!A:H,8,FALSE)</f>
        <v>3405.74</v>
      </c>
      <c r="K171" t="s">
        <v>46</v>
      </c>
      <c r="L171" s="23">
        <v>3.13</v>
      </c>
      <c r="M171" t="s">
        <v>46</v>
      </c>
      <c r="N171" s="56">
        <f>+VLOOKUP(C171,'[1]stock au 25-03-25'!A:L,12,FALSE)</f>
        <v>3390.5724999999998</v>
      </c>
      <c r="P171" s="57">
        <v>3.13</v>
      </c>
      <c r="Q171" t="s">
        <v>46</v>
      </c>
      <c r="R171" s="25">
        <v>3.09</v>
      </c>
      <c r="T171" s="26">
        <v>3.1883333333333335</v>
      </c>
      <c r="U171" s="58">
        <f t="shared" ref="U171:U200" si="33">IFERROR((T171-R171)/R171,"")</f>
        <v>3.1823085221143563E-2</v>
      </c>
      <c r="V171" s="10">
        <f>IFERROR(VLOOKUP(C171,'[2]INDICATEURS ACHATS - Matières P'!$C$2:$G$209999,5,0),0)</f>
        <v>648</v>
      </c>
      <c r="W171" s="60">
        <f t="shared" si="29"/>
        <v>2066.04</v>
      </c>
      <c r="X171" s="28">
        <v>3.0900000000000003</v>
      </c>
      <c r="Y171" s="59">
        <v>395.39465948189786</v>
      </c>
      <c r="Z171" s="60">
        <f t="shared" si="30"/>
        <v>1221.7694977990645</v>
      </c>
      <c r="AA171" s="60">
        <f t="shared" si="27"/>
        <v>1221.7694977990643</v>
      </c>
      <c r="AB171" s="60">
        <f t="shared" si="28"/>
        <v>0</v>
      </c>
      <c r="AC171" s="60">
        <f t="shared" si="31"/>
        <v>3287.8094977990645</v>
      </c>
      <c r="AD171" s="61">
        <f>+VLOOKUP(C171,'[1]pic au 25-03'!C:R,16,FALSE)</f>
        <v>1216.4046594818979</v>
      </c>
      <c r="AE171" s="31"/>
      <c r="AF171" s="62">
        <v>3807.3465841783409</v>
      </c>
      <c r="AG171" s="31"/>
      <c r="AH171" s="62">
        <v>3807.3465841783409</v>
      </c>
      <c r="AI171" s="31"/>
      <c r="AJ171" s="28">
        <f t="shared" si="32"/>
        <v>3224.0894977990647</v>
      </c>
      <c r="AK171" s="21">
        <f>+VLOOKUP(C171,'[1]stock au 25-03-25'!A:X,24,FALSE)</f>
        <v>173.01</v>
      </c>
      <c r="AL171" t="s">
        <v>45</v>
      </c>
      <c r="AM171" s="21">
        <f t="shared" ref="AM171:AM200" si="34">IF(AD171-AK171&lt;0,0,AD171-AK171)</f>
        <v>1043.3946594818979</v>
      </c>
      <c r="AN171" t="s">
        <v>45</v>
      </c>
      <c r="AO171" s="63">
        <v>3371.5190614408762</v>
      </c>
      <c r="AP171" s="64">
        <f t="shared" ref="AP171:AP200" si="35">IF(AM171&lt;0,0,AM171*R171)</f>
        <v>3224.0894977990642</v>
      </c>
      <c r="AQ171" t="s">
        <v>46</v>
      </c>
      <c r="AR171" s="36">
        <f>(AP171-AO171)/AO171</f>
        <v>-4.3727934190828918E-2</v>
      </c>
      <c r="AS171" s="81"/>
      <c r="AT171" s="81">
        <f>(AO171-J171)/J171</f>
        <v>-1.0048018509670036E-2</v>
      </c>
      <c r="AU171" s="81"/>
      <c r="AV171" s="66">
        <f>(AP171-J171)/J171</f>
        <v>-5.3336573608359868E-2</v>
      </c>
      <c r="BB171" s="56">
        <f>+R171*F171</f>
        <v>3347.2424999999998</v>
      </c>
    </row>
    <row r="172" spans="1:54" ht="18.75" outlineLevel="1" x14ac:dyDescent="0.3">
      <c r="A172">
        <v>4</v>
      </c>
      <c r="B172" t="s">
        <v>156</v>
      </c>
      <c r="C172">
        <v>338281</v>
      </c>
      <c r="D172" t="s">
        <v>224</v>
      </c>
      <c r="E172" t="s">
        <v>158</v>
      </c>
      <c r="F172" s="21">
        <f>+VLOOKUP(C172,'[1]stock au 25-03-25'!A:D,4,FALSE)</f>
        <v>7920</v>
      </c>
      <c r="G172" t="s">
        <v>45</v>
      </c>
      <c r="H172" s="22">
        <f>+VLOOKUP(C172,'[1]stock au 25-03-25'!A:F,6,FALSE)</f>
        <v>0.87909090909090903</v>
      </c>
      <c r="I172" t="s">
        <v>46</v>
      </c>
      <c r="J172" s="56">
        <f>+VLOOKUP(C172,'[1]stock au 25-03-25'!A:H,8,FALSE)</f>
        <v>6962.4</v>
      </c>
      <c r="K172" t="s">
        <v>46</v>
      </c>
      <c r="L172" s="23">
        <v>1.08</v>
      </c>
      <c r="M172" t="s">
        <v>46</v>
      </c>
      <c r="N172" s="56">
        <f>+VLOOKUP(C172,'[1]stock au 25-03-25'!A:L,12,FALSE)</f>
        <v>8553.6</v>
      </c>
      <c r="P172" s="57">
        <v>0.94</v>
      </c>
      <c r="Q172" t="s">
        <v>46</v>
      </c>
      <c r="R172" s="25">
        <v>0.88</v>
      </c>
      <c r="T172" s="26">
        <v>0.91857142857142859</v>
      </c>
      <c r="U172" s="58">
        <f t="shared" si="33"/>
        <v>4.3831168831168853E-2</v>
      </c>
      <c r="V172" s="10">
        <f>IFERROR(VLOOKUP(C172,'[2]INDICATEURS ACHATS - Matières P'!$C$2:$G$209999,5,0),0)</f>
        <v>5040</v>
      </c>
      <c r="W172" s="60">
        <f t="shared" si="29"/>
        <v>4629.6000000000004</v>
      </c>
      <c r="X172" s="28">
        <v>0.83000000000000007</v>
      </c>
      <c r="Y172" s="59">
        <v>-1587.2196450369556</v>
      </c>
      <c r="Z172" s="60">
        <f t="shared" si="30"/>
        <v>-1317.3923053806732</v>
      </c>
      <c r="AA172" s="60">
        <f t="shared" si="27"/>
        <v>-1396.7532876325211</v>
      </c>
      <c r="AB172" s="60">
        <f t="shared" si="28"/>
        <v>79.360982251847872</v>
      </c>
      <c r="AC172" s="60">
        <f t="shared" si="31"/>
        <v>3312.2076946193274</v>
      </c>
      <c r="AD172" s="61">
        <f>+VLOOKUP(C172,'[1]pic au 25-03'!C:R,16,FALSE)</f>
        <v>5937.2393549630442</v>
      </c>
      <c r="AE172" s="31"/>
      <c r="AF172" s="62">
        <v>5581.0049936652604</v>
      </c>
      <c r="AG172" s="31"/>
      <c r="AH172" s="62">
        <v>6412.2185033600872</v>
      </c>
      <c r="AI172" s="31"/>
      <c r="AJ172" s="28">
        <f t="shared" si="32"/>
        <v>2865.8076946193269</v>
      </c>
      <c r="AK172" s="21">
        <f>+VLOOKUP(C172,'[1]stock au 25-03-25'!A:X,24,FALSE)</f>
        <v>2484.4589999999998</v>
      </c>
      <c r="AL172" t="s">
        <v>45</v>
      </c>
      <c r="AM172" s="21">
        <f t="shared" si="34"/>
        <v>3452.7803549630444</v>
      </c>
      <c r="AN172" t="s">
        <v>45</v>
      </c>
      <c r="AO172" s="63">
        <v>2858.8382329538754</v>
      </c>
      <c r="AP172" s="64">
        <f t="shared" si="35"/>
        <v>3038.446712367479</v>
      </c>
      <c r="AQ172" t="s">
        <v>46</v>
      </c>
      <c r="AR172" s="36">
        <f>(AP172-AO172)/AO172</f>
        <v>6.2825688191536583E-2</v>
      </c>
      <c r="AS172" s="81"/>
      <c r="AT172" s="81">
        <f>(AO172-J172)/J172</f>
        <v>-0.58938897033294901</v>
      </c>
      <c r="AU172" s="81"/>
      <c r="AV172" s="66">
        <f>(AP172-J172)/J172</f>
        <v>-0.56359204981508115</v>
      </c>
      <c r="BB172" s="56">
        <f>+R172*F172</f>
        <v>6969.6</v>
      </c>
    </row>
    <row r="173" spans="1:54" ht="18.75" outlineLevel="1" x14ac:dyDescent="0.3">
      <c r="A173">
        <v>4</v>
      </c>
      <c r="B173" t="s">
        <v>156</v>
      </c>
      <c r="C173">
        <v>338479</v>
      </c>
      <c r="D173" t="s">
        <v>225</v>
      </c>
      <c r="E173" t="s">
        <v>158</v>
      </c>
      <c r="F173" s="21">
        <f>+VLOOKUP(C173,'[1]stock au 25-03-25'!A:D,4,FALSE)</f>
        <v>2802.5</v>
      </c>
      <c r="G173" t="s">
        <v>45</v>
      </c>
      <c r="H173" s="22">
        <f>+VLOOKUP(C173,'[1]stock au 25-03-25'!A:F,6,FALSE)</f>
        <v>1.2152471008028547</v>
      </c>
      <c r="I173" t="s">
        <v>46</v>
      </c>
      <c r="J173" s="56">
        <f>+VLOOKUP(C173,'[1]stock au 25-03-25'!A:H,8,FALSE)</f>
        <v>3405.73</v>
      </c>
      <c r="K173" t="s">
        <v>46</v>
      </c>
      <c r="L173" s="23">
        <v>1.1000000000000001</v>
      </c>
      <c r="M173" t="s">
        <v>46</v>
      </c>
      <c r="N173" s="56">
        <f>+VLOOKUP(C173,'[1]stock au 25-03-25'!A:L,12,FALSE)</f>
        <v>3082.7500000000005</v>
      </c>
      <c r="Q173" t="s">
        <v>46</v>
      </c>
      <c r="R173" s="25">
        <f>H173*(1+VLOOKUP(A173,'[1]Variation MP'!$B$3:$D$22,3))</f>
        <v>1.2152471008028547</v>
      </c>
      <c r="T173" s="26">
        <v>1.24</v>
      </c>
      <c r="U173" s="58">
        <f t="shared" si="33"/>
        <v>2.0368614070992028E-2</v>
      </c>
      <c r="V173" s="10">
        <f>IFERROR(VLOOKUP(C173,'[2]INDICATEURS ACHATS - Matières P'!$C$2:$G$209999,5,0),0)</f>
        <v>1140</v>
      </c>
      <c r="W173" s="60">
        <f t="shared" si="29"/>
        <v>1413.6</v>
      </c>
      <c r="X173" s="28">
        <v>1.24</v>
      </c>
      <c r="Y173" s="59">
        <v>1649.0238942222215</v>
      </c>
      <c r="Z173" s="60">
        <f t="shared" si="30"/>
        <v>2044.7896288355546</v>
      </c>
      <c r="AA173" s="60">
        <f t="shared" si="27"/>
        <v>2003.9715066081881</v>
      </c>
      <c r="AB173" s="60">
        <f t="shared" si="28"/>
        <v>40.81812222736653</v>
      </c>
      <c r="AC173" s="60">
        <f t="shared" si="31"/>
        <v>3458.3896288355545</v>
      </c>
      <c r="AD173" s="61">
        <f>+VLOOKUP(C173,'[1]pic au 25-03'!C:R,16,FALSE)</f>
        <v>3275.5268942222215</v>
      </c>
      <c r="AE173" s="31"/>
      <c r="AF173" s="62"/>
      <c r="AG173" s="31"/>
      <c r="AH173" s="62">
        <v>3603.0795836444449</v>
      </c>
      <c r="AI173" s="31"/>
      <c r="AJ173" s="28">
        <f t="shared" si="32"/>
        <v>3458.3896288355545</v>
      </c>
      <c r="AK173" s="21">
        <f>+VLOOKUP(C173,'[1]stock au 25-03-25'!A:X,24,FALSE)</f>
        <v>486.50299999999999</v>
      </c>
      <c r="AL173" t="s">
        <v>45</v>
      </c>
      <c r="AM173" s="21">
        <f t="shared" si="34"/>
        <v>2789.0238942222213</v>
      </c>
      <c r="AN173" t="s">
        <v>45</v>
      </c>
      <c r="AO173" s="63">
        <v>3139.1860790934702</v>
      </c>
      <c r="AP173" s="64">
        <f t="shared" si="35"/>
        <v>3389.3532015234423</v>
      </c>
      <c r="AQ173" t="s">
        <v>46</v>
      </c>
      <c r="AR173" s="36">
        <f>(AP173-AO173)/AO173</f>
        <v>7.9691715026404236E-2</v>
      </c>
      <c r="AS173" s="81"/>
      <c r="AT173" s="81">
        <f>(AO173-J173)/J173</f>
        <v>-7.8263374050946438E-2</v>
      </c>
      <c r="AU173" s="81"/>
      <c r="AV173" s="66">
        <f>(AP173-J173)/J173</f>
        <v>-4.8086015264151077E-3</v>
      </c>
      <c r="BB173" s="56">
        <f>+R173*F173</f>
        <v>3405.7300000000005</v>
      </c>
    </row>
    <row r="174" spans="1:54" ht="18.75" outlineLevel="1" x14ac:dyDescent="0.3">
      <c r="A174">
        <v>4</v>
      </c>
      <c r="B174" t="s">
        <v>156</v>
      </c>
      <c r="C174">
        <v>340013</v>
      </c>
      <c r="D174" t="s">
        <v>226</v>
      </c>
      <c r="E174" t="s">
        <v>158</v>
      </c>
      <c r="F174" s="21">
        <f>+VLOOKUP(C174,'[1]stock au 25-03-25'!A:D,4,FALSE)</f>
        <v>1980</v>
      </c>
      <c r="G174" t="s">
        <v>45</v>
      </c>
      <c r="H174" s="22">
        <f>+VLOOKUP(C174,'[1]stock au 25-03-25'!A:F,6,FALSE)</f>
        <v>1.43</v>
      </c>
      <c r="I174" t="s">
        <v>46</v>
      </c>
      <c r="J174" s="56">
        <f>+VLOOKUP(C174,'[1]stock au 25-03-25'!A:H,8,FALSE)</f>
        <v>2831.4</v>
      </c>
      <c r="K174" t="s">
        <v>46</v>
      </c>
      <c r="L174" s="23">
        <v>1.58</v>
      </c>
      <c r="M174" t="s">
        <v>46</v>
      </c>
      <c r="N174" s="56">
        <f>+VLOOKUP(C174,'[1]stock au 25-03-25'!A:L,12,FALSE)</f>
        <v>3128.4</v>
      </c>
      <c r="P174" s="57">
        <v>1.58</v>
      </c>
      <c r="Q174" t="s">
        <v>46</v>
      </c>
      <c r="R174" s="25">
        <f>H174*(1+VLOOKUP(A174,'[1]Variation MP'!$B$3:$D$22,3))</f>
        <v>1.43</v>
      </c>
      <c r="T174" s="26" t="s">
        <v>53</v>
      </c>
      <c r="U174" s="58" t="str">
        <f t="shared" si="33"/>
        <v/>
      </c>
      <c r="V174" s="10">
        <f>IFERROR(VLOOKUP(C174,'[2]INDICATEURS ACHATS - Matières P'!$C$2:$G$209999,5,0),0)</f>
        <v>0</v>
      </c>
      <c r="W174" s="60">
        <f t="shared" si="29"/>
        <v>0</v>
      </c>
      <c r="X174" s="28">
        <v>1.6339999999999999</v>
      </c>
      <c r="Y174" s="59">
        <v>2170.5591769478906</v>
      </c>
      <c r="Z174" s="60">
        <f t="shared" si="30"/>
        <v>3546.693695132853</v>
      </c>
      <c r="AA174" s="60">
        <f t="shared" si="27"/>
        <v>3103.8996230354833</v>
      </c>
      <c r="AB174" s="60">
        <f t="shared" si="28"/>
        <v>442.79407209736974</v>
      </c>
      <c r="AC174" s="60">
        <f t="shared" si="31"/>
        <v>3546.693695132853</v>
      </c>
      <c r="AD174" s="61">
        <f>+VLOOKUP(C174,'[1]pic au 25-03'!C:R,16,FALSE)</f>
        <v>2541.5591769478906</v>
      </c>
      <c r="AE174" s="31"/>
      <c r="AF174" s="62">
        <v>4015.6634995776672</v>
      </c>
      <c r="AG174" s="31"/>
      <c r="AH174" s="62">
        <v>4015.6634995776672</v>
      </c>
      <c r="AI174" s="31"/>
      <c r="AJ174" s="28">
        <f t="shared" si="32"/>
        <v>3546.693695132853</v>
      </c>
      <c r="AK174" s="21">
        <f>+VLOOKUP(C174,'[1]stock au 25-03-25'!A:X,24,FALSE)</f>
        <v>371</v>
      </c>
      <c r="AL174" t="s">
        <v>45</v>
      </c>
      <c r="AM174" s="21">
        <f t="shared" si="34"/>
        <v>2170.5591769478906</v>
      </c>
      <c r="AN174" t="s">
        <v>45</v>
      </c>
      <c r="AO174" s="63">
        <v>3103.8996230354833</v>
      </c>
      <c r="AP174" s="64">
        <f t="shared" si="35"/>
        <v>3103.8996230354833</v>
      </c>
      <c r="AQ174" t="s">
        <v>46</v>
      </c>
      <c r="AR174" s="36">
        <f>(AP174-AO174)/AO174</f>
        <v>0</v>
      </c>
      <c r="AS174" s="81"/>
      <c r="AT174" s="81">
        <f>(AO174-J174)/J174</f>
        <v>9.6242008559540571E-2</v>
      </c>
      <c r="AU174" s="81"/>
      <c r="AV174" s="66">
        <f>(AP174-J174)/J174</f>
        <v>9.6242008559540571E-2</v>
      </c>
      <c r="BB174" s="56">
        <f>+R174*F174</f>
        <v>2831.4</v>
      </c>
    </row>
    <row r="175" spans="1:54" ht="18.75" outlineLevel="1" x14ac:dyDescent="0.3">
      <c r="A175">
        <v>4</v>
      </c>
      <c r="B175" t="s">
        <v>156</v>
      </c>
      <c r="C175">
        <v>338279</v>
      </c>
      <c r="D175" t="s">
        <v>227</v>
      </c>
      <c r="E175" t="s">
        <v>62</v>
      </c>
      <c r="F175" s="21">
        <f>+VLOOKUP(C175,'[1]stock au 25-03-25'!A:D,4,FALSE)</f>
        <v>1392</v>
      </c>
      <c r="G175" t="s">
        <v>45</v>
      </c>
      <c r="H175" s="22">
        <f>+VLOOKUP(C175,'[1]stock au 25-03-25'!A:F,6,FALSE)</f>
        <v>3.0956034482758619</v>
      </c>
      <c r="I175" t="s">
        <v>46</v>
      </c>
      <c r="J175" s="56">
        <f>+VLOOKUP(C175,'[1]stock au 25-03-25'!A:H,8,FALSE)</f>
        <v>4309.08</v>
      </c>
      <c r="K175" t="s">
        <v>46</v>
      </c>
      <c r="L175" s="23">
        <v>3.1</v>
      </c>
      <c r="M175" t="s">
        <v>46</v>
      </c>
      <c r="N175" s="56">
        <f>+VLOOKUP(C175,'[1]stock au 25-03-25'!A:L,12,FALSE)</f>
        <v>4315.2</v>
      </c>
      <c r="P175" s="57">
        <v>2.85</v>
      </c>
      <c r="Q175" t="s">
        <v>46</v>
      </c>
      <c r="R175" s="25">
        <v>2.98</v>
      </c>
      <c r="T175" s="26">
        <v>3.0525000000000002</v>
      </c>
      <c r="U175" s="58">
        <f t="shared" si="33"/>
        <v>2.432885906040276E-2</v>
      </c>
      <c r="V175" s="10">
        <f>IFERROR(VLOOKUP(C175,'[2]INDICATEURS ACHATS - Matières P'!$C$2:$G$209999,5,0),0)</f>
        <v>432</v>
      </c>
      <c r="W175" s="60">
        <f t="shared" si="29"/>
        <v>1318.68</v>
      </c>
      <c r="X175" s="28">
        <v>3</v>
      </c>
      <c r="Y175" s="59">
        <v>556.80579597537519</v>
      </c>
      <c r="Z175" s="60">
        <f t="shared" si="30"/>
        <v>1670.4173879261257</v>
      </c>
      <c r="AA175" s="60">
        <f t="shared" si="27"/>
        <v>1659.2812720066181</v>
      </c>
      <c r="AB175" s="60">
        <f t="shared" si="28"/>
        <v>11.136115919507574</v>
      </c>
      <c r="AC175" s="60">
        <f t="shared" si="31"/>
        <v>2989.0973879261255</v>
      </c>
      <c r="AD175" s="61">
        <f>+VLOOKUP(C175,'[1]pic au 25-03'!C:R,16,FALSE)</f>
        <v>1162.4057959753752</v>
      </c>
      <c r="AE175" s="31"/>
      <c r="AF175" s="62">
        <v>3312.8565185298194</v>
      </c>
      <c r="AG175" s="31"/>
      <c r="AH175" s="62">
        <v>3603.4579675236632</v>
      </c>
      <c r="AI175" s="31"/>
      <c r="AJ175" s="28">
        <f t="shared" si="32"/>
        <v>2966.4173879261257</v>
      </c>
      <c r="AK175" s="21">
        <f>+VLOOKUP(C175,'[1]stock au 25-03-25'!A:X,24,FALSE)</f>
        <v>173.6</v>
      </c>
      <c r="AL175" t="s">
        <v>45</v>
      </c>
      <c r="AM175" s="21">
        <f t="shared" si="34"/>
        <v>988.80579597537519</v>
      </c>
      <c r="AN175" t="s">
        <v>45</v>
      </c>
      <c r="AO175" s="63">
        <v>3036.6479862225137</v>
      </c>
      <c r="AP175" s="64">
        <f t="shared" si="35"/>
        <v>2946.6412720066182</v>
      </c>
      <c r="AQ175" t="s">
        <v>46</v>
      </c>
      <c r="AR175" s="36">
        <f>(AP175-AO175)/AO175</f>
        <v>-2.9640154085775604E-2</v>
      </c>
      <c r="AS175" s="81"/>
      <c r="AT175" s="81">
        <f>(AO175-J175)/J175</f>
        <v>-0.29529087735142678</v>
      </c>
      <c r="AU175" s="81"/>
      <c r="AV175" s="66">
        <f>(AP175-J175)/J175</f>
        <v>-0.31617856433238223</v>
      </c>
      <c r="BB175" s="56">
        <f>+R175*F175</f>
        <v>4148.16</v>
      </c>
    </row>
    <row r="176" spans="1:54" ht="18.75" outlineLevel="1" x14ac:dyDescent="0.3">
      <c r="A176">
        <v>4</v>
      </c>
      <c r="B176" t="s">
        <v>156</v>
      </c>
      <c r="C176">
        <v>360852</v>
      </c>
      <c r="D176" t="s">
        <v>228</v>
      </c>
      <c r="E176" t="s">
        <v>158</v>
      </c>
      <c r="F176" s="21">
        <f>+VLOOKUP(C176,'[1]stock au 25-03-25'!A:D,4,FALSE)</f>
        <v>1950</v>
      </c>
      <c r="G176" t="s">
        <v>45</v>
      </c>
      <c r="H176" s="22">
        <f>+VLOOKUP(C176,'[1]stock au 25-03-25'!A:F,6,FALSE)</f>
        <v>1.2889230769230771</v>
      </c>
      <c r="I176" t="s">
        <v>46</v>
      </c>
      <c r="J176" s="56">
        <f>+VLOOKUP(C176,'[1]stock au 25-03-25'!A:H,8,FALSE)</f>
        <v>2513.4</v>
      </c>
      <c r="K176" t="s">
        <v>46</v>
      </c>
      <c r="L176" s="23">
        <v>1.5</v>
      </c>
      <c r="M176" t="s">
        <v>46</v>
      </c>
      <c r="N176" s="56">
        <f>+VLOOKUP(C176,'[1]stock au 25-03-25'!A:L,12,FALSE)</f>
        <v>2925</v>
      </c>
      <c r="P176" s="57">
        <v>1.5</v>
      </c>
      <c r="Q176" t="s">
        <v>46</v>
      </c>
      <c r="R176" s="25">
        <v>1.29</v>
      </c>
      <c r="T176" s="26" t="s">
        <v>53</v>
      </c>
      <c r="U176" s="58" t="str">
        <f t="shared" si="33"/>
        <v/>
      </c>
      <c r="V176" s="10">
        <f>IFERROR(VLOOKUP(C176,'[2]INDICATEURS ACHATS - Matières P'!$C$2:$G$209999,5,0),0)</f>
        <v>0</v>
      </c>
      <c r="W176" s="60">
        <f t="shared" si="29"/>
        <v>0</v>
      </c>
      <c r="X176" s="28">
        <v>1.29</v>
      </c>
      <c r="Y176" s="59">
        <v>1882.0270625000001</v>
      </c>
      <c r="Z176" s="60">
        <f t="shared" si="30"/>
        <v>2427.8149106250003</v>
      </c>
      <c r="AA176" s="60">
        <f t="shared" si="27"/>
        <v>2427.8149106250003</v>
      </c>
      <c r="AB176" s="60">
        <f t="shared" si="28"/>
        <v>0</v>
      </c>
      <c r="AC176" s="60">
        <f t="shared" si="31"/>
        <v>2427.8149106250003</v>
      </c>
      <c r="AD176" s="61">
        <f>+VLOOKUP(C176,'[1]pic au 25-03'!C:R,16,FALSE)</f>
        <v>2334.2870625</v>
      </c>
      <c r="AE176" s="31"/>
      <c r="AF176" s="62">
        <v>3501.4305937500003</v>
      </c>
      <c r="AG176" s="31"/>
      <c r="AH176" s="62">
        <v>3501.4305937500003</v>
      </c>
      <c r="AI176" s="31"/>
      <c r="AJ176" s="28">
        <f t="shared" si="32"/>
        <v>2427.8149106250003</v>
      </c>
      <c r="AK176" s="21">
        <f>+VLOOKUP(C176,'[1]stock au 25-03-25'!A:X,24,FALSE)</f>
        <v>452.26</v>
      </c>
      <c r="AL176" t="s">
        <v>45</v>
      </c>
      <c r="AM176" s="21">
        <f t="shared" si="34"/>
        <v>1882.0270625000001</v>
      </c>
      <c r="AN176" t="s">
        <v>45</v>
      </c>
      <c r="AO176" s="63">
        <v>2298.6487399423077</v>
      </c>
      <c r="AP176" s="64">
        <f t="shared" si="35"/>
        <v>2427.8149106250003</v>
      </c>
      <c r="AQ176" t="s">
        <v>46</v>
      </c>
      <c r="AR176" s="36">
        <f>(AP176-AO176)/AO176</f>
        <v>5.6192217818340731E-2</v>
      </c>
      <c r="AS176" s="81"/>
      <c r="AT176" s="81">
        <f>(AO176-J176)/J176</f>
        <v>-8.5442532051282105E-2</v>
      </c>
      <c r="AU176" s="81"/>
      <c r="AV176" s="66">
        <f>(AP176-J176)/J176</f>
        <v>-3.405151960491757E-2</v>
      </c>
      <c r="BB176" s="56">
        <f>+R176*F176</f>
        <v>2515.5</v>
      </c>
    </row>
    <row r="177" spans="1:54" ht="18.75" outlineLevel="1" x14ac:dyDescent="0.3">
      <c r="A177">
        <v>4</v>
      </c>
      <c r="B177" t="s">
        <v>156</v>
      </c>
      <c r="C177">
        <v>340386</v>
      </c>
      <c r="D177" t="s">
        <v>229</v>
      </c>
      <c r="E177" t="s">
        <v>158</v>
      </c>
      <c r="F177" s="21">
        <f>+VLOOKUP(C177,'[1]stock au 25-03-25'!A:D,4,FALSE)</f>
        <v>4980</v>
      </c>
      <c r="G177" t="s">
        <v>45</v>
      </c>
      <c r="H177" s="22">
        <f>+VLOOKUP(C177,'[1]stock au 25-03-25'!A:F,6,FALSE)</f>
        <v>0.77048192771084334</v>
      </c>
      <c r="I177" t="s">
        <v>46</v>
      </c>
      <c r="J177" s="56">
        <f>+VLOOKUP(C177,'[1]stock au 25-03-25'!A:H,8,FALSE)</f>
        <v>3837</v>
      </c>
      <c r="K177" t="s">
        <v>46</v>
      </c>
      <c r="L177" s="23">
        <v>0.9</v>
      </c>
      <c r="M177" t="s">
        <v>46</v>
      </c>
      <c r="N177" s="56">
        <f>+VLOOKUP(C177,'[1]stock au 25-03-25'!A:L,12,FALSE)</f>
        <v>4482</v>
      </c>
      <c r="P177" s="57">
        <v>0</v>
      </c>
      <c r="Q177" t="s">
        <v>46</v>
      </c>
      <c r="R177" s="25">
        <f>H177*(1+VLOOKUP(A177,'[1]Variation MP'!$B$3:$D$22,3))</f>
        <v>0.77048192771084334</v>
      </c>
      <c r="T177" s="26">
        <v>0.78400000000000003</v>
      </c>
      <c r="U177" s="58">
        <f t="shared" si="33"/>
        <v>1.7544956997654501E-2</v>
      </c>
      <c r="V177" s="10">
        <f>IFERROR(VLOOKUP(C177,'[2]INDICATEURS ACHATS - Matières P'!$C$2:$G$209999,5,0),0)</f>
        <v>3600</v>
      </c>
      <c r="W177" s="60">
        <f t="shared" si="29"/>
        <v>2822.4</v>
      </c>
      <c r="X177" s="28">
        <v>0.871</v>
      </c>
      <c r="Y177" s="59">
        <v>277.55742888888915</v>
      </c>
      <c r="Z177" s="60">
        <f t="shared" si="30"/>
        <v>241.75252056222246</v>
      </c>
      <c r="AA177" s="60">
        <f t="shared" si="27"/>
        <v>213.85298286077662</v>
      </c>
      <c r="AB177" s="60">
        <f t="shared" si="28"/>
        <v>27.899537701445837</v>
      </c>
      <c r="AC177" s="60">
        <f t="shared" si="31"/>
        <v>3064.1525205622224</v>
      </c>
      <c r="AD177" s="61">
        <f>+VLOOKUP(C177,'[1]pic au 25-03'!C:R,16,FALSE)</f>
        <v>4556.9274288888892</v>
      </c>
      <c r="AE177" s="31"/>
      <c r="AF177" s="62">
        <v>0</v>
      </c>
      <c r="AG177" s="31"/>
      <c r="AH177" s="62">
        <v>4101.2346860000007</v>
      </c>
      <c r="AI177" s="31"/>
      <c r="AJ177" s="28">
        <f t="shared" si="32"/>
        <v>3377.3525205622227</v>
      </c>
      <c r="AK177" s="21">
        <f>+VLOOKUP(C177,'[1]stock au 25-03-25'!A:X,24,FALSE)</f>
        <v>679.37</v>
      </c>
      <c r="AL177" t="s">
        <v>45</v>
      </c>
      <c r="AM177" s="21">
        <f t="shared" si="34"/>
        <v>3877.5574288888893</v>
      </c>
      <c r="AN177" t="s">
        <v>45</v>
      </c>
      <c r="AO177" s="63">
        <v>2674.5064437041501</v>
      </c>
      <c r="AP177" s="64">
        <f t="shared" si="35"/>
        <v>2987.5879226198126</v>
      </c>
      <c r="AQ177" t="s">
        <v>46</v>
      </c>
      <c r="AR177" s="36">
        <f>(AP177-AO177)/AO177</f>
        <v>0.11706140385365812</v>
      </c>
      <c r="AS177" s="81"/>
      <c r="AT177" s="81">
        <f>(AO177-J177)/J177</f>
        <v>-0.30296939178937971</v>
      </c>
      <c r="AU177" s="81"/>
      <c r="AV177" s="66">
        <f>(AP177-J177)/J177</f>
        <v>-0.22137401026327533</v>
      </c>
      <c r="BB177" s="56">
        <f>+R177*F177</f>
        <v>3837</v>
      </c>
    </row>
    <row r="178" spans="1:54" ht="18.75" outlineLevel="1" x14ac:dyDescent="0.3">
      <c r="A178">
        <v>4</v>
      </c>
      <c r="B178" t="s">
        <v>156</v>
      </c>
      <c r="C178">
        <v>338278</v>
      </c>
      <c r="D178" t="s">
        <v>230</v>
      </c>
      <c r="E178" t="s">
        <v>158</v>
      </c>
      <c r="F178" s="21">
        <f>+VLOOKUP(C178,'[1]stock au 25-03-25'!A:D,4,FALSE)</f>
        <v>1820</v>
      </c>
      <c r="G178" t="s">
        <v>45</v>
      </c>
      <c r="H178" s="22">
        <f>+VLOOKUP(C178,'[1]stock au 25-03-25'!A:F,6,FALSE)</f>
        <v>1.7551538461538463</v>
      </c>
      <c r="I178" t="s">
        <v>46</v>
      </c>
      <c r="J178" s="56">
        <f>+VLOOKUP(C178,'[1]stock au 25-03-25'!A:H,8,FALSE)</f>
        <v>3194.38</v>
      </c>
      <c r="K178" t="s">
        <v>46</v>
      </c>
      <c r="L178" s="23">
        <v>1.66</v>
      </c>
      <c r="M178" t="s">
        <v>46</v>
      </c>
      <c r="N178" s="56">
        <f>+VLOOKUP(C178,'[1]stock au 25-03-25'!A:L,12,FALSE)</f>
        <v>3021.2</v>
      </c>
      <c r="P178" s="57">
        <v>1.66</v>
      </c>
      <c r="Q178" t="s">
        <v>46</v>
      </c>
      <c r="R178" s="25">
        <f>H178*(1+VLOOKUP(A178,'[1]Variation MP'!$B$3:$D$22,3))</f>
        <v>1.7551538461538463</v>
      </c>
      <c r="T178" s="26">
        <v>1.76</v>
      </c>
      <c r="U178" s="58">
        <f t="shared" si="33"/>
        <v>2.7610991804355692E-3</v>
      </c>
      <c r="V178" s="10">
        <f>IFERROR(VLOOKUP(C178,'[2]INDICATEURS ACHATS - Matières P'!$C$2:$G$209999,5,0),0)</f>
        <v>1050</v>
      </c>
      <c r="W178" s="60">
        <f t="shared" si="29"/>
        <v>1848</v>
      </c>
      <c r="X178" s="28">
        <v>1.76</v>
      </c>
      <c r="Y178" s="59">
        <v>180.17262917355015</v>
      </c>
      <c r="Z178" s="60">
        <f t="shared" si="30"/>
        <v>317.10382734544828</v>
      </c>
      <c r="AA178" s="60">
        <f t="shared" si="27"/>
        <v>316.23068306560725</v>
      </c>
      <c r="AB178" s="60">
        <f t="shared" si="28"/>
        <v>0.87314427984102849</v>
      </c>
      <c r="AC178" s="60">
        <f t="shared" si="31"/>
        <v>2165.1038273454483</v>
      </c>
      <c r="AD178" s="61">
        <f>+VLOOKUP(C178,'[1]pic au 25-03'!C:R,16,FALSE)</f>
        <v>1562.8913401735501</v>
      </c>
      <c r="AE178" s="31"/>
      <c r="AF178" s="62">
        <v>2594.3996246880929</v>
      </c>
      <c r="AG178" s="31"/>
      <c r="AH178" s="62">
        <v>2594.3996246880929</v>
      </c>
      <c r="AI178" s="31"/>
      <c r="AJ178" s="28">
        <f t="shared" si="32"/>
        <v>2165.1038273454483</v>
      </c>
      <c r="AK178" s="21">
        <f>+VLOOKUP(C178,'[1]stock au 25-03-25'!A:X,24,FALSE)</f>
        <v>332.71871099999998</v>
      </c>
      <c r="AL178" t="s">
        <v>45</v>
      </c>
      <c r="AM178" s="21">
        <f t="shared" si="34"/>
        <v>1230.1726291735501</v>
      </c>
      <c r="AN178" t="s">
        <v>45</v>
      </c>
      <c r="AO178" s="63">
        <v>2434.1994540531064</v>
      </c>
      <c r="AP178" s="64">
        <f t="shared" si="35"/>
        <v>2159.1422215271459</v>
      </c>
      <c r="AQ178" t="s">
        <v>46</v>
      </c>
      <c r="AR178" s="36">
        <f>(AP178-AO178)/AO178</f>
        <v>-0.11299699869210454</v>
      </c>
      <c r="AS178" s="81"/>
      <c r="AT178" s="81">
        <f>(AO178-J178)/J178</f>
        <v>-0.23797436308356981</v>
      </c>
      <c r="AU178" s="81"/>
      <c r="AV178" s="66">
        <f>(AP178-J178)/J178</f>
        <v>-0.3240809729815658</v>
      </c>
      <c r="BB178" s="56">
        <f>+R178*F178</f>
        <v>3194.38</v>
      </c>
    </row>
    <row r="179" spans="1:54" ht="18.75" outlineLevel="1" x14ac:dyDescent="0.3">
      <c r="A179">
        <v>4</v>
      </c>
      <c r="B179" t="s">
        <v>156</v>
      </c>
      <c r="C179">
        <v>350002</v>
      </c>
      <c r="D179" t="s">
        <v>231</v>
      </c>
      <c r="E179" t="s">
        <v>205</v>
      </c>
      <c r="F179" s="21">
        <f>+VLOOKUP(C179,'[1]stock au 25-03-25'!A:D,4,FALSE)</f>
        <v>1740</v>
      </c>
      <c r="G179" t="s">
        <v>45</v>
      </c>
      <c r="H179" s="22">
        <f>+VLOOKUP(C179,'[1]stock au 25-03-25'!A:F,6,FALSE)</f>
        <v>1.1113793103448275</v>
      </c>
      <c r="I179" t="s">
        <v>46</v>
      </c>
      <c r="J179" s="56">
        <f>+VLOOKUP(C179,'[1]stock au 25-03-25'!A:H,8,FALSE)</f>
        <v>1933.8</v>
      </c>
      <c r="K179" t="s">
        <v>46</v>
      </c>
      <c r="L179" s="23">
        <v>1.7</v>
      </c>
      <c r="M179" t="s">
        <v>46</v>
      </c>
      <c r="N179" s="56">
        <f>+VLOOKUP(C179,'[1]stock au 25-03-25'!A:L,12,FALSE)</f>
        <v>2958</v>
      </c>
      <c r="P179" s="57">
        <v>1.33</v>
      </c>
      <c r="Q179" t="s">
        <v>46</v>
      </c>
      <c r="R179" s="25">
        <f>H179*(1+VLOOKUP(A179,'[1]Variation MP'!$B$3:$D$22,3))</f>
        <v>1.1113793103448275</v>
      </c>
      <c r="T179" s="26">
        <v>1.17</v>
      </c>
      <c r="U179" s="58">
        <f t="shared" si="33"/>
        <v>5.2745888923363335E-2</v>
      </c>
      <c r="V179" s="10">
        <f>IFERROR(VLOOKUP(C179,'[2]INDICATEURS ACHATS - Matières P'!$C$2:$G$209999,5,0),0)</f>
        <v>720</v>
      </c>
      <c r="W179" s="60">
        <f t="shared" si="29"/>
        <v>842.4</v>
      </c>
      <c r="X179" s="28">
        <v>1.36</v>
      </c>
      <c r="Y179" s="59">
        <v>1421.546409999999</v>
      </c>
      <c r="Z179" s="60">
        <f t="shared" si="30"/>
        <v>1933.3031175999988</v>
      </c>
      <c r="AA179" s="60">
        <f t="shared" si="27"/>
        <v>1579.8772687689643</v>
      </c>
      <c r="AB179" s="60">
        <f t="shared" si="28"/>
        <v>353.4258488310345</v>
      </c>
      <c r="AC179" s="60">
        <f t="shared" si="31"/>
        <v>2775.7031175999987</v>
      </c>
      <c r="AD179" s="61">
        <f>+VLOOKUP(C179,'[1]pic au 25-03'!C:R,16,FALSE)</f>
        <v>3406.6964099999991</v>
      </c>
      <c r="AE179" s="31"/>
      <c r="AF179" s="62">
        <v>4530.9062253000002</v>
      </c>
      <c r="AG179" s="31"/>
      <c r="AH179" s="62">
        <v>5791.3838969999997</v>
      </c>
      <c r="AI179" s="31"/>
      <c r="AJ179" s="28">
        <f t="shared" si="32"/>
        <v>2912.5031175999989</v>
      </c>
      <c r="AK179" s="21">
        <f>+VLOOKUP(C179,'[1]stock au 25-03-25'!A:X,24,FALSE)</f>
        <v>1265.1500000000001</v>
      </c>
      <c r="AL179" t="s">
        <v>45</v>
      </c>
      <c r="AM179" s="21">
        <f t="shared" si="34"/>
        <v>2141.546409999999</v>
      </c>
      <c r="AN179" t="s">
        <v>45</v>
      </c>
      <c r="AO179" s="63">
        <v>2416.5726440793105</v>
      </c>
      <c r="AP179" s="64">
        <f t="shared" si="35"/>
        <v>2380.0703722172402</v>
      </c>
      <c r="AQ179" t="s">
        <v>46</v>
      </c>
      <c r="AR179" s="36">
        <f>(AP179-AO179)/AO179</f>
        <v>-1.5104976029378705E-2</v>
      </c>
      <c r="AS179" s="81"/>
      <c r="AT179" s="81">
        <f>(AO179-J179)/J179</f>
        <v>0.24964972803770327</v>
      </c>
      <c r="AU179" s="81"/>
      <c r="AV179" s="66">
        <f>(AP179-J179)/J179</f>
        <v>0.23077379885057414</v>
      </c>
      <c r="BB179" s="56">
        <f>+R179*F179</f>
        <v>1933.8</v>
      </c>
    </row>
    <row r="180" spans="1:54" ht="18.75" outlineLevel="1" x14ac:dyDescent="0.3">
      <c r="A180">
        <v>4</v>
      </c>
      <c r="B180" t="s">
        <v>156</v>
      </c>
      <c r="C180">
        <v>345558</v>
      </c>
      <c r="D180" t="s">
        <v>232</v>
      </c>
      <c r="E180" t="s">
        <v>158</v>
      </c>
      <c r="F180" s="21">
        <f>+VLOOKUP(C180,'[1]stock au 25-03-25'!A:D,4,FALSE)</f>
        <v>108</v>
      </c>
      <c r="G180" t="s">
        <v>45</v>
      </c>
      <c r="H180" s="22">
        <f>+VLOOKUP(C180,'[1]stock au 25-03-25'!A:F,6,FALSE)</f>
        <v>10.623333333333333</v>
      </c>
      <c r="I180" t="s">
        <v>46</v>
      </c>
      <c r="J180" s="56">
        <f>+VLOOKUP(C180,'[1]stock au 25-03-25'!A:H,8,FALSE)</f>
        <v>1147.32</v>
      </c>
      <c r="K180" t="s">
        <v>46</v>
      </c>
      <c r="L180" s="23">
        <v>10.54</v>
      </c>
      <c r="M180" t="s">
        <v>46</v>
      </c>
      <c r="N180" s="56">
        <f>+VLOOKUP(C180,'[1]stock au 25-03-25'!A:L,12,FALSE)</f>
        <v>1138.32</v>
      </c>
      <c r="P180" s="57">
        <v>9.52</v>
      </c>
      <c r="Q180" t="s">
        <v>46</v>
      </c>
      <c r="R180" s="25">
        <v>10.6</v>
      </c>
      <c r="T180" s="26">
        <v>10.6975</v>
      </c>
      <c r="U180" s="58">
        <f t="shared" si="33"/>
        <v>9.1981132075471834E-3</v>
      </c>
      <c r="V180" s="10">
        <f>IFERROR(VLOOKUP(C180,'[2]INDICATEURS ACHATS - Matières P'!$C$2:$G$209999,5,0),0)</f>
        <v>96</v>
      </c>
      <c r="W180" s="60">
        <f t="shared" si="29"/>
        <v>1026.96</v>
      </c>
      <c r="X180" s="28">
        <v>10.719999999999999</v>
      </c>
      <c r="Y180" s="59">
        <v>-23.857895286329963</v>
      </c>
      <c r="Z180" s="60">
        <f t="shared" si="30"/>
        <v>-255.75663746945719</v>
      </c>
      <c r="AA180" s="60">
        <f t="shared" si="27"/>
        <v>-252.89369003509759</v>
      </c>
      <c r="AB180" s="60">
        <f t="shared" si="28"/>
        <v>-2.8629474343595973</v>
      </c>
      <c r="AC180" s="60">
        <f t="shared" si="31"/>
        <v>771.20336253054279</v>
      </c>
      <c r="AD180" s="61">
        <f>+VLOOKUP(C180,'[1]pic au 25-03'!C:R,16,FALSE)</f>
        <v>87.663104713670037</v>
      </c>
      <c r="AE180" s="31"/>
      <c r="AF180" s="62">
        <v>2195.1713075408052</v>
      </c>
      <c r="AG180" s="31"/>
      <c r="AH180" s="62">
        <v>2430.3682333487486</v>
      </c>
      <c r="AI180" s="31"/>
      <c r="AJ180" s="28">
        <f t="shared" si="32"/>
        <v>773.36336253054276</v>
      </c>
      <c r="AK180" s="21">
        <f>+VLOOKUP(C180,'[1]stock au 25-03-25'!A:X,24,FALSE)</f>
        <v>15.521000000000001</v>
      </c>
      <c r="AL180" t="s">
        <v>45</v>
      </c>
      <c r="AM180" s="21">
        <f t="shared" si="34"/>
        <v>72.142104713670037</v>
      </c>
      <c r="AN180" t="s">
        <v>45</v>
      </c>
      <c r="AO180" s="63">
        <v>2299.905087318647</v>
      </c>
      <c r="AP180" s="64">
        <f t="shared" si="35"/>
        <v>764.7063099649024</v>
      </c>
      <c r="AQ180" t="s">
        <v>46</v>
      </c>
      <c r="AR180" s="36">
        <f>(AP180-AO180)/AO180</f>
        <v>-0.66750527481269317</v>
      </c>
      <c r="AS180" s="81"/>
      <c r="AT180" s="81">
        <f>(AO180-J180)/J180</f>
        <v>1.0045890312368364</v>
      </c>
      <c r="AU180" s="81"/>
      <c r="AV180" s="66">
        <f>(AP180-J180)/J180</f>
        <v>-0.33348472094541848</v>
      </c>
      <c r="BB180" s="56">
        <f>+R180*F180</f>
        <v>1144.8</v>
      </c>
    </row>
    <row r="181" spans="1:54" ht="18.75" outlineLevel="1" x14ac:dyDescent="0.3">
      <c r="A181">
        <v>4</v>
      </c>
      <c r="B181" t="s">
        <v>156</v>
      </c>
      <c r="C181">
        <v>348565</v>
      </c>
      <c r="D181" t="s">
        <v>233</v>
      </c>
      <c r="E181" t="s">
        <v>158</v>
      </c>
      <c r="F181" s="21">
        <f>+VLOOKUP(C181,'[1]stock au 25-03-25'!A:D,4,FALSE)</f>
        <v>912</v>
      </c>
      <c r="G181" t="s">
        <v>45</v>
      </c>
      <c r="H181" s="22">
        <f>+VLOOKUP(C181,'[1]stock au 25-03-25'!A:F,6,FALSE)</f>
        <v>3</v>
      </c>
      <c r="I181" t="s">
        <v>46</v>
      </c>
      <c r="J181" s="56">
        <f>+VLOOKUP(C181,'[1]stock au 25-03-25'!A:H,8,FALSE)</f>
        <v>2736</v>
      </c>
      <c r="K181" t="s">
        <v>46</v>
      </c>
      <c r="L181" s="23">
        <v>4.1500000000000004</v>
      </c>
      <c r="M181" t="s">
        <v>46</v>
      </c>
      <c r="N181" s="56">
        <f>+VLOOKUP(C181,'[1]stock au 25-03-25'!A:L,12,FALSE)</f>
        <v>3784.8</v>
      </c>
      <c r="P181" s="57">
        <v>4.1500000000000004</v>
      </c>
      <c r="Q181" t="s">
        <v>46</v>
      </c>
      <c r="R181" s="25">
        <f>H181*(1+VLOOKUP(A181,'[1]Variation MP'!$B$3:$D$22,3))</f>
        <v>3</v>
      </c>
      <c r="T181" s="26">
        <v>3</v>
      </c>
      <c r="U181" s="58">
        <f t="shared" si="33"/>
        <v>0</v>
      </c>
      <c r="V181" s="10">
        <f>IFERROR(VLOOKUP(C181,'[2]INDICATEURS ACHATS - Matières P'!$C$2:$G$209999,5,0),0)</f>
        <v>880</v>
      </c>
      <c r="W181" s="60">
        <f t="shared" si="29"/>
        <v>2640</v>
      </c>
      <c r="X181" s="28">
        <v>3</v>
      </c>
      <c r="Y181" s="59">
        <v>-121.44487763428492</v>
      </c>
      <c r="Z181" s="60">
        <f t="shared" si="30"/>
        <v>-364.33463290285476</v>
      </c>
      <c r="AA181" s="60">
        <f t="shared" si="27"/>
        <v>-364.33463290285476</v>
      </c>
      <c r="AB181" s="60">
        <f t="shared" si="28"/>
        <v>0</v>
      </c>
      <c r="AC181" s="60">
        <f t="shared" si="31"/>
        <v>2275.6653670971455</v>
      </c>
      <c r="AD181" s="61">
        <f>+VLOOKUP(C181,'[1]pic au 25-03'!C:R,16,FALSE)</f>
        <v>758.55512236571508</v>
      </c>
      <c r="AE181" s="31"/>
      <c r="AF181" s="62">
        <v>3148.003757817718</v>
      </c>
      <c r="AG181" s="31"/>
      <c r="AH181" s="62">
        <v>3148.003757817718</v>
      </c>
      <c r="AI181" s="31"/>
      <c r="AJ181" s="28">
        <f t="shared" si="32"/>
        <v>2275.6653670971455</v>
      </c>
      <c r="AK181" s="21">
        <f>+VLOOKUP(C181,'[1]stock au 25-03-25'!A:X,24,FALSE)</f>
        <v>0</v>
      </c>
      <c r="AL181" t="s">
        <v>45</v>
      </c>
      <c r="AM181" s="21">
        <f t="shared" si="34"/>
        <v>758.55512236571508</v>
      </c>
      <c r="AN181" t="s">
        <v>45</v>
      </c>
      <c r="AO181" s="63">
        <v>2241.4653670971452</v>
      </c>
      <c r="AP181" s="64">
        <f t="shared" si="35"/>
        <v>2275.6653670971455</v>
      </c>
      <c r="AQ181" t="s">
        <v>46</v>
      </c>
      <c r="AR181" s="36">
        <f>(AP181-AO181)/AO181</f>
        <v>1.525787571917369E-2</v>
      </c>
      <c r="AS181" s="81"/>
      <c r="AT181" s="81">
        <f>(AO181-J181)/J181</f>
        <v>-0.18075096231829488</v>
      </c>
      <c r="AU181" s="81"/>
      <c r="AV181" s="66">
        <f>(AP181-J181)/J181</f>
        <v>-0.16825096231829478</v>
      </c>
      <c r="BB181" s="56">
        <f>+R181*F181</f>
        <v>2736</v>
      </c>
    </row>
    <row r="182" spans="1:54" ht="18.75" outlineLevel="1" x14ac:dyDescent="0.3">
      <c r="A182">
        <v>4</v>
      </c>
      <c r="B182" t="s">
        <v>156</v>
      </c>
      <c r="C182">
        <v>336864</v>
      </c>
      <c r="D182" t="s">
        <v>234</v>
      </c>
      <c r="E182" t="s">
        <v>158</v>
      </c>
      <c r="F182" s="21">
        <f>+VLOOKUP(C182,'[1]stock au 25-03-25'!A:D,4,FALSE)</f>
        <v>799</v>
      </c>
      <c r="G182" t="s">
        <v>45</v>
      </c>
      <c r="H182" s="22">
        <f>+VLOOKUP(C182,'[1]stock au 25-03-25'!A:F,6,FALSE)</f>
        <v>4.3804755944931166</v>
      </c>
      <c r="I182" t="s">
        <v>46</v>
      </c>
      <c r="J182" s="56">
        <f>+VLOOKUP(C182,'[1]stock au 25-03-25'!A:H,8,FALSE)</f>
        <v>3500</v>
      </c>
      <c r="K182" t="s">
        <v>46</v>
      </c>
      <c r="L182" s="23">
        <v>5.66</v>
      </c>
      <c r="M182" t="s">
        <v>46</v>
      </c>
      <c r="N182" s="56">
        <f>+VLOOKUP(C182,'[1]stock au 25-03-25'!A:L,12,FALSE)</f>
        <v>4522.34</v>
      </c>
      <c r="P182" s="57">
        <v>5.66</v>
      </c>
      <c r="Q182" t="s">
        <v>46</v>
      </c>
      <c r="R182" s="25">
        <v>4.5</v>
      </c>
      <c r="T182" s="26">
        <v>6</v>
      </c>
      <c r="U182" s="58">
        <f t="shared" si="33"/>
        <v>0.33333333333333331</v>
      </c>
      <c r="V182" s="10">
        <f>IFERROR(VLOOKUP(C182,'[2]INDICATEURS ACHATS - Matières P'!$C$2:$G$209999,5,0),0)</f>
        <v>300</v>
      </c>
      <c r="W182" s="60">
        <f t="shared" si="29"/>
        <v>1800</v>
      </c>
      <c r="X182" s="28">
        <v>6.75</v>
      </c>
      <c r="Y182" s="59">
        <v>154.42783966909252</v>
      </c>
      <c r="Z182" s="60">
        <f t="shared" si="30"/>
        <v>1042.3879177663746</v>
      </c>
      <c r="AA182" s="60">
        <f t="shared" si="27"/>
        <v>694.92527851091631</v>
      </c>
      <c r="AB182" s="60">
        <f t="shared" si="28"/>
        <v>347.46263925545827</v>
      </c>
      <c r="AC182" s="60">
        <f t="shared" si="31"/>
        <v>2842.3879177663748</v>
      </c>
      <c r="AD182" s="61">
        <f>+VLOOKUP(C182,'[1]pic au 25-03'!C:R,16,FALSE)</f>
        <v>645.51413666909252</v>
      </c>
      <c r="AE182" s="31"/>
      <c r="AF182" s="62">
        <v>3653.6100135470651</v>
      </c>
      <c r="AG182" s="31"/>
      <c r="AH182" s="62">
        <v>3653.6100135470651</v>
      </c>
      <c r="AI182" s="31"/>
      <c r="AJ182" s="28">
        <f t="shared" si="32"/>
        <v>3067.3879177663744</v>
      </c>
      <c r="AK182" s="21">
        <f>+VLOOKUP(C182,'[1]stock au 25-03-25'!A:X,24,FALSE)</f>
        <v>191.086297</v>
      </c>
      <c r="AL182" t="s">
        <v>45</v>
      </c>
      <c r="AM182" s="21">
        <f t="shared" si="34"/>
        <v>454.42783966909252</v>
      </c>
      <c r="AN182" t="s">
        <v>45</v>
      </c>
      <c r="AO182" s="63">
        <v>1846.9728803666799</v>
      </c>
      <c r="AP182" s="64">
        <f t="shared" si="35"/>
        <v>2044.9252785109163</v>
      </c>
      <c r="AQ182" t="s">
        <v>46</v>
      </c>
      <c r="AR182" s="36">
        <f>(AP182-AO182)/AO182</f>
        <v>0.10717666742618165</v>
      </c>
      <c r="AS182" s="81"/>
      <c r="AT182" s="81">
        <f>(AO182-J182)/J182</f>
        <v>-0.47229346275237716</v>
      </c>
      <c r="AU182" s="81"/>
      <c r="AV182" s="66">
        <f>(AP182-J182)/J182</f>
        <v>-0.41573563471116676</v>
      </c>
      <c r="BB182" s="56">
        <f>+R182*F182</f>
        <v>3595.5</v>
      </c>
    </row>
    <row r="183" spans="1:54" ht="18.75" outlineLevel="1" x14ac:dyDescent="0.3">
      <c r="A183">
        <v>4</v>
      </c>
      <c r="B183" t="s">
        <v>156</v>
      </c>
      <c r="C183">
        <v>338244</v>
      </c>
      <c r="D183" t="s">
        <v>235</v>
      </c>
      <c r="E183" t="s">
        <v>158</v>
      </c>
      <c r="F183" s="21">
        <f>+VLOOKUP(C183,'[1]stock au 25-03-25'!A:D,4,FALSE)</f>
        <v>1130</v>
      </c>
      <c r="G183" t="s">
        <v>45</v>
      </c>
      <c r="H183" s="22">
        <f>+VLOOKUP(C183,'[1]stock au 25-03-25'!A:F,6,FALSE)</f>
        <v>2.4369203539823006</v>
      </c>
      <c r="I183" t="s">
        <v>46</v>
      </c>
      <c r="J183" s="56">
        <f>+VLOOKUP(C183,'[1]stock au 25-03-25'!A:H,8,FALSE)</f>
        <v>2753.72</v>
      </c>
      <c r="K183" t="s">
        <v>46</v>
      </c>
      <c r="L183" s="23">
        <v>2.62</v>
      </c>
      <c r="M183" t="s">
        <v>46</v>
      </c>
      <c r="N183" s="56">
        <f>+VLOOKUP(C183,'[1]stock au 25-03-25'!A:L,12,FALSE)</f>
        <v>2960.6</v>
      </c>
      <c r="P183" s="57">
        <v>2.62</v>
      </c>
      <c r="Q183" t="s">
        <v>46</v>
      </c>
      <c r="R183" s="25">
        <v>2.44</v>
      </c>
      <c r="T183" s="26" t="s">
        <v>53</v>
      </c>
      <c r="U183" s="58" t="str">
        <f t="shared" si="33"/>
        <v/>
      </c>
      <c r="V183" s="10">
        <f>IFERROR(VLOOKUP(C183,'[2]INDICATEURS ACHATS - Matières P'!$C$2:$G$209999,5,0),0)</f>
        <v>0</v>
      </c>
      <c r="W183" s="60">
        <f t="shared" si="29"/>
        <v>0</v>
      </c>
      <c r="X183" s="28">
        <v>2.66</v>
      </c>
      <c r="Y183" s="59">
        <v>537.10868376470569</v>
      </c>
      <c r="Z183" s="60">
        <f t="shared" si="30"/>
        <v>1428.7090988141172</v>
      </c>
      <c r="AA183" s="60">
        <f t="shared" si="27"/>
        <v>1310.5451883858818</v>
      </c>
      <c r="AB183" s="60">
        <f t="shared" si="28"/>
        <v>118.16391042823534</v>
      </c>
      <c r="AC183" s="60">
        <f t="shared" si="31"/>
        <v>1428.7090988141172</v>
      </c>
      <c r="AD183" s="61">
        <f>+VLOOKUP(C183,'[1]pic au 25-03'!C:R,16,FALSE)</f>
        <v>1131.0086837647057</v>
      </c>
      <c r="AE183" s="31"/>
      <c r="AF183" s="62">
        <v>2992.0624632635295</v>
      </c>
      <c r="AG183" s="31"/>
      <c r="AH183" s="62">
        <v>2992.0624632635295</v>
      </c>
      <c r="AI183" s="31"/>
      <c r="AJ183" s="28">
        <f t="shared" si="32"/>
        <v>1428.7090988141172</v>
      </c>
      <c r="AK183" s="21">
        <f>+VLOOKUP(C183,'[1]stock au 25-03-25'!A:X,24,FALSE)</f>
        <v>593.9</v>
      </c>
      <c r="AL183" t="s">
        <v>45</v>
      </c>
      <c r="AM183" s="21">
        <f t="shared" si="34"/>
        <v>537.10868376470569</v>
      </c>
      <c r="AN183" t="s">
        <v>45</v>
      </c>
      <c r="AO183" s="63">
        <v>1295.0003696879166</v>
      </c>
      <c r="AP183" s="64">
        <f t="shared" si="35"/>
        <v>1310.5451883858818</v>
      </c>
      <c r="AQ183" t="s">
        <v>46</v>
      </c>
      <c r="AR183" s="36">
        <f>(AP183-AO183)/AO183</f>
        <v>1.2003717575548913E-2</v>
      </c>
      <c r="AS183" s="81"/>
      <c r="AT183" s="81">
        <f>(AO183-J183)/J183</f>
        <v>-0.5297269258719417</v>
      </c>
      <c r="AU183" s="81"/>
      <c r="AV183" s="66">
        <f>(AP183-J183)/J183</f>
        <v>-0.52408190070672334</v>
      </c>
      <c r="BB183" s="56">
        <f>+R183*F183</f>
        <v>2757.2</v>
      </c>
    </row>
    <row r="184" spans="1:54" ht="18.75" outlineLevel="1" x14ac:dyDescent="0.3">
      <c r="A184">
        <v>4</v>
      </c>
      <c r="B184" t="s">
        <v>156</v>
      </c>
      <c r="C184">
        <v>347273</v>
      </c>
      <c r="D184" t="s">
        <v>236</v>
      </c>
      <c r="E184" t="s">
        <v>158</v>
      </c>
      <c r="F184" s="21">
        <f>+VLOOKUP(C184,'[1]stock au 25-03-25'!A:D,4,FALSE)</f>
        <v>320</v>
      </c>
      <c r="G184" t="s">
        <v>45</v>
      </c>
      <c r="H184" s="22">
        <f>+VLOOKUP(C184,'[1]stock au 25-03-25'!A:F,6,FALSE)</f>
        <v>4.3301875000000001</v>
      </c>
      <c r="I184" t="s">
        <v>46</v>
      </c>
      <c r="J184" s="56">
        <f>+VLOOKUP(C184,'[1]stock au 25-03-25'!A:H,8,FALSE)</f>
        <v>1385.66</v>
      </c>
      <c r="K184" t="s">
        <v>46</v>
      </c>
      <c r="L184" s="23">
        <v>4.1900000000000004</v>
      </c>
      <c r="M184" t="s">
        <v>46</v>
      </c>
      <c r="N184" s="56">
        <f>+VLOOKUP(C184,'[1]stock au 25-03-25'!A:L,12,FALSE)</f>
        <v>1340.8000000000002</v>
      </c>
      <c r="P184" s="57">
        <v>4.1900000000000004</v>
      </c>
      <c r="Q184" t="s">
        <v>46</v>
      </c>
      <c r="R184" s="25">
        <f>H184*(1+VLOOKUP(A184,'[1]Variation MP'!$B$3:$D$22,3))</f>
        <v>4.3301875000000001</v>
      </c>
      <c r="T184" s="26">
        <v>4.4000000000000004</v>
      </c>
      <c r="U184" s="58">
        <f t="shared" si="33"/>
        <v>1.6122281079052645E-2</v>
      </c>
      <c r="V184" s="10">
        <f>IFERROR(VLOOKUP(C184,'[2]INDICATEURS ACHATS - Matières P'!$C$2:$G$209999,5,0),0)</f>
        <v>60</v>
      </c>
      <c r="W184" s="60">
        <f t="shared" si="29"/>
        <v>264</v>
      </c>
      <c r="X184" s="28">
        <v>4.4000000000000004</v>
      </c>
      <c r="Y184" s="59">
        <v>195.20915359321452</v>
      </c>
      <c r="Z184" s="60">
        <f t="shared" si="30"/>
        <v>858.92027581014395</v>
      </c>
      <c r="AA184" s="60">
        <f t="shared" si="27"/>
        <v>845.29223677491768</v>
      </c>
      <c r="AB184" s="60">
        <f t="shared" si="28"/>
        <v>13.628039035226266</v>
      </c>
      <c r="AC184" s="60">
        <f t="shared" si="31"/>
        <v>1122.9202758101439</v>
      </c>
      <c r="AD184" s="61">
        <f>+VLOOKUP(C184,'[1]pic au 25-03'!C:R,16,FALSE)</f>
        <v>265.20915359321452</v>
      </c>
      <c r="AE184" s="31"/>
      <c r="AF184" s="62">
        <v>1111.2263535555689</v>
      </c>
      <c r="AG184" s="31"/>
      <c r="AH184" s="62">
        <v>1111.2263535555689</v>
      </c>
      <c r="AI184" s="31"/>
      <c r="AJ184" s="28">
        <f t="shared" si="32"/>
        <v>1122.9202758101439</v>
      </c>
      <c r="AK184" s="21">
        <f>+VLOOKUP(C184,'[1]stock au 25-03-25'!A:X,24,FALSE)</f>
        <v>10</v>
      </c>
      <c r="AL184" t="s">
        <v>45</v>
      </c>
      <c r="AM184" s="21">
        <f t="shared" si="34"/>
        <v>255.20915359321452</v>
      </c>
      <c r="AN184" t="s">
        <v>45</v>
      </c>
      <c r="AO184" s="63">
        <v>1105.1034867749177</v>
      </c>
      <c r="AP184" s="64">
        <f t="shared" si="35"/>
        <v>1105.1034867749177</v>
      </c>
      <c r="AQ184" t="s">
        <v>46</v>
      </c>
      <c r="AR184" s="36">
        <f>(AP184-AO184)/AO184</f>
        <v>0</v>
      </c>
      <c r="AS184" s="81"/>
      <c r="AT184" s="81">
        <f>(AO184-J184)/J184</f>
        <v>-0.20247139502120462</v>
      </c>
      <c r="AU184" s="81"/>
      <c r="AV184" s="66">
        <f>(AP184-J184)/J184</f>
        <v>-0.20247139502120462</v>
      </c>
      <c r="BB184" s="56">
        <f>+R184*F184</f>
        <v>1385.66</v>
      </c>
    </row>
    <row r="185" spans="1:54" ht="18.75" outlineLevel="1" x14ac:dyDescent="0.3">
      <c r="A185">
        <v>4</v>
      </c>
      <c r="B185" t="s">
        <v>156</v>
      </c>
      <c r="C185">
        <v>338450</v>
      </c>
      <c r="D185" t="s">
        <v>237</v>
      </c>
      <c r="E185" t="s">
        <v>158</v>
      </c>
      <c r="F185" s="21">
        <f>+VLOOKUP(C185,'[1]stock au 25-03-25'!A:D,4,FALSE)</f>
        <v>720</v>
      </c>
      <c r="G185" t="s">
        <v>45</v>
      </c>
      <c r="H185" s="22">
        <f>+VLOOKUP(C185,'[1]stock au 25-03-25'!A:F,6,FALSE)</f>
        <v>2.12</v>
      </c>
      <c r="I185" t="s">
        <v>46</v>
      </c>
      <c r="J185" s="56">
        <f>+VLOOKUP(C185,'[1]stock au 25-03-25'!A:H,8,FALSE)</f>
        <v>1526.4</v>
      </c>
      <c r="K185" t="s">
        <v>46</v>
      </c>
      <c r="L185" s="23">
        <v>1.76</v>
      </c>
      <c r="M185" t="s">
        <v>46</v>
      </c>
      <c r="N185" s="56">
        <f>+VLOOKUP(C185,'[1]stock au 25-03-25'!A:L,12,FALSE)</f>
        <v>1267.2</v>
      </c>
      <c r="P185" s="57">
        <v>1.76</v>
      </c>
      <c r="Q185" t="s">
        <v>46</v>
      </c>
      <c r="R185" s="25">
        <f>H185*(1+VLOOKUP(A185,'[1]Variation MP'!$B$3:$D$22,3))</f>
        <v>2.12</v>
      </c>
      <c r="T185" s="26" t="s">
        <v>53</v>
      </c>
      <c r="U185" s="58" t="str">
        <f t="shared" si="33"/>
        <v/>
      </c>
      <c r="V185" s="10">
        <f>IFERROR(VLOOKUP(C185,'[2]INDICATEURS ACHATS - Matières P'!$C$2:$G$209999,5,0),0)</f>
        <v>0</v>
      </c>
      <c r="W185" s="60">
        <f t="shared" si="29"/>
        <v>0</v>
      </c>
      <c r="X185" s="28">
        <v>2.2999999999999998</v>
      </c>
      <c r="Y185" s="59">
        <v>487.74758500000007</v>
      </c>
      <c r="Z185" s="60">
        <f t="shared" si="30"/>
        <v>1121.8194455</v>
      </c>
      <c r="AA185" s="60">
        <f t="shared" si="27"/>
        <v>1034.0248802000001</v>
      </c>
      <c r="AB185" s="60">
        <f t="shared" si="28"/>
        <v>87.794565299999931</v>
      </c>
      <c r="AC185" s="60">
        <f t="shared" si="31"/>
        <v>1121.8194455</v>
      </c>
      <c r="AD185" s="61">
        <f>+VLOOKUP(C185,'[1]pic au 25-03'!C:R,16,FALSE)</f>
        <v>581.14758500000005</v>
      </c>
      <c r="AE185" s="31"/>
      <c r="AF185" s="62">
        <v>1022.8197496000001</v>
      </c>
      <c r="AG185" s="31"/>
      <c r="AH185" s="62">
        <v>1022.8197496000001</v>
      </c>
      <c r="AI185" s="31"/>
      <c r="AJ185" s="28">
        <f t="shared" si="32"/>
        <v>1121.8194455</v>
      </c>
      <c r="AK185" s="21">
        <f>+VLOOKUP(C185,'[1]stock au 25-03-25'!A:X,24,FALSE)</f>
        <v>93.4</v>
      </c>
      <c r="AL185" t="s">
        <v>45</v>
      </c>
      <c r="AM185" s="21">
        <f t="shared" si="34"/>
        <v>487.74758500000007</v>
      </c>
      <c r="AN185" t="s">
        <v>45</v>
      </c>
      <c r="AO185" s="63">
        <v>1034.0248802000001</v>
      </c>
      <c r="AP185" s="64">
        <f t="shared" si="35"/>
        <v>1034.0248802000001</v>
      </c>
      <c r="AQ185" t="s">
        <v>46</v>
      </c>
      <c r="AR185" s="36">
        <f>(AP185-AO185)/AO185</f>
        <v>0</v>
      </c>
      <c r="AS185" s="81"/>
      <c r="AT185" s="81">
        <f>(AO185-J185)/J185</f>
        <v>-0.3225727986111111</v>
      </c>
      <c r="AU185" s="81"/>
      <c r="AV185" s="66">
        <f>(AP185-J185)/J185</f>
        <v>-0.3225727986111111</v>
      </c>
      <c r="BB185" s="56">
        <f>+R185*F185</f>
        <v>1526.4</v>
      </c>
    </row>
    <row r="186" spans="1:54" ht="18.75" outlineLevel="1" x14ac:dyDescent="0.3">
      <c r="A186">
        <v>4</v>
      </c>
      <c r="B186" t="s">
        <v>156</v>
      </c>
      <c r="C186">
        <v>350023</v>
      </c>
      <c r="D186" t="s">
        <v>238</v>
      </c>
      <c r="E186" t="s">
        <v>239</v>
      </c>
      <c r="F186" s="21">
        <f>+VLOOKUP(C186,'[1]stock au 25-03-25'!A:D,4,FALSE)</f>
        <v>360</v>
      </c>
      <c r="G186" t="s">
        <v>45</v>
      </c>
      <c r="H186" s="22">
        <f>+VLOOKUP(C186,'[1]stock au 25-03-25'!A:F,6,FALSE)</f>
        <v>0.95</v>
      </c>
      <c r="I186" t="s">
        <v>46</v>
      </c>
      <c r="J186" s="56">
        <f>+VLOOKUP(C186,'[1]stock au 25-03-25'!A:H,8,FALSE)</f>
        <v>342</v>
      </c>
      <c r="K186" t="s">
        <v>46</v>
      </c>
      <c r="L186" s="23">
        <v>0.95</v>
      </c>
      <c r="M186" t="s">
        <v>46</v>
      </c>
      <c r="N186" s="56">
        <f>+VLOOKUP(C186,'[1]stock au 25-03-25'!A:L,12,FALSE)</f>
        <v>342</v>
      </c>
      <c r="Q186" t="s">
        <v>46</v>
      </c>
      <c r="R186" s="25">
        <f>H186*(1+VLOOKUP(A186,'[1]Variation MP'!$B$3:$D$22,3))</f>
        <v>0.95</v>
      </c>
      <c r="T186" s="26">
        <v>1.08</v>
      </c>
      <c r="U186" s="58">
        <f t="shared" si="33"/>
        <v>0.13684210526315801</v>
      </c>
      <c r="V186" s="10">
        <f>IFERROR(VLOOKUP(C186,'[2]INDICATEURS ACHATS - Matières P'!$C$2:$G$209999,5,0),0)</f>
        <v>420</v>
      </c>
      <c r="W186" s="60">
        <f t="shared" si="29"/>
        <v>453.6</v>
      </c>
      <c r="X186" s="28">
        <v>1.08</v>
      </c>
      <c r="Y186" s="59">
        <v>747.96480916666656</v>
      </c>
      <c r="Z186" s="60">
        <f t="shared" si="30"/>
        <v>807.80199389999996</v>
      </c>
      <c r="AA186" s="60">
        <f t="shared" si="27"/>
        <v>710.56656870833319</v>
      </c>
      <c r="AB186" s="60">
        <f t="shared" si="28"/>
        <v>97.235425191666764</v>
      </c>
      <c r="AC186" s="60">
        <f t="shared" si="31"/>
        <v>1261.4019939</v>
      </c>
      <c r="AD186" s="61">
        <f>+VLOOKUP(C186,'[1]pic au 25-03'!C:R,16,FALSE)</f>
        <v>1328.2908091666666</v>
      </c>
      <c r="AE186" s="31"/>
      <c r="AF186" s="62"/>
      <c r="AG186" s="31"/>
      <c r="AH186" s="62">
        <v>1261.8762687083331</v>
      </c>
      <c r="AI186" s="31"/>
      <c r="AJ186" s="28">
        <f t="shared" si="32"/>
        <v>1261.4019939</v>
      </c>
      <c r="AK186" s="21">
        <f>+VLOOKUP(C186,'[1]stock au 25-03-25'!A:X,24,FALSE)</f>
        <v>160.32599999999999</v>
      </c>
      <c r="AL186" t="s">
        <v>45</v>
      </c>
      <c r="AM186" s="21">
        <f t="shared" si="34"/>
        <v>1167.9648091666666</v>
      </c>
      <c r="AN186" t="s">
        <v>45</v>
      </c>
      <c r="AO186" s="63">
        <v>985.99626870833333</v>
      </c>
      <c r="AP186" s="64">
        <f t="shared" si="35"/>
        <v>1109.5665687083331</v>
      </c>
      <c r="AQ186" t="s">
        <v>46</v>
      </c>
      <c r="AR186" s="36">
        <f>(AP186-AO186)/AO186</f>
        <v>0.12532532213522299</v>
      </c>
      <c r="AS186" s="81"/>
      <c r="AT186" s="81">
        <f>(AO186-J186)/J186</f>
        <v>1.8830300254629631</v>
      </c>
      <c r="AU186" s="81"/>
      <c r="AV186" s="66">
        <f>(AP186-J186)/J186</f>
        <v>2.2443466921296289</v>
      </c>
      <c r="BB186" s="56">
        <f>+R186*F186</f>
        <v>342</v>
      </c>
    </row>
    <row r="187" spans="1:54" ht="18.75" outlineLevel="1" x14ac:dyDescent="0.3">
      <c r="A187">
        <v>4</v>
      </c>
      <c r="B187" t="s">
        <v>156</v>
      </c>
      <c r="C187">
        <v>361005</v>
      </c>
      <c r="D187" t="s">
        <v>240</v>
      </c>
      <c r="E187" t="s">
        <v>158</v>
      </c>
      <c r="F187" s="21">
        <f>+VLOOKUP(C187,'[1]stock au 25-03-25'!A:D,4,FALSE)</f>
        <v>660</v>
      </c>
      <c r="G187" t="s">
        <v>45</v>
      </c>
      <c r="H187" s="22">
        <f>+VLOOKUP(C187,'[1]stock au 25-03-25'!A:F,6,FALSE)</f>
        <v>1.1700000000000002</v>
      </c>
      <c r="I187" t="s">
        <v>46</v>
      </c>
      <c r="J187" s="56">
        <f>+VLOOKUP(C187,'[1]stock au 25-03-25'!A:H,8,FALSE)</f>
        <v>772.2</v>
      </c>
      <c r="K187" t="s">
        <v>46</v>
      </c>
      <c r="L187" s="23">
        <v>0.91</v>
      </c>
      <c r="M187" t="s">
        <v>46</v>
      </c>
      <c r="N187" s="56">
        <f>+VLOOKUP(C187,'[1]stock au 25-03-25'!A:L,12,FALSE)</f>
        <v>600.6</v>
      </c>
      <c r="P187" s="57">
        <v>0.91</v>
      </c>
      <c r="Q187" t="s">
        <v>46</v>
      </c>
      <c r="R187" s="25">
        <f>H187*(1+VLOOKUP(A187,'[1]Variation MP'!$B$3:$D$22,3))</f>
        <v>1.1700000000000002</v>
      </c>
      <c r="T187" s="26" t="s">
        <v>53</v>
      </c>
      <c r="U187" s="58" t="str">
        <f t="shared" si="33"/>
        <v/>
      </c>
      <c r="V187" s="10">
        <f>IFERROR(VLOOKUP(C187,'[2]INDICATEURS ACHATS - Matières P'!$C$2:$G$209999,5,0),0)</f>
        <v>0</v>
      </c>
      <c r="W187" s="60">
        <f t="shared" si="29"/>
        <v>0</v>
      </c>
      <c r="X187" s="28">
        <v>1.1700000000000002</v>
      </c>
      <c r="Y187" s="59">
        <v>777.78076801886186</v>
      </c>
      <c r="Z187" s="60">
        <f t="shared" si="30"/>
        <v>910.00349858206846</v>
      </c>
      <c r="AA187" s="60">
        <f t="shared" si="27"/>
        <v>910.00349858206846</v>
      </c>
      <c r="AB187" s="60">
        <f t="shared" si="28"/>
        <v>0</v>
      </c>
      <c r="AC187" s="60">
        <f t="shared" si="31"/>
        <v>910.00349858206846</v>
      </c>
      <c r="AD187" s="61">
        <f>+VLOOKUP(C187,'[1]pic au 25-03'!C:R,16,FALSE)</f>
        <v>1109.5237680188618</v>
      </c>
      <c r="AE187" s="31"/>
      <c r="AF187" s="62">
        <v>1009.6666288971643</v>
      </c>
      <c r="AG187" s="31"/>
      <c r="AH187" s="62">
        <v>1009.6666288971643</v>
      </c>
      <c r="AI187" s="31"/>
      <c r="AJ187" s="28">
        <f t="shared" si="32"/>
        <v>910.00349858206846</v>
      </c>
      <c r="AK187" s="21">
        <f>+VLOOKUP(C187,'[1]stock au 25-03-25'!A:X,24,FALSE)</f>
        <v>331.74299999999999</v>
      </c>
      <c r="AL187" t="s">
        <v>45</v>
      </c>
      <c r="AM187" s="21">
        <f t="shared" si="34"/>
        <v>777.78076801886186</v>
      </c>
      <c r="AN187" t="s">
        <v>45</v>
      </c>
      <c r="AO187" s="63">
        <v>883.88207858206852</v>
      </c>
      <c r="AP187" s="64">
        <f t="shared" si="35"/>
        <v>910.00349858206846</v>
      </c>
      <c r="AQ187" t="s">
        <v>46</v>
      </c>
      <c r="AR187" s="36">
        <f>(AP187-AO187)/AO187</f>
        <v>2.9553059885436481E-2</v>
      </c>
      <c r="AS187" s="81"/>
      <c r="AT187" s="81">
        <f>(AO187-J187)/J187</f>
        <v>0.14462843639221507</v>
      </c>
      <c r="AU187" s="81"/>
      <c r="AV187" s="66">
        <f>(AP187-J187)/J187</f>
        <v>0.17845570911948772</v>
      </c>
      <c r="BB187" s="56">
        <f>+R187*F187</f>
        <v>772.2</v>
      </c>
    </row>
    <row r="188" spans="1:54" ht="18.75" outlineLevel="1" x14ac:dyDescent="0.3">
      <c r="A188">
        <v>4</v>
      </c>
      <c r="B188" t="s">
        <v>156</v>
      </c>
      <c r="C188">
        <v>361013</v>
      </c>
      <c r="D188" t="s">
        <v>241</v>
      </c>
      <c r="E188" t="s">
        <v>158</v>
      </c>
      <c r="F188" s="21">
        <f>+VLOOKUP(C188,'[1]stock au 25-03-25'!A:D,4,FALSE)</f>
        <v>1855</v>
      </c>
      <c r="G188" t="s">
        <v>45</v>
      </c>
      <c r="H188" s="22">
        <f>+VLOOKUP(C188,'[1]stock au 25-03-25'!A:F,6,FALSE)</f>
        <v>1.0126415094339623</v>
      </c>
      <c r="I188" t="s">
        <v>46</v>
      </c>
      <c r="J188" s="56">
        <f>+VLOOKUP(C188,'[1]stock au 25-03-25'!A:H,8,FALSE)</f>
        <v>1878.45</v>
      </c>
      <c r="K188" t="s">
        <v>46</v>
      </c>
      <c r="L188" s="23">
        <v>0.78</v>
      </c>
      <c r="M188" t="s">
        <v>46</v>
      </c>
      <c r="N188" s="56">
        <f>+VLOOKUP(C188,'[1]stock au 25-03-25'!A:L,12,FALSE)</f>
        <v>1446.9</v>
      </c>
      <c r="P188" s="57">
        <v>0.78</v>
      </c>
      <c r="Q188" t="s">
        <v>46</v>
      </c>
      <c r="R188" s="25">
        <v>1.01</v>
      </c>
      <c r="T188" s="26" t="s">
        <v>53</v>
      </c>
      <c r="U188" s="58" t="str">
        <f t="shared" si="33"/>
        <v/>
      </c>
      <c r="V188" s="10">
        <f>IFERROR(VLOOKUP(C188,'[2]INDICATEURS ACHATS - Matières P'!$C$2:$G$209999,5,0),0)</f>
        <v>0</v>
      </c>
      <c r="W188" s="60">
        <f t="shared" si="29"/>
        <v>0</v>
      </c>
      <c r="X188" s="28">
        <v>1.01</v>
      </c>
      <c r="Y188" s="59">
        <v>604.15923913398694</v>
      </c>
      <c r="Z188" s="60">
        <f t="shared" si="30"/>
        <v>610.20083152532686</v>
      </c>
      <c r="AA188" s="60">
        <f t="shared" si="27"/>
        <v>610.20083152532686</v>
      </c>
      <c r="AB188" s="60">
        <f t="shared" si="28"/>
        <v>0</v>
      </c>
      <c r="AC188" s="60">
        <f t="shared" si="31"/>
        <v>610.20083152532686</v>
      </c>
      <c r="AD188" s="61">
        <f>+VLOOKUP(C188,'[1]pic au 25-03'!C:R,16,FALSE)</f>
        <v>1177.5412391339869</v>
      </c>
      <c r="AE188" s="31"/>
      <c r="AF188" s="62">
        <v>918.48216652450981</v>
      </c>
      <c r="AG188" s="31"/>
      <c r="AH188" s="62">
        <v>918.48216652450981</v>
      </c>
      <c r="AI188" s="31"/>
      <c r="AJ188" s="28">
        <f t="shared" si="32"/>
        <v>610.20083152532686</v>
      </c>
      <c r="AK188" s="21">
        <f>+VLOOKUP(C188,'[1]stock au 25-03-25'!A:X,24,FALSE)</f>
        <v>573.38199999999995</v>
      </c>
      <c r="AL188" t="s">
        <v>45</v>
      </c>
      <c r="AM188" s="21">
        <f t="shared" si="34"/>
        <v>604.15923913398694</v>
      </c>
      <c r="AN188" t="s">
        <v>45</v>
      </c>
      <c r="AO188" s="63">
        <v>524.08374159096365</v>
      </c>
      <c r="AP188" s="64">
        <f t="shared" si="35"/>
        <v>610.20083152532686</v>
      </c>
      <c r="AQ188" t="s">
        <v>46</v>
      </c>
      <c r="AR188" s="36">
        <f>(AP188-AO188)/AO188</f>
        <v>0.16431933124453951</v>
      </c>
      <c r="AS188" s="81"/>
      <c r="AT188" s="81">
        <f>(AO188-J188)/J188</f>
        <v>-0.72100202742103137</v>
      </c>
      <c r="AU188" s="81"/>
      <c r="AV188" s="66">
        <f>(AP188-J188)/J188</f>
        <v>-0.67515726714827295</v>
      </c>
      <c r="BB188" s="56">
        <f>+R188*F188</f>
        <v>1873.55</v>
      </c>
    </row>
    <row r="189" spans="1:54" ht="18.75" outlineLevel="1" x14ac:dyDescent="0.3">
      <c r="A189">
        <v>4</v>
      </c>
      <c r="B189" t="s">
        <v>156</v>
      </c>
      <c r="C189">
        <v>360401</v>
      </c>
      <c r="D189" t="s">
        <v>242</v>
      </c>
      <c r="E189" t="s">
        <v>158</v>
      </c>
      <c r="F189" s="21">
        <f>+VLOOKUP(C189,'[1]stock au 25-03-25'!A:D,4,FALSE)</f>
        <v>216.55</v>
      </c>
      <c r="G189" t="s">
        <v>45</v>
      </c>
      <c r="H189" s="22">
        <f>+VLOOKUP(C189,'[1]stock au 25-03-25'!A:F,6,FALSE)</f>
        <v>3.2739782960055415</v>
      </c>
      <c r="I189" t="s">
        <v>46</v>
      </c>
      <c r="J189" s="56">
        <f>+VLOOKUP(C189,'[1]stock au 25-03-25'!A:H,8,FALSE)</f>
        <v>708.98</v>
      </c>
      <c r="K189" t="s">
        <v>46</v>
      </c>
      <c r="L189" s="23">
        <v>2.93</v>
      </c>
      <c r="M189" t="s">
        <v>46</v>
      </c>
      <c r="N189" s="56">
        <f>+VLOOKUP(C189,'[1]stock au 25-03-25'!A:L,12,FALSE)</f>
        <v>634.49150000000009</v>
      </c>
      <c r="P189" s="57">
        <v>2.93</v>
      </c>
      <c r="Q189" t="s">
        <v>46</v>
      </c>
      <c r="R189" s="25">
        <f>H189*(1+VLOOKUP(A189,'[1]Variation MP'!$B$3:$D$22,3))</f>
        <v>3.2739782960055415</v>
      </c>
      <c r="T189" s="26">
        <v>3.3040912139503691</v>
      </c>
      <c r="U189" s="58">
        <f t="shared" si="33"/>
        <v>9.1976535035578171E-3</v>
      </c>
      <c r="V189" s="10">
        <f>IFERROR(VLOOKUP(C189,'[2]INDICATEURS ACHATS - Matières P'!$C$2:$G$209999,5,0),0)</f>
        <v>74.55</v>
      </c>
      <c r="W189" s="60">
        <f t="shared" si="29"/>
        <v>246.32</v>
      </c>
      <c r="X189" s="28">
        <v>3.2737089201877936</v>
      </c>
      <c r="Y189" s="59">
        <v>104.86909253846156</v>
      </c>
      <c r="Z189" s="60">
        <f t="shared" si="30"/>
        <v>343.31088369516078</v>
      </c>
      <c r="AA189" s="60">
        <f t="shared" si="27"/>
        <v>343.33913289271982</v>
      </c>
      <c r="AB189" s="60">
        <f t="shared" si="28"/>
        <v>-2.8249197559034656E-2</v>
      </c>
      <c r="AC189" s="60">
        <f t="shared" si="31"/>
        <v>589.63088369516072</v>
      </c>
      <c r="AD189" s="61">
        <f>+VLOOKUP(C189,'[1]pic au 25-03'!C:R,16,FALSE)</f>
        <v>188.27728153846155</v>
      </c>
      <c r="AE189" s="31"/>
      <c r="AF189" s="62">
        <v>551.6524349076924</v>
      </c>
      <c r="AG189" s="31"/>
      <c r="AH189" s="62">
        <v>551.6524349076924</v>
      </c>
      <c r="AI189" s="31"/>
      <c r="AJ189" s="28">
        <f t="shared" si="32"/>
        <v>587.36588369516073</v>
      </c>
      <c r="AK189" s="21">
        <f>+VLOOKUP(C189,'[1]stock au 25-03-25'!A:X,24,FALSE)</f>
        <v>8.8581889999999994</v>
      </c>
      <c r="AL189" t="s">
        <v>45</v>
      </c>
      <c r="AM189" s="21">
        <f t="shared" si="34"/>
        <v>179.41909253846154</v>
      </c>
      <c r="AN189" t="s">
        <v>45</v>
      </c>
      <c r="AO189" s="63">
        <v>556.01190441744848</v>
      </c>
      <c r="AP189" s="64">
        <f t="shared" si="35"/>
        <v>587.41421485993283</v>
      </c>
      <c r="AQ189" t="s">
        <v>46</v>
      </c>
      <c r="AR189" s="36">
        <f>(AP189-AO189)/AO189</f>
        <v>5.6477766380533811E-2</v>
      </c>
      <c r="AS189" s="81"/>
      <c r="AT189" s="81">
        <f>(AO189-J189)/J189</f>
        <v>-0.21575798412162761</v>
      </c>
      <c r="AU189" s="81"/>
      <c r="AV189" s="66">
        <f>(AP189-J189)/J189</f>
        <v>-0.17146574676304999</v>
      </c>
      <c r="BB189" s="56">
        <f>+R189*F189</f>
        <v>708.98</v>
      </c>
    </row>
    <row r="190" spans="1:54" ht="18.75" outlineLevel="1" x14ac:dyDescent="0.3">
      <c r="A190">
        <v>4</v>
      </c>
      <c r="B190" t="s">
        <v>156</v>
      </c>
      <c r="C190">
        <v>340282</v>
      </c>
      <c r="D190" t="s">
        <v>243</v>
      </c>
      <c r="E190" t="s">
        <v>158</v>
      </c>
      <c r="F190" s="21">
        <f>+VLOOKUP(C190,'[1]stock au 25-03-25'!A:D,4,FALSE)</f>
        <v>70</v>
      </c>
      <c r="G190" t="s">
        <v>45</v>
      </c>
      <c r="H190" s="22">
        <f>+VLOOKUP(C190,'[1]stock au 25-03-25'!A:F,6,FALSE)</f>
        <v>5.975714285714286</v>
      </c>
      <c r="I190" t="s">
        <v>46</v>
      </c>
      <c r="J190" s="56">
        <f>+VLOOKUP(C190,'[1]stock au 25-03-25'!A:H,8,FALSE)</f>
        <v>418.3</v>
      </c>
      <c r="K190" t="s">
        <v>46</v>
      </c>
      <c r="L190" s="23">
        <v>48.65</v>
      </c>
      <c r="M190" t="s">
        <v>46</v>
      </c>
      <c r="N190" s="56">
        <f>+VLOOKUP(C190,'[1]stock au 25-03-25'!A:L,12,FALSE)</f>
        <v>3405.5</v>
      </c>
      <c r="P190" s="57">
        <v>6.07</v>
      </c>
      <c r="Q190" t="s">
        <v>46</v>
      </c>
      <c r="R190" s="25">
        <f>H190*(1+VLOOKUP(A190,'[1]Variation MP'!$B$3:$D$22,3))</f>
        <v>5.975714285714286</v>
      </c>
      <c r="T190" s="26">
        <v>5.8644680851063837</v>
      </c>
      <c r="U190" s="58">
        <f t="shared" si="33"/>
        <v>-1.8616385471080941E-2</v>
      </c>
      <c r="V190" s="10">
        <f>IFERROR(VLOOKUP(C190,'[2]INDICATEURS ACHATS - Matières P'!$C$2:$G$209999,5,0),0)</f>
        <v>470</v>
      </c>
      <c r="W190" s="60">
        <f t="shared" si="29"/>
        <v>2756.3</v>
      </c>
      <c r="X190" s="28">
        <v>5.15</v>
      </c>
      <c r="Y190" s="59">
        <v>-397.44899570025603</v>
      </c>
      <c r="Z190" s="60">
        <f t="shared" si="30"/>
        <v>-2046.8623278563186</v>
      </c>
      <c r="AA190" s="60">
        <f t="shared" si="27"/>
        <v>-2375.0416414488159</v>
      </c>
      <c r="AB190" s="60">
        <f t="shared" si="28"/>
        <v>328.17931359249724</v>
      </c>
      <c r="AC190" s="60">
        <f t="shared" si="31"/>
        <v>709.43767214368154</v>
      </c>
      <c r="AD190" s="61">
        <f>+VLOOKUP(C190,'[1]pic au 25-03'!C:R,16,FALSE)</f>
        <v>79.652004299743965</v>
      </c>
      <c r="AE190" s="31"/>
      <c r="AF190" s="62">
        <v>483.48766609944579</v>
      </c>
      <c r="AG190" s="31"/>
      <c r="AH190" s="62">
        <v>3875.0700091825429</v>
      </c>
      <c r="AI190" s="31"/>
      <c r="AJ190" s="28">
        <f t="shared" si="32"/>
        <v>373.63767214368147</v>
      </c>
      <c r="AK190" s="21">
        <f>+VLOOKUP(C190,'[1]stock au 25-03-25'!A:X,24,FALSE)</f>
        <v>7.101</v>
      </c>
      <c r="AL190" t="s">
        <v>45</v>
      </c>
      <c r="AM190" s="21">
        <f t="shared" si="34"/>
        <v>72.551004299743965</v>
      </c>
      <c r="AN190" t="s">
        <v>45</v>
      </c>
      <c r="AO190" s="63">
        <v>433.54407283689852</v>
      </c>
      <c r="AP190" s="64">
        <f t="shared" si="35"/>
        <v>433.54407283689858</v>
      </c>
      <c r="AQ190" t="s">
        <v>46</v>
      </c>
      <c r="AR190" s="36">
        <f>(AP190-AO190)/AO190</f>
        <v>1.3111335714695101E-16</v>
      </c>
      <c r="AS190" s="81"/>
      <c r="AT190" s="81">
        <f>(AO190-J190)/J190</f>
        <v>3.6442918567770766E-2</v>
      </c>
      <c r="AU190" s="81"/>
      <c r="AV190" s="66">
        <f>(AP190-J190)/J190</f>
        <v>3.6442918567770897E-2</v>
      </c>
      <c r="BB190" s="56">
        <f>+R190*F190</f>
        <v>418.3</v>
      </c>
    </row>
    <row r="191" spans="1:54" ht="18.75" outlineLevel="1" x14ac:dyDescent="0.3">
      <c r="A191">
        <v>4</v>
      </c>
      <c r="B191" t="s">
        <v>156</v>
      </c>
      <c r="C191">
        <v>338300</v>
      </c>
      <c r="D191" t="s">
        <v>244</v>
      </c>
      <c r="E191" t="s">
        <v>62</v>
      </c>
      <c r="F191" s="21">
        <f>+VLOOKUP(C191,'[1]stock au 25-03-25'!A:D,4,FALSE)</f>
        <v>56</v>
      </c>
      <c r="G191" t="s">
        <v>45</v>
      </c>
      <c r="H191" s="22">
        <f>+VLOOKUP(C191,'[1]stock au 25-03-25'!A:F,6,FALSE)</f>
        <v>7.1691071428571433</v>
      </c>
      <c r="I191" t="s">
        <v>46</v>
      </c>
      <c r="J191" s="56">
        <f>+VLOOKUP(C191,'[1]stock au 25-03-25'!A:H,8,FALSE)</f>
        <v>401.47</v>
      </c>
      <c r="K191" t="s">
        <v>46</v>
      </c>
      <c r="L191" s="23">
        <v>7.38</v>
      </c>
      <c r="M191" t="s">
        <v>46</v>
      </c>
      <c r="N191" s="56">
        <f>+VLOOKUP(C191,'[1]stock au 25-03-25'!A:L,12,FALSE)</f>
        <v>413.28</v>
      </c>
      <c r="P191" s="57">
        <v>7.38</v>
      </c>
      <c r="Q191" t="s">
        <v>46</v>
      </c>
      <c r="R191" s="25">
        <f>H191*(1+VLOOKUP(A191,'[1]Variation MP'!$B$3:$D$22,3))</f>
        <v>7.1691071428571433</v>
      </c>
      <c r="T191" s="26">
        <v>7.38</v>
      </c>
      <c r="U191" s="58">
        <f t="shared" si="33"/>
        <v>2.9416892918524336E-2</v>
      </c>
      <c r="V191" s="10">
        <f>IFERROR(VLOOKUP(C191,'[2]INDICATEURS ACHATS - Matières P'!$C$2:$G$209999,5,0),0)</f>
        <v>48</v>
      </c>
      <c r="W191" s="60">
        <f t="shared" si="29"/>
        <v>354.24</v>
      </c>
      <c r="X191" s="28">
        <v>7.38</v>
      </c>
      <c r="Y191" s="59">
        <v>7.5567297305178567</v>
      </c>
      <c r="Z191" s="60">
        <f t="shared" si="30"/>
        <v>55.768665411221782</v>
      </c>
      <c r="AA191" s="60">
        <f t="shared" si="27"/>
        <v>54.175005087696505</v>
      </c>
      <c r="AB191" s="60">
        <f t="shared" si="28"/>
        <v>1.5936603235252775</v>
      </c>
      <c r="AC191" s="60">
        <f t="shared" si="31"/>
        <v>410.00866541122178</v>
      </c>
      <c r="AD191" s="61">
        <f>+VLOOKUP(C191,'[1]pic au 25-03'!C:R,16,FALSE)</f>
        <v>64.815381730517856</v>
      </c>
      <c r="AE191" s="31"/>
      <c r="AF191" s="62">
        <v>488.12261485968327</v>
      </c>
      <c r="AG191" s="31"/>
      <c r="AH191" s="62">
        <v>488.12261485968327</v>
      </c>
      <c r="AI191" s="31"/>
      <c r="AJ191" s="28">
        <f t="shared" si="32"/>
        <v>410.00866541122178</v>
      </c>
      <c r="AK191" s="21">
        <f>+VLOOKUP(C191,'[1]stock au 25-03-25'!A:X,24,FALSE)</f>
        <v>9.2586519999999997</v>
      </c>
      <c r="AL191" t="s">
        <v>45</v>
      </c>
      <c r="AM191" s="21">
        <f t="shared" si="34"/>
        <v>55.556729730517858</v>
      </c>
      <c r="AN191" t="s">
        <v>45</v>
      </c>
      <c r="AO191" s="63">
        <v>425.79882481968326</v>
      </c>
      <c r="AP191" s="64">
        <f t="shared" si="35"/>
        <v>398.29214794483937</v>
      </c>
      <c r="AQ191" t="s">
        <v>46</v>
      </c>
      <c r="AR191" s="36">
        <f>(AP191-AO191)/AO191</f>
        <v>-6.4600170952778896E-2</v>
      </c>
      <c r="AS191" s="81"/>
      <c r="AT191" s="81">
        <f>(AO191-J191)/J191</f>
        <v>6.0599359403400582E-2</v>
      </c>
      <c r="AU191" s="81"/>
      <c r="AV191" s="66">
        <f>(AP191-J191)/J191</f>
        <v>-7.915540526466874E-3</v>
      </c>
      <c r="BB191" s="56">
        <f>+R191*F191</f>
        <v>401.47</v>
      </c>
    </row>
    <row r="192" spans="1:54" ht="18.75" outlineLevel="1" x14ac:dyDescent="0.3">
      <c r="A192">
        <v>4</v>
      </c>
      <c r="B192" t="s">
        <v>156</v>
      </c>
      <c r="C192">
        <v>338305</v>
      </c>
      <c r="D192" t="s">
        <v>245</v>
      </c>
      <c r="E192" t="s">
        <v>62</v>
      </c>
      <c r="F192" s="21">
        <f>+VLOOKUP(C192,'[1]stock au 25-03-25'!A:D,4,FALSE)</f>
        <v>348</v>
      </c>
      <c r="G192" t="s">
        <v>45</v>
      </c>
      <c r="H192" s="22">
        <f>+VLOOKUP(C192,'[1]stock au 25-03-25'!A:F,6,FALSE)</f>
        <v>3.3348275862068966</v>
      </c>
      <c r="I192" t="s">
        <v>46</v>
      </c>
      <c r="J192" s="56">
        <f>+VLOOKUP(C192,'[1]stock au 25-03-25'!A:H,8,FALSE)</f>
        <v>1160.52</v>
      </c>
      <c r="K192" t="s">
        <v>46</v>
      </c>
      <c r="L192" s="23">
        <v>3.32</v>
      </c>
      <c r="M192" t="s">
        <v>46</v>
      </c>
      <c r="N192" s="56">
        <f>+VLOOKUP(C192,'[1]stock au 25-03-25'!A:L,12,FALSE)</f>
        <v>1155.3599999999999</v>
      </c>
      <c r="P192" s="57">
        <v>3.03</v>
      </c>
      <c r="Q192" t="s">
        <v>46</v>
      </c>
      <c r="R192" s="25">
        <v>3.2</v>
      </c>
      <c r="T192" s="26">
        <v>3.2749999999999999</v>
      </c>
      <c r="U192" s="58">
        <f t="shared" si="33"/>
        <v>2.3437499999999917E-2</v>
      </c>
      <c r="V192" s="10">
        <f>IFERROR(VLOOKUP(C192,'[2]INDICATEURS ACHATS - Matières P'!$C$2:$G$209999,5,0),0)</f>
        <v>96</v>
      </c>
      <c r="W192" s="60">
        <f t="shared" si="29"/>
        <v>314.39999999999998</v>
      </c>
      <c r="X192" s="28">
        <v>3.17</v>
      </c>
      <c r="Y192" s="59">
        <v>64.193192260869566</v>
      </c>
      <c r="Z192" s="60">
        <f t="shared" si="30"/>
        <v>203.49241946695651</v>
      </c>
      <c r="AA192" s="60">
        <f t="shared" si="27"/>
        <v>205.41821523478262</v>
      </c>
      <c r="AB192" s="60">
        <f t="shared" si="28"/>
        <v>-1.9257957678261164</v>
      </c>
      <c r="AC192" s="60">
        <f t="shared" si="31"/>
        <v>517.89241946695643</v>
      </c>
      <c r="AD192" s="61">
        <f>+VLOOKUP(C192,'[1]pic au 25-03'!C:R,16,FALSE)</f>
        <v>185.77319226086956</v>
      </c>
      <c r="AE192" s="31"/>
      <c r="AF192" s="62">
        <v>562.89277255043476</v>
      </c>
      <c r="AG192" s="31"/>
      <c r="AH192" s="62">
        <v>616.76699830608698</v>
      </c>
      <c r="AI192" s="31"/>
      <c r="AJ192" s="28">
        <f t="shared" si="32"/>
        <v>507.81241946695656</v>
      </c>
      <c r="AK192" s="21">
        <f>+VLOOKUP(C192,'[1]stock au 25-03-25'!A:X,24,FALSE)</f>
        <v>25.58</v>
      </c>
      <c r="AL192" t="s">
        <v>45</v>
      </c>
      <c r="AM192" s="21">
        <f t="shared" si="34"/>
        <v>160.19319226086958</v>
      </c>
      <c r="AN192" t="s">
        <v>45</v>
      </c>
      <c r="AO192" s="63">
        <v>281.72288915829864</v>
      </c>
      <c r="AP192" s="64">
        <f t="shared" si="35"/>
        <v>512.61821523478272</v>
      </c>
      <c r="AQ192" t="s">
        <v>46</v>
      </c>
      <c r="AR192" s="36">
        <f>(AP192-AO192)/AO192</f>
        <v>0.81958312569606362</v>
      </c>
      <c r="AS192" s="81"/>
      <c r="AT192" s="81">
        <f>(AO192-J192)/J192</f>
        <v>-0.75724426191853778</v>
      </c>
      <c r="AU192" s="81"/>
      <c r="AV192" s="66">
        <f>(AP192-J192)/J192</f>
        <v>-0.55828575532107783</v>
      </c>
      <c r="BB192" s="56">
        <f>+R192*F192</f>
        <v>1113.6000000000001</v>
      </c>
    </row>
    <row r="193" spans="1:54" ht="18.75" outlineLevel="1" x14ac:dyDescent="0.3">
      <c r="A193">
        <v>4</v>
      </c>
      <c r="B193" t="s">
        <v>156</v>
      </c>
      <c r="C193">
        <v>347216</v>
      </c>
      <c r="D193" t="s">
        <v>246</v>
      </c>
      <c r="E193" t="s">
        <v>62</v>
      </c>
      <c r="F193" s="21">
        <f>+VLOOKUP(C193,'[1]stock au 25-03-25'!A:D,4,FALSE)</f>
        <v>91</v>
      </c>
      <c r="G193" t="s">
        <v>45</v>
      </c>
      <c r="H193" s="22">
        <f>+VLOOKUP(C193,'[1]stock au 25-03-25'!A:F,6,FALSE)</f>
        <v>6.3736263736263732</v>
      </c>
      <c r="I193" t="s">
        <v>46</v>
      </c>
      <c r="J193" s="56">
        <f>+VLOOKUP(C193,'[1]stock au 25-03-25'!A:H,8,FALSE)</f>
        <v>580</v>
      </c>
      <c r="K193" t="s">
        <v>46</v>
      </c>
      <c r="L193" s="23">
        <v>6.45</v>
      </c>
      <c r="M193" t="s">
        <v>46</v>
      </c>
      <c r="N193" s="56">
        <f>+VLOOKUP(C193,'[1]stock au 25-03-25'!A:L,12,FALSE)</f>
        <v>586.95000000000005</v>
      </c>
      <c r="P193" s="57">
        <v>6.45</v>
      </c>
      <c r="Q193" t="s">
        <v>46</v>
      </c>
      <c r="R193" s="25">
        <f>H193*(1+VLOOKUP(A193,'[1]Variation MP'!$B$3:$D$22,3))</f>
        <v>6.3736263736263732</v>
      </c>
      <c r="T193" s="26">
        <v>6.443888888888889</v>
      </c>
      <c r="U193" s="58">
        <f t="shared" si="33"/>
        <v>1.1023946360153344E-2</v>
      </c>
      <c r="V193" s="10">
        <f>IFERROR(VLOOKUP(C193,'[2]INDICATEURS ACHATS - Matières P'!$C$2:$G$209999,5,0),0)</f>
        <v>36</v>
      </c>
      <c r="W193" s="60">
        <f t="shared" si="29"/>
        <v>231.98000000000002</v>
      </c>
      <c r="X193" s="28">
        <v>6.443888888888889</v>
      </c>
      <c r="Y193" s="59">
        <v>-0.76455807256145647</v>
      </c>
      <c r="Z193" s="60">
        <f t="shared" si="30"/>
        <v>-4.9267272686890742</v>
      </c>
      <c r="AA193" s="60">
        <f t="shared" si="27"/>
        <v>-4.8730074954466449</v>
      </c>
      <c r="AB193" s="60">
        <f t="shared" si="28"/>
        <v>-5.371977324242927E-2</v>
      </c>
      <c r="AC193" s="60">
        <f t="shared" si="31"/>
        <v>227.05327273131095</v>
      </c>
      <c r="AD193" s="61">
        <f>+VLOOKUP(C193,'[1]pic au 25-03'!C:R,16,FALSE)</f>
        <v>71.235441927438544</v>
      </c>
      <c r="AE193" s="31"/>
      <c r="AF193" s="62">
        <v>459.46860043197864</v>
      </c>
      <c r="AG193" s="31"/>
      <c r="AH193" s="62">
        <v>459.46860043197864</v>
      </c>
      <c r="AI193" s="31"/>
      <c r="AJ193" s="28">
        <f t="shared" si="32"/>
        <v>227.05327273131093</v>
      </c>
      <c r="AK193" s="21">
        <f>+VLOOKUP(C193,'[1]stock au 25-03-25'!A:X,24,FALSE)</f>
        <v>36</v>
      </c>
      <c r="AL193" t="s">
        <v>45</v>
      </c>
      <c r="AM193" s="21">
        <f t="shared" si="34"/>
        <v>35.235441927438544</v>
      </c>
      <c r="AN193" t="s">
        <v>45</v>
      </c>
      <c r="AO193" s="63">
        <v>224.57754195510279</v>
      </c>
      <c r="AP193" s="64">
        <f t="shared" si="35"/>
        <v>224.57754195510279</v>
      </c>
      <c r="AQ193" t="s">
        <v>46</v>
      </c>
      <c r="AR193" s="36">
        <f>(AP193-AO193)/AO193</f>
        <v>0</v>
      </c>
      <c r="AS193" s="81"/>
      <c r="AT193" s="81">
        <f>(AO193-J193)/J193</f>
        <v>-0.61279734145671938</v>
      </c>
      <c r="AU193" s="81"/>
      <c r="AV193" s="66">
        <f>(AP193-J193)/J193</f>
        <v>-0.61279734145671938</v>
      </c>
      <c r="BB193" s="56">
        <f>+R193*F193</f>
        <v>580</v>
      </c>
    </row>
    <row r="194" spans="1:54" ht="18.75" outlineLevel="1" x14ac:dyDescent="0.3">
      <c r="A194">
        <v>4</v>
      </c>
      <c r="B194" t="s">
        <v>156</v>
      </c>
      <c r="C194">
        <v>339690</v>
      </c>
      <c r="D194" t="s">
        <v>247</v>
      </c>
      <c r="E194" t="s">
        <v>158</v>
      </c>
      <c r="F194" s="21">
        <f>+VLOOKUP(C194,'[1]stock au 25-03-25'!A:D,4,FALSE)</f>
        <v>200</v>
      </c>
      <c r="G194" t="s">
        <v>45</v>
      </c>
      <c r="H194" s="22">
        <f>+VLOOKUP(C194,'[1]stock au 25-03-25'!A:F,6,FALSE)</f>
        <v>1.5</v>
      </c>
      <c r="I194" t="s">
        <v>46</v>
      </c>
      <c r="J194" s="56">
        <f>+VLOOKUP(C194,'[1]stock au 25-03-25'!A:H,8,FALSE)</f>
        <v>300</v>
      </c>
      <c r="K194" t="s">
        <v>46</v>
      </c>
      <c r="L194" s="23">
        <v>1.1299999999999999</v>
      </c>
      <c r="M194" t="s">
        <v>46</v>
      </c>
      <c r="N194" s="56">
        <f>+VLOOKUP(C194,'[1]stock au 25-03-25'!A:L,12,FALSE)</f>
        <v>225.99999999999997</v>
      </c>
      <c r="P194" s="57">
        <v>0.75</v>
      </c>
      <c r="Q194" t="s">
        <v>46</v>
      </c>
      <c r="R194" s="25">
        <v>1.1499999999999999</v>
      </c>
      <c r="T194" s="26" t="s">
        <v>53</v>
      </c>
      <c r="U194" s="58" t="str">
        <f t="shared" si="33"/>
        <v/>
      </c>
      <c r="V194" s="10">
        <f>IFERROR(VLOOKUP(C194,'[2]INDICATEURS ACHATS - Matières P'!$C$2:$G$209999,5,0),0)</f>
        <v>0</v>
      </c>
      <c r="W194" s="60">
        <f t="shared" si="29"/>
        <v>0</v>
      </c>
      <c r="X194" s="28">
        <v>1.1499999999999999</v>
      </c>
      <c r="Y194" s="59">
        <v>72.166324464365744</v>
      </c>
      <c r="Z194" s="60">
        <f t="shared" si="30"/>
        <v>82.991273134020602</v>
      </c>
      <c r="AA194" s="60">
        <f t="shared" si="27"/>
        <v>82.991273134020602</v>
      </c>
      <c r="AB194" s="60">
        <f t="shared" si="28"/>
        <v>0</v>
      </c>
      <c r="AC194" s="60">
        <f t="shared" si="31"/>
        <v>82.991273134020602</v>
      </c>
      <c r="AD194" s="61">
        <f>+VLOOKUP(C194,'[1]pic au 25-03'!C:R,16,FALSE)</f>
        <v>231.90632446436575</v>
      </c>
      <c r="AE194" s="31"/>
      <c r="AF194" s="62">
        <v>173.92974334827431</v>
      </c>
      <c r="AG194" s="31"/>
      <c r="AH194" s="62">
        <v>262.05414664473329</v>
      </c>
      <c r="AI194" s="31"/>
      <c r="AJ194" s="28">
        <f t="shared" si="32"/>
        <v>82.991273134020602</v>
      </c>
      <c r="AK194" s="21">
        <f>+VLOOKUP(C194,'[1]stock au 25-03-25'!A:X,24,FALSE)</f>
        <v>159.74</v>
      </c>
      <c r="AL194" t="s">
        <v>45</v>
      </c>
      <c r="AM194" s="21">
        <f t="shared" si="34"/>
        <v>72.166324464365744</v>
      </c>
      <c r="AN194" t="s">
        <v>45</v>
      </c>
      <c r="AO194" s="63">
        <v>108.24948669654862</v>
      </c>
      <c r="AP194" s="64">
        <f t="shared" si="35"/>
        <v>82.991273134020602</v>
      </c>
      <c r="AQ194" t="s">
        <v>46</v>
      </c>
      <c r="AR194" s="36">
        <f>(AP194-AO194)/AO194</f>
        <v>-0.23333333333333336</v>
      </c>
      <c r="AS194" s="81"/>
      <c r="AT194" s="81">
        <f>(AO194-J194)/J194</f>
        <v>-0.63916837767817125</v>
      </c>
      <c r="AU194" s="81"/>
      <c r="AV194" s="66">
        <f>(AP194-J194)/J194</f>
        <v>-0.72336242288659791</v>
      </c>
      <c r="BB194" s="56">
        <f>+R194*F194</f>
        <v>229.99999999999997</v>
      </c>
    </row>
    <row r="195" spans="1:54" ht="18.75" outlineLevel="1" x14ac:dyDescent="0.3">
      <c r="A195">
        <v>4</v>
      </c>
      <c r="B195" t="s">
        <v>156</v>
      </c>
      <c r="C195">
        <v>338331</v>
      </c>
      <c r="D195" t="s">
        <v>248</v>
      </c>
      <c r="E195" t="s">
        <v>158</v>
      </c>
      <c r="F195" s="21">
        <f>+VLOOKUP(C195,'[1]stock au 25-03-25'!A:D,4,FALSE)</f>
        <v>6580</v>
      </c>
      <c r="G195" t="s">
        <v>45</v>
      </c>
      <c r="H195" s="22">
        <f>+VLOOKUP(C195,'[1]stock au 25-03-25'!A:F,6,FALSE)</f>
        <v>1.8315197568389057</v>
      </c>
      <c r="I195" t="s">
        <v>46</v>
      </c>
      <c r="J195" s="56">
        <f>+VLOOKUP(C195,'[1]stock au 25-03-25'!A:H,8,FALSE)</f>
        <v>12051.4</v>
      </c>
      <c r="K195" t="s">
        <v>46</v>
      </c>
      <c r="L195" s="23">
        <v>1.92</v>
      </c>
      <c r="M195" t="s">
        <v>46</v>
      </c>
      <c r="N195" s="56">
        <f>+VLOOKUP(C195,'[1]stock au 25-03-25'!A:L,12,FALSE)</f>
        <v>12633.6</v>
      </c>
      <c r="P195" s="57">
        <v>1.92</v>
      </c>
      <c r="Q195" t="s">
        <v>46</v>
      </c>
      <c r="R195" s="25">
        <v>1.83</v>
      </c>
      <c r="T195" s="26">
        <v>1.79</v>
      </c>
      <c r="U195" s="58">
        <f t="shared" si="33"/>
        <v>-2.1857923497267777E-2</v>
      </c>
      <c r="V195" s="10">
        <f>IFERROR(VLOOKUP(C195,'[2]INDICATEURS ACHATS - Matières P'!$C$2:$G$209999,5,0),0)</f>
        <v>720</v>
      </c>
      <c r="W195" s="60">
        <f t="shared" si="29"/>
        <v>1288.8</v>
      </c>
      <c r="X195" s="28">
        <v>1.83</v>
      </c>
      <c r="Y195" s="59">
        <v>436.01720320461777</v>
      </c>
      <c r="Z195" s="60">
        <f t="shared" si="30"/>
        <v>797.91148186445059</v>
      </c>
      <c r="AA195" s="60">
        <f t="shared" si="27"/>
        <v>797.91148186445059</v>
      </c>
      <c r="AB195" s="60">
        <f t="shared" si="28"/>
        <v>0</v>
      </c>
      <c r="AC195" s="60">
        <f t="shared" si="31"/>
        <v>2086.7114818644504</v>
      </c>
      <c r="AD195" s="61">
        <f>+VLOOKUP(C195,'[1]pic au 25-03'!C:R,16,FALSE)</f>
        <v>2526.0812032046179</v>
      </c>
      <c r="AE195" s="31"/>
      <c r="AF195" s="62">
        <v>4850.0759101528656</v>
      </c>
      <c r="AG195" s="31"/>
      <c r="AH195" s="62">
        <v>4850.0759101528656</v>
      </c>
      <c r="AI195" s="31"/>
      <c r="AJ195" s="28">
        <f t="shared" si="32"/>
        <v>2115.5114818644506</v>
      </c>
      <c r="AK195" s="21">
        <f>+VLOOKUP(C195,'[1]stock au 25-03-25'!A:X,24,FALSE)</f>
        <v>1370.0640000000001</v>
      </c>
      <c r="AL195" t="s">
        <v>45</v>
      </c>
      <c r="AM195" s="21">
        <f t="shared" si="34"/>
        <v>1156.0172032046178</v>
      </c>
      <c r="AN195" t="s">
        <v>45</v>
      </c>
      <c r="AO195" s="63">
        <v>0</v>
      </c>
      <c r="AP195" s="64">
        <f t="shared" si="35"/>
        <v>2115.5114818644506</v>
      </c>
      <c r="AQ195" t="s">
        <v>46</v>
      </c>
      <c r="AR195" s="36" t="e">
        <f>(AP195-AO195)/AO195</f>
        <v>#DIV/0!</v>
      </c>
      <c r="AS195" s="81"/>
      <c r="AT195" s="81">
        <f>(AO195-J195)/J195</f>
        <v>-1</v>
      </c>
      <c r="AU195" s="81"/>
      <c r="AV195" s="66">
        <f>(AP195-J195)/J195</f>
        <v>-0.82445927594599377</v>
      </c>
      <c r="BB195" s="56">
        <f>+R195*F195</f>
        <v>12041.4</v>
      </c>
    </row>
    <row r="196" spans="1:54" ht="18.75" outlineLevel="1" x14ac:dyDescent="0.3">
      <c r="A196">
        <v>4</v>
      </c>
      <c r="B196" t="s">
        <v>156</v>
      </c>
      <c r="C196">
        <v>338334</v>
      </c>
      <c r="D196" t="s">
        <v>249</v>
      </c>
      <c r="E196" t="s">
        <v>158</v>
      </c>
      <c r="F196" s="21">
        <f>+VLOOKUP(C196,'[1]stock au 25-03-25'!A:D,4,FALSE)</f>
        <v>4320</v>
      </c>
      <c r="G196" t="s">
        <v>45</v>
      </c>
      <c r="H196" s="22">
        <f>+VLOOKUP(C196,'[1]stock au 25-03-25'!A:F,6,FALSE)</f>
        <v>1.875</v>
      </c>
      <c r="I196" t="s">
        <v>46</v>
      </c>
      <c r="J196" s="56">
        <f>+VLOOKUP(C196,'[1]stock au 25-03-25'!A:H,8,FALSE)</f>
        <v>8100</v>
      </c>
      <c r="K196" t="s">
        <v>46</v>
      </c>
      <c r="L196" s="23">
        <v>2</v>
      </c>
      <c r="M196" t="s">
        <v>46</v>
      </c>
      <c r="N196" s="56">
        <f>+VLOOKUP(C196,'[1]stock au 25-03-25'!A:L,12,FALSE)</f>
        <v>8640</v>
      </c>
      <c r="P196" s="57">
        <v>1.55</v>
      </c>
      <c r="Q196" t="s">
        <v>46</v>
      </c>
      <c r="R196" s="25">
        <f>H196*(1+VLOOKUP(A196,'[1]Variation MP'!$B$3:$D$22,3))</f>
        <v>1.875</v>
      </c>
      <c r="T196" s="26" t="s">
        <v>53</v>
      </c>
      <c r="U196" s="58" t="str">
        <f t="shared" si="33"/>
        <v/>
      </c>
      <c r="V196" s="10">
        <f>IFERROR(VLOOKUP(C196,'[2]INDICATEURS ACHATS - Matières P'!$C$2:$G$209999,5,0),0)</f>
        <v>0</v>
      </c>
      <c r="W196" s="60">
        <f t="shared" si="29"/>
        <v>0</v>
      </c>
      <c r="X196" s="28">
        <v>1.875</v>
      </c>
      <c r="Y196" s="59">
        <v>-296.35523526143788</v>
      </c>
      <c r="Z196" s="60">
        <f t="shared" si="30"/>
        <v>-555.66606611519603</v>
      </c>
      <c r="AA196" s="60">
        <f t="shared" ref="AA196:AA259" si="36">SUM(Y196*R196)</f>
        <v>-555.66606611519603</v>
      </c>
      <c r="AB196" s="60">
        <f t="shared" ref="AB196:AB259" si="37">Z196-AA196</f>
        <v>0</v>
      </c>
      <c r="AC196" s="60">
        <f t="shared" si="31"/>
        <v>-555.66606611519603</v>
      </c>
      <c r="AD196" s="61">
        <f>+VLOOKUP(C196,'[1]pic au 25-03'!C:R,16,FALSE)</f>
        <v>280.52476473856211</v>
      </c>
      <c r="AE196" s="31"/>
      <c r="AF196" s="62">
        <v>434.81338534477129</v>
      </c>
      <c r="AG196" s="31"/>
      <c r="AH196" s="62">
        <v>561.04952947712422</v>
      </c>
      <c r="AI196" s="31"/>
      <c r="AJ196" s="28">
        <f t="shared" si="32"/>
        <v>0</v>
      </c>
      <c r="AK196" s="21">
        <f>+VLOOKUP(C196,'[1]stock au 25-03-25'!A:X,24,FALSE)</f>
        <v>576.88</v>
      </c>
      <c r="AL196" t="s">
        <v>45</v>
      </c>
      <c r="AM196" s="21">
        <f t="shared" si="34"/>
        <v>0</v>
      </c>
      <c r="AN196" t="s">
        <v>45</v>
      </c>
      <c r="AO196" s="63">
        <v>0</v>
      </c>
      <c r="AP196" s="64">
        <f t="shared" si="35"/>
        <v>0</v>
      </c>
      <c r="AQ196" t="s">
        <v>46</v>
      </c>
      <c r="AR196" s="36" t="e">
        <f>(AP196-AO196)/AO196</f>
        <v>#DIV/0!</v>
      </c>
      <c r="AS196" s="81"/>
      <c r="AT196" s="81">
        <f>(AO196-J196)/J196</f>
        <v>-1</v>
      </c>
      <c r="AU196" s="81"/>
      <c r="AV196" s="66">
        <f>(AP196-J196)/J196</f>
        <v>-1</v>
      </c>
      <c r="BB196" s="56">
        <f>+R196*F196</f>
        <v>8100</v>
      </c>
    </row>
    <row r="197" spans="1:54" ht="18.75" outlineLevel="1" x14ac:dyDescent="0.3">
      <c r="A197">
        <v>4</v>
      </c>
      <c r="B197" t="s">
        <v>156</v>
      </c>
      <c r="C197">
        <v>338341</v>
      </c>
      <c r="D197" t="s">
        <v>250</v>
      </c>
      <c r="E197" t="s">
        <v>158</v>
      </c>
      <c r="F197" s="21">
        <f>+VLOOKUP(C197,'[1]stock au 25-03-25'!A:D,4,FALSE)</f>
        <v>260</v>
      </c>
      <c r="G197" t="s">
        <v>45</v>
      </c>
      <c r="H197" s="22">
        <f>+VLOOKUP(C197,'[1]stock au 25-03-25'!A:F,6,FALSE)</f>
        <v>2.4299999999999997</v>
      </c>
      <c r="I197" t="s">
        <v>46</v>
      </c>
      <c r="J197" s="56">
        <f>+VLOOKUP(C197,'[1]stock au 25-03-25'!A:H,8,FALSE)</f>
        <v>631.79999999999995</v>
      </c>
      <c r="K197" t="s">
        <v>46</v>
      </c>
      <c r="L197" s="23">
        <v>2.12</v>
      </c>
      <c r="M197" t="s">
        <v>46</v>
      </c>
      <c r="N197" s="56">
        <f>+VLOOKUP(C197,'[1]stock au 25-03-25'!A:L,12,FALSE)</f>
        <v>551.20000000000005</v>
      </c>
      <c r="Q197" t="s">
        <v>46</v>
      </c>
      <c r="R197" s="25">
        <f>H197*(1+VLOOKUP(A197,'[1]Variation MP'!$B$3:$D$22,3))</f>
        <v>2.4299999999999997</v>
      </c>
      <c r="T197" s="26">
        <v>2.6300000000000003</v>
      </c>
      <c r="U197" s="58">
        <f t="shared" si="33"/>
        <v>8.2304526748971457E-2</v>
      </c>
      <c r="V197" s="10">
        <f>IFERROR(VLOOKUP(C197,'[2]INDICATEURS ACHATS - Matières P'!$C$2:$G$209999,5,0),0)</f>
        <v>120</v>
      </c>
      <c r="W197" s="60">
        <f t="shared" ref="W197:W261" si="38">IFERROR(V197*T197,0)</f>
        <v>315.60000000000002</v>
      </c>
      <c r="X197" s="28">
        <v>2.6300000000000003</v>
      </c>
      <c r="Y197" s="59">
        <v>-120</v>
      </c>
      <c r="Z197" s="60">
        <f t="shared" ref="Z197:Z261" si="39">Y197*X197</f>
        <v>-315.60000000000002</v>
      </c>
      <c r="AA197" s="60">
        <f t="shared" si="36"/>
        <v>-291.59999999999997</v>
      </c>
      <c r="AB197" s="60">
        <f t="shared" si="37"/>
        <v>-24.000000000000057</v>
      </c>
      <c r="AC197" s="60">
        <f t="shared" ref="AC197:AC260" si="40">+W197+Z197</f>
        <v>0</v>
      </c>
      <c r="AD197" s="61">
        <v>0</v>
      </c>
      <c r="AE197" s="31"/>
      <c r="AF197" s="62"/>
      <c r="AG197" s="31"/>
      <c r="AH197" s="62"/>
      <c r="AI197" s="31"/>
      <c r="AJ197" s="28">
        <f t="shared" ref="AJ197:AJ260" si="41">X197*AM197</f>
        <v>0</v>
      </c>
      <c r="AK197" s="21">
        <f>+VLOOKUP(C197,'[1]stock au 25-03-25'!A:X,24,FALSE)</f>
        <v>0</v>
      </c>
      <c r="AL197" t="s">
        <v>45</v>
      </c>
      <c r="AM197" s="21">
        <f t="shared" si="34"/>
        <v>0</v>
      </c>
      <c r="AN197" t="s">
        <v>45</v>
      </c>
      <c r="AO197" s="63"/>
      <c r="AP197" s="64">
        <f t="shared" si="35"/>
        <v>0</v>
      </c>
      <c r="AQ197" t="s">
        <v>46</v>
      </c>
      <c r="AR197" s="36" t="e">
        <f>(AP197-AO197)/AO197</f>
        <v>#DIV/0!</v>
      </c>
      <c r="AS197" s="81"/>
      <c r="AT197" s="81">
        <f>(AO197-J197)/J197</f>
        <v>-1</v>
      </c>
      <c r="AU197" s="81"/>
      <c r="AV197" s="66">
        <f>(AP197-J197)/J197</f>
        <v>-1</v>
      </c>
      <c r="BB197" s="56">
        <f>+R197*F197</f>
        <v>631.79999999999995</v>
      </c>
    </row>
    <row r="198" spans="1:54" ht="18.75" outlineLevel="1" x14ac:dyDescent="0.3">
      <c r="A198">
        <v>4</v>
      </c>
      <c r="B198" t="s">
        <v>156</v>
      </c>
      <c r="C198">
        <v>340856</v>
      </c>
      <c r="D198" t="s">
        <v>251</v>
      </c>
      <c r="E198" t="s">
        <v>205</v>
      </c>
      <c r="F198" s="21">
        <f>+VLOOKUP(C198,'[1]stock au 25-03-25'!A:D,4,FALSE)</f>
        <v>200</v>
      </c>
      <c r="G198" t="s">
        <v>45</v>
      </c>
      <c r="H198" s="22">
        <f>+VLOOKUP(C198,'[1]stock au 25-03-25'!A:F,6,FALSE)</f>
        <v>2.52</v>
      </c>
      <c r="I198" t="s">
        <v>46</v>
      </c>
      <c r="J198" s="56">
        <f>+VLOOKUP(C198,'[1]stock au 25-03-25'!A:H,8,FALSE)</f>
        <v>504</v>
      </c>
      <c r="K198" t="s">
        <v>46</v>
      </c>
      <c r="L198" s="23">
        <v>2.52</v>
      </c>
      <c r="M198" t="s">
        <v>46</v>
      </c>
      <c r="N198" s="56">
        <f>+VLOOKUP(C198,'[1]stock au 25-03-25'!A:L,12,FALSE)</f>
        <v>504</v>
      </c>
      <c r="Q198" t="s">
        <v>46</v>
      </c>
      <c r="R198" s="25">
        <f>H198*(1+VLOOKUP(A198,'[1]Variation MP'!$B$3:$D$22,3))</f>
        <v>2.52</v>
      </c>
      <c r="T198" s="26" t="s">
        <v>53</v>
      </c>
      <c r="U198" s="58" t="str">
        <f t="shared" si="33"/>
        <v/>
      </c>
      <c r="V198" s="10">
        <f>IFERROR(VLOOKUP(C198,'[2]INDICATEURS ACHATS - Matières P'!$C$2:$G$209999,5,0),0)</f>
        <v>0</v>
      </c>
      <c r="W198" s="60">
        <f t="shared" si="38"/>
        <v>0</v>
      </c>
      <c r="X198" s="28">
        <v>2.52</v>
      </c>
      <c r="Y198" s="59">
        <v>-84.936590000000038</v>
      </c>
      <c r="Z198" s="60">
        <f t="shared" si="39"/>
        <v>-214.04020680000011</v>
      </c>
      <c r="AA198" s="60">
        <f t="shared" si="36"/>
        <v>-214.04020680000011</v>
      </c>
      <c r="AB198" s="60">
        <f t="shared" si="37"/>
        <v>0</v>
      </c>
      <c r="AC198" s="60">
        <f t="shared" si="40"/>
        <v>-214.04020680000011</v>
      </c>
      <c r="AD198" s="61">
        <f>+VLOOKUP(C198,'[1]pic au 25-03'!C:R,16,FALSE)</f>
        <v>100.24240999999996</v>
      </c>
      <c r="AE198" s="31"/>
      <c r="AF198" s="62"/>
      <c r="AG198" s="31"/>
      <c r="AH198" s="62">
        <v>252.61087320000001</v>
      </c>
      <c r="AI198" s="31"/>
      <c r="AJ198" s="28">
        <f t="shared" si="41"/>
        <v>0</v>
      </c>
      <c r="AK198" s="21">
        <f>+VLOOKUP(C198,'[1]stock au 25-03-25'!A:X,24,FALSE)</f>
        <v>185.179</v>
      </c>
      <c r="AL198" t="s">
        <v>45</v>
      </c>
      <c r="AM198" s="21">
        <f t="shared" si="34"/>
        <v>0</v>
      </c>
      <c r="AN198" t="s">
        <v>45</v>
      </c>
      <c r="AO198" s="63">
        <v>0</v>
      </c>
      <c r="AP198" s="64">
        <f t="shared" si="35"/>
        <v>0</v>
      </c>
      <c r="AQ198" t="s">
        <v>46</v>
      </c>
      <c r="AR198" s="36" t="e">
        <f>(AP198-AO198)/AO198</f>
        <v>#DIV/0!</v>
      </c>
      <c r="AS198" s="81"/>
      <c r="AT198" s="81">
        <f>(AO198-J198)/J198</f>
        <v>-1</v>
      </c>
      <c r="AU198" s="81"/>
      <c r="AV198" s="66">
        <f>(AP198-J198)/J198</f>
        <v>-1</v>
      </c>
      <c r="BB198" s="56">
        <f>+R198*F198</f>
        <v>504</v>
      </c>
    </row>
    <row r="199" spans="1:54" ht="18.75" outlineLevel="1" x14ac:dyDescent="0.3">
      <c r="A199">
        <v>4</v>
      </c>
      <c r="B199" t="s">
        <v>156</v>
      </c>
      <c r="C199">
        <v>343107</v>
      </c>
      <c r="D199" t="s">
        <v>252</v>
      </c>
      <c r="E199" t="s">
        <v>158</v>
      </c>
      <c r="F199" s="21">
        <f>+VLOOKUP(C199,'[1]stock au 25-03-25'!A:D,4,FALSE)</f>
        <v>20</v>
      </c>
      <c r="G199" t="s">
        <v>45</v>
      </c>
      <c r="H199" s="22">
        <f>+VLOOKUP(C199,'[1]stock au 25-03-25'!A:F,6,FALSE)</f>
        <v>1.42</v>
      </c>
      <c r="I199" t="s">
        <v>46</v>
      </c>
      <c r="J199" s="56">
        <f>+VLOOKUP(C199,'[1]stock au 25-03-25'!A:H,8,FALSE)</f>
        <v>28.4</v>
      </c>
      <c r="K199" t="s">
        <v>46</v>
      </c>
      <c r="L199" s="23">
        <v>3.97</v>
      </c>
      <c r="M199" t="s">
        <v>46</v>
      </c>
      <c r="N199" s="56">
        <f>+VLOOKUP(C199,'[1]stock au 25-03-25'!A:L,12,FALSE)</f>
        <v>79.400000000000006</v>
      </c>
      <c r="Q199" t="s">
        <v>46</v>
      </c>
      <c r="R199" s="25">
        <v>1.42</v>
      </c>
      <c r="T199" s="26">
        <v>2.2000000000000002</v>
      </c>
      <c r="U199" s="58">
        <f t="shared" si="33"/>
        <v>0.54929577464788748</v>
      </c>
      <c r="V199" s="10">
        <f>IFERROR(VLOOKUP(C199,'[2]INDICATEURS ACHATS - Matières P'!$C$2:$G$209999,5,0),0)</f>
        <v>360</v>
      </c>
      <c r="W199" s="60">
        <f t="shared" si="38"/>
        <v>792.00000000000011</v>
      </c>
      <c r="X199" s="28">
        <v>2.2000000000000002</v>
      </c>
      <c r="Y199" s="59">
        <v>-360</v>
      </c>
      <c r="Z199" s="60">
        <f t="shared" si="39"/>
        <v>-792.00000000000011</v>
      </c>
      <c r="AA199" s="60">
        <f t="shared" si="36"/>
        <v>-511.2</v>
      </c>
      <c r="AB199" s="60">
        <f t="shared" si="37"/>
        <v>-280.80000000000013</v>
      </c>
      <c r="AC199" s="60">
        <f t="shared" si="40"/>
        <v>0</v>
      </c>
      <c r="AD199" s="61">
        <v>0</v>
      </c>
      <c r="AE199" s="31"/>
      <c r="AF199" s="62"/>
      <c r="AG199" s="31"/>
      <c r="AH199" s="62"/>
      <c r="AI199" s="31"/>
      <c r="AJ199" s="28">
        <f t="shared" si="41"/>
        <v>0</v>
      </c>
      <c r="AK199" s="21">
        <f>+VLOOKUP(C199,'[1]stock au 25-03-25'!A:X,24,FALSE)</f>
        <v>0</v>
      </c>
      <c r="AL199" t="s">
        <v>45</v>
      </c>
      <c r="AM199" s="21">
        <f t="shared" si="34"/>
        <v>0</v>
      </c>
      <c r="AN199" t="s">
        <v>45</v>
      </c>
      <c r="AO199" s="63"/>
      <c r="AP199" s="64">
        <f t="shared" si="35"/>
        <v>0</v>
      </c>
      <c r="AQ199" t="s">
        <v>46</v>
      </c>
      <c r="AR199" s="36" t="e">
        <f>(AP199-AO199)/AO199</f>
        <v>#DIV/0!</v>
      </c>
      <c r="AS199" s="81"/>
      <c r="AT199" s="81">
        <f>(AO199-J199)/J199</f>
        <v>-1</v>
      </c>
      <c r="AU199" s="81"/>
      <c r="AV199" s="66">
        <f>(AP199-J199)/J199</f>
        <v>-1</v>
      </c>
      <c r="BB199" s="56">
        <f>+R199*F199</f>
        <v>28.4</v>
      </c>
    </row>
    <row r="200" spans="1:54" ht="18.75" outlineLevel="1" x14ac:dyDescent="0.3">
      <c r="A200">
        <v>4</v>
      </c>
      <c r="B200" t="s">
        <v>156</v>
      </c>
      <c r="C200">
        <v>348562</v>
      </c>
      <c r="D200" t="s">
        <v>253</v>
      </c>
      <c r="E200" t="s">
        <v>158</v>
      </c>
      <c r="F200" s="21">
        <f>+VLOOKUP(C200,'[1]stock au 25-03-25'!A:D,4,FALSE)</f>
        <v>2413</v>
      </c>
      <c r="G200" t="s">
        <v>45</v>
      </c>
      <c r="H200" s="22">
        <f>+VLOOKUP(C200,'[1]stock au 25-03-25'!A:F,6,FALSE)</f>
        <v>3.6298922503108164</v>
      </c>
      <c r="I200" t="s">
        <v>46</v>
      </c>
      <c r="J200" s="56">
        <f>+VLOOKUP(C200,'[1]stock au 25-03-25'!A:H,8,FALSE)</f>
        <v>8758.93</v>
      </c>
      <c r="K200" t="s">
        <v>46</v>
      </c>
      <c r="L200" s="23">
        <v>3.95</v>
      </c>
      <c r="M200" t="s">
        <v>46</v>
      </c>
      <c r="N200" s="56">
        <f>+VLOOKUP(C200,'[1]stock au 25-03-25'!A:L,12,FALSE)</f>
        <v>9531.35</v>
      </c>
      <c r="Q200" t="s">
        <v>46</v>
      </c>
      <c r="R200" s="25">
        <f>H200*(1+VLOOKUP(A200,'[1]Variation MP'!$B$3:$D$22,3))</f>
        <v>3.6298922503108164</v>
      </c>
      <c r="T200" s="26" t="s">
        <v>53</v>
      </c>
      <c r="U200" s="58" t="str">
        <f t="shared" si="33"/>
        <v/>
      </c>
      <c r="V200" s="10">
        <f>IFERROR(VLOOKUP(C200,'[2]INDICATEURS ACHATS - Matières P'!$C$2:$G$209999,5,0),0)</f>
        <v>0</v>
      </c>
      <c r="W200" s="60">
        <f t="shared" si="38"/>
        <v>0</v>
      </c>
      <c r="X200" s="28">
        <v>3.6298922503108164</v>
      </c>
      <c r="Y200" s="59">
        <v>0</v>
      </c>
      <c r="Z200" s="60">
        <f t="shared" si="39"/>
        <v>0</v>
      </c>
      <c r="AA200" s="60">
        <f t="shared" si="36"/>
        <v>0</v>
      </c>
      <c r="AB200" s="60">
        <f t="shared" si="37"/>
        <v>0</v>
      </c>
      <c r="AC200" s="60">
        <f t="shared" si="40"/>
        <v>0</v>
      </c>
      <c r="AD200" s="61">
        <v>0</v>
      </c>
      <c r="AE200" s="31"/>
      <c r="AF200" s="62"/>
      <c r="AG200" s="31"/>
      <c r="AH200" s="62"/>
      <c r="AI200" s="31"/>
      <c r="AJ200" s="28">
        <f t="shared" si="41"/>
        <v>0</v>
      </c>
      <c r="AK200" s="21">
        <f>+VLOOKUP(C200,'[1]stock au 25-03-25'!A:X,24,FALSE)</f>
        <v>0</v>
      </c>
      <c r="AL200" t="s">
        <v>45</v>
      </c>
      <c r="AM200" s="21">
        <f t="shared" si="34"/>
        <v>0</v>
      </c>
      <c r="AN200" t="s">
        <v>45</v>
      </c>
      <c r="AO200" s="63"/>
      <c r="AP200" s="64">
        <f t="shared" si="35"/>
        <v>0</v>
      </c>
      <c r="AQ200" t="s">
        <v>46</v>
      </c>
      <c r="AR200" s="36" t="e">
        <f>(AP200-AO200)/AO200</f>
        <v>#DIV/0!</v>
      </c>
      <c r="AS200" s="81"/>
      <c r="AT200" s="81">
        <f>(AO200-J200)/J200</f>
        <v>-1</v>
      </c>
      <c r="AU200" s="81"/>
      <c r="AV200" s="66">
        <f>(AP200-J200)/J200</f>
        <v>-1</v>
      </c>
      <c r="BB200" s="56">
        <f>+R200*F200</f>
        <v>8758.93</v>
      </c>
    </row>
    <row r="201" spans="1:54" x14ac:dyDescent="0.25">
      <c r="A201" s="67"/>
      <c r="B201" s="67" t="s">
        <v>254</v>
      </c>
      <c r="C201" s="67"/>
      <c r="D201" s="67"/>
      <c r="E201" s="67"/>
      <c r="F201" s="79">
        <f>SUM(F107:F200)</f>
        <v>1397100.75</v>
      </c>
      <c r="G201" s="67" t="s">
        <v>45</v>
      </c>
      <c r="H201" s="69"/>
      <c r="I201" s="67"/>
      <c r="J201" s="70">
        <f>SUM(J107:J200)</f>
        <v>2105956.31</v>
      </c>
      <c r="K201" s="67"/>
      <c r="L201" s="69"/>
      <c r="M201" s="67"/>
      <c r="N201" s="70">
        <f>SUM(N107:N200)</f>
        <v>2362880.4682999994</v>
      </c>
      <c r="O201" s="78"/>
      <c r="P201" s="78">
        <f>SUM(P107:P200)</f>
        <v>239.27000000000004</v>
      </c>
      <c r="Q201" s="78">
        <f>SUM(Q107:Q200)</f>
        <v>0</v>
      </c>
      <c r="R201" s="78"/>
      <c r="S201" s="78"/>
      <c r="T201" s="83"/>
      <c r="U201" s="83"/>
      <c r="V201" s="10">
        <f>IFERROR(VLOOKUP(C201,'[2]INDICATEURS ACHATS - Matières P'!$C$2:$G$209999,5,0),0)</f>
        <v>0</v>
      </c>
      <c r="W201" s="60">
        <f>SUM(W107:W200)</f>
        <v>1110753.7400000002</v>
      </c>
      <c r="X201" s="28">
        <f>SUM(X107:X200)</f>
        <v>262.26729915828543</v>
      </c>
      <c r="Y201" s="59">
        <v>-128707.57252499995</v>
      </c>
      <c r="Z201" s="60">
        <f>SUM(Z107:Z200)</f>
        <v>859291.61079007527</v>
      </c>
      <c r="AA201" s="60">
        <f t="shared" si="36"/>
        <v>0</v>
      </c>
      <c r="AB201" s="60"/>
      <c r="AC201" s="60">
        <f t="shared" si="40"/>
        <v>1970045.3507900755</v>
      </c>
      <c r="AD201" s="74">
        <f>SUM(AD107:AD200)</f>
        <v>1455232.1258394078</v>
      </c>
      <c r="AE201" s="75"/>
      <c r="AF201" s="76">
        <f>SUM(AF107:AF200)</f>
        <v>2330445.5492421393</v>
      </c>
      <c r="AG201" s="75"/>
      <c r="AH201" s="76">
        <f>SUM(AH107:AH200)</f>
        <v>2554180.0416653194</v>
      </c>
      <c r="AI201" s="75"/>
      <c r="AJ201" s="28">
        <f>SUM(AJ107:AJ200)</f>
        <v>1945086.8372661669</v>
      </c>
      <c r="AK201" s="77">
        <f>SUM(AK107:AK200)</f>
        <v>128707.57252499995</v>
      </c>
      <c r="AL201" s="78">
        <f>SUM(AL107:AL200)</f>
        <v>0</v>
      </c>
      <c r="AM201" s="79">
        <f>SUM(AM107:AM200)</f>
        <v>1326905.84513967</v>
      </c>
      <c r="AN201" s="78" t="s">
        <v>45</v>
      </c>
      <c r="AO201" s="80">
        <f>SUM(AO107:AO200)</f>
        <v>2052136.2674097065</v>
      </c>
      <c r="AP201" s="80">
        <f>SUM(AP107:AP200)</f>
        <v>1948086.3148988213</v>
      </c>
      <c r="AQ201" s="67"/>
      <c r="AR201" s="81">
        <f>(AP201-AO201)/AO201</f>
        <v>-5.0703237481505778E-2</v>
      </c>
      <c r="AS201" s="81"/>
      <c r="AT201" s="81">
        <f>(AO201-J201)/J201</f>
        <v>-2.5556105952783782E-2</v>
      </c>
      <c r="AU201" s="82">
        <f>AO201-J201</f>
        <v>-53820.042590293568</v>
      </c>
      <c r="AV201" s="81">
        <f>(AP201-J201)/J201</f>
        <v>-7.4963566125063039E-2</v>
      </c>
      <c r="AW201" s="72">
        <f>AP201-N201</f>
        <v>-414794.15340117808</v>
      </c>
      <c r="AX201" s="67"/>
      <c r="AY201" s="67"/>
      <c r="AZ201" s="81">
        <f>(AM201-F201)/F201</f>
        <v>-5.0243266178427039E-2</v>
      </c>
      <c r="BA201" s="81">
        <f>(AP201-N201)/N201</f>
        <v>-0.17554597406258401</v>
      </c>
      <c r="BB201" s="78">
        <f>SUM(BB107:BB200)</f>
        <v>2063418.6335</v>
      </c>
    </row>
    <row r="202" spans="1:54" ht="18.75" outlineLevel="1" x14ac:dyDescent="0.3">
      <c r="A202">
        <v>5</v>
      </c>
      <c r="B202" t="s">
        <v>255</v>
      </c>
      <c r="C202">
        <v>338362</v>
      </c>
      <c r="D202" t="s">
        <v>256</v>
      </c>
      <c r="E202" t="s">
        <v>62</v>
      </c>
      <c r="F202" s="21">
        <f>+VLOOKUP(C202,'[1]stock au 25-03-25'!A:D,4,FALSE)</f>
        <v>47700</v>
      </c>
      <c r="G202" t="s">
        <v>45</v>
      </c>
      <c r="H202" s="22">
        <f>+VLOOKUP(C202,'[1]stock au 25-03-25'!A:F,6,FALSE)</f>
        <v>1.39</v>
      </c>
      <c r="I202" t="s">
        <v>46</v>
      </c>
      <c r="J202" s="56">
        <f>+VLOOKUP(C202,'[1]stock au 25-03-25'!A:H,8,FALSE)</f>
        <v>66303</v>
      </c>
      <c r="K202" t="s">
        <v>46</v>
      </c>
      <c r="L202" s="23">
        <v>1.34</v>
      </c>
      <c r="M202" t="s">
        <v>46</v>
      </c>
      <c r="N202" s="56">
        <f>+VLOOKUP(C202,'[1]stock au 25-03-25'!A:L,12,FALSE)</f>
        <v>63918.000000000007</v>
      </c>
      <c r="P202" s="57">
        <v>1.33</v>
      </c>
      <c r="Q202" t="s">
        <v>46</v>
      </c>
      <c r="R202" s="25">
        <v>1.5</v>
      </c>
      <c r="T202" s="26">
        <v>1.4657142857142857</v>
      </c>
      <c r="U202" s="58">
        <f t="shared" ref="U202:U221" si="42">IFERROR((T202-R202)/R202,"")</f>
        <v>-2.2857142857142836E-2</v>
      </c>
      <c r="V202" s="10">
        <f>IFERROR(VLOOKUP(C202,'[2]INDICATEURS ACHATS - Matières P'!$C$2:$G$209999,5,0),0)</f>
        <v>31500</v>
      </c>
      <c r="W202" s="60">
        <f t="shared" si="38"/>
        <v>46170</v>
      </c>
      <c r="X202" s="28">
        <v>1.45</v>
      </c>
      <c r="Y202" s="59">
        <v>21120.013673585596</v>
      </c>
      <c r="Z202" s="60">
        <f t="shared" si="39"/>
        <v>30624.019826699114</v>
      </c>
      <c r="AA202" s="60">
        <f t="shared" si="36"/>
        <v>31680.020510378396</v>
      </c>
      <c r="AB202" s="60">
        <f t="shared" si="37"/>
        <v>-1056.0006836792818</v>
      </c>
      <c r="AC202" s="60">
        <f t="shared" si="40"/>
        <v>76794.019826699106</v>
      </c>
      <c r="AD202" s="61">
        <f>+VLOOKUP(C202,'[1]pic au 25-03'!C:R,16,FALSE)</f>
        <v>55989.307181585595</v>
      </c>
      <c r="AE202" s="31"/>
      <c r="AF202" s="62">
        <v>82537.86397971226</v>
      </c>
      <c r="AG202" s="31"/>
      <c r="AH202" s="62">
        <v>83158.449423168742</v>
      </c>
      <c r="AI202" s="31"/>
      <c r="AJ202" s="28">
        <f t="shared" si="41"/>
        <v>76299.019826699106</v>
      </c>
      <c r="AK202" s="21">
        <f>+VLOOKUP(C202,'[1]stock au 25-03-25'!A:X,24,FALSE)</f>
        <v>3369.2935080000002</v>
      </c>
      <c r="AL202" t="s">
        <v>45</v>
      </c>
      <c r="AM202" s="21">
        <f t="shared" ref="AM202:AM221" si="43">IF(AD202-AK202&lt;0,0,AD202-AK202)</f>
        <v>52620.013673585592</v>
      </c>
      <c r="AN202" t="s">
        <v>45</v>
      </c>
      <c r="AO202" s="63">
        <v>84062.39984208603</v>
      </c>
      <c r="AP202" s="64">
        <f t="shared" ref="AP202:AP221" si="44">IF(AM202&lt;0,0,AM202*R202)</f>
        <v>78930.020510378381</v>
      </c>
      <c r="AQ202" t="s">
        <v>46</v>
      </c>
      <c r="AR202" s="36">
        <f>(AP202-AO202)/AO202</f>
        <v>-6.1054399367005838E-2</v>
      </c>
      <c r="AS202" s="81"/>
      <c r="AT202" s="81">
        <f>(AO202-J202)/J202</f>
        <v>0.26785213100592781</v>
      </c>
      <c r="AU202" s="81"/>
      <c r="AV202" s="66">
        <f>(AP202-J202)/J202</f>
        <v>0.19044418066118246</v>
      </c>
      <c r="BB202" s="56">
        <f>+R202*F202</f>
        <v>71550</v>
      </c>
    </row>
    <row r="203" spans="1:54" ht="18.75" outlineLevel="1" x14ac:dyDescent="0.3">
      <c r="A203">
        <v>5</v>
      </c>
      <c r="B203" t="s">
        <v>255</v>
      </c>
      <c r="C203">
        <v>343161</v>
      </c>
      <c r="D203" t="s">
        <v>257</v>
      </c>
      <c r="E203" t="s">
        <v>62</v>
      </c>
      <c r="F203" s="21">
        <f>+VLOOKUP(C203,'[1]stock au 25-03-25'!A:D,4,FALSE)</f>
        <v>35838.97</v>
      </c>
      <c r="G203" t="s">
        <v>45</v>
      </c>
      <c r="H203" s="22">
        <f>+VLOOKUP(C203,'[1]stock au 25-03-25'!A:F,6,FALSE)</f>
        <v>1.6132935740061725</v>
      </c>
      <c r="I203" t="s">
        <v>46</v>
      </c>
      <c r="J203" s="56">
        <f>+VLOOKUP(C203,'[1]stock au 25-03-25'!A:H,8,FALSE)</f>
        <v>57818.78</v>
      </c>
      <c r="K203" t="s">
        <v>46</v>
      </c>
      <c r="L203" s="23">
        <v>1.63</v>
      </c>
      <c r="M203" t="s">
        <v>46</v>
      </c>
      <c r="N203" s="56">
        <f>+VLOOKUP(C203,'[1]stock au 25-03-25'!A:L,12,FALSE)</f>
        <v>58417.521099999998</v>
      </c>
      <c r="P203" s="57">
        <v>1.63</v>
      </c>
      <c r="Q203" t="s">
        <v>46</v>
      </c>
      <c r="R203" s="25">
        <v>1.75</v>
      </c>
      <c r="T203" s="26">
        <v>1.7667044580805835</v>
      </c>
      <c r="U203" s="58">
        <f t="shared" si="42"/>
        <v>9.5454046174762962E-3</v>
      </c>
      <c r="V203" s="10">
        <f>IFERROR(VLOOKUP(C203,'[2]INDICATEURS ACHATS - Matières P'!$C$2:$G$209999,5,0),0)</f>
        <v>14800.54</v>
      </c>
      <c r="W203" s="60">
        <f t="shared" si="38"/>
        <v>26148.18</v>
      </c>
      <c r="X203" s="28">
        <v>1.75</v>
      </c>
      <c r="Y203" s="59">
        <v>32321.947156747086</v>
      </c>
      <c r="Z203" s="60">
        <f t="shared" si="39"/>
        <v>56563.407524307404</v>
      </c>
      <c r="AA203" s="60">
        <f t="shared" si="36"/>
        <v>56563.407524307404</v>
      </c>
      <c r="AB203" s="60">
        <f t="shared" si="37"/>
        <v>0</v>
      </c>
      <c r="AC203" s="60">
        <f t="shared" si="40"/>
        <v>82711.587524307397</v>
      </c>
      <c r="AD203" s="61">
        <f>+VLOOKUP(C203,'[1]pic au 25-03'!C:R,16,FALSE)</f>
        <v>49513.927156747086</v>
      </c>
      <c r="AE203" s="31"/>
      <c r="AF203" s="62">
        <v>82469.617542208856</v>
      </c>
      <c r="AG203" s="31"/>
      <c r="AH203" s="62">
        <v>82469.617542208856</v>
      </c>
      <c r="AI203" s="31"/>
      <c r="AJ203" s="28">
        <f t="shared" si="41"/>
        <v>82464.352524307396</v>
      </c>
      <c r="AK203" s="21">
        <f>+VLOOKUP(C203,'[1]stock au 25-03-25'!A:X,24,FALSE)</f>
        <v>2391.44</v>
      </c>
      <c r="AL203" t="s">
        <v>45</v>
      </c>
      <c r="AM203" s="21">
        <f t="shared" si="43"/>
        <v>47122.487156747084</v>
      </c>
      <c r="AN203" t="s">
        <v>45</v>
      </c>
      <c r="AO203" s="63">
        <v>76078.2459109786</v>
      </c>
      <c r="AP203" s="64">
        <f t="shared" si="44"/>
        <v>82464.352524307396</v>
      </c>
      <c r="AQ203" t="s">
        <v>46</v>
      </c>
      <c r="AR203" s="36">
        <f>(AP203-AO203)/AO203</f>
        <v>8.394129671182704E-2</v>
      </c>
      <c r="AS203" s="81"/>
      <c r="AT203" s="81">
        <f>(AO203-J203)/J203</f>
        <v>0.31580510538234463</v>
      </c>
      <c r="AU203" s="81"/>
      <c r="AV203" s="66">
        <f>(AP203-J203)/J203</f>
        <v>0.42625549214818087</v>
      </c>
      <c r="BB203" s="56">
        <f>+R203*F203</f>
        <v>62718.197500000002</v>
      </c>
    </row>
    <row r="204" spans="1:54" ht="18.75" outlineLevel="1" x14ac:dyDescent="0.3">
      <c r="A204">
        <v>5</v>
      </c>
      <c r="B204" t="s">
        <v>255</v>
      </c>
      <c r="C204">
        <v>338363</v>
      </c>
      <c r="D204" t="s">
        <v>258</v>
      </c>
      <c r="E204" t="s">
        <v>62</v>
      </c>
      <c r="F204" s="21">
        <f>+VLOOKUP(C204,'[1]stock au 25-03-25'!A:D,4,FALSE)</f>
        <v>16248</v>
      </c>
      <c r="G204" t="s">
        <v>45</v>
      </c>
      <c r="H204" s="22">
        <f>+VLOOKUP(C204,'[1]stock au 25-03-25'!A:F,6,FALSE)</f>
        <v>7.123995568685376</v>
      </c>
      <c r="I204" t="s">
        <v>46</v>
      </c>
      <c r="J204" s="56">
        <f>+VLOOKUP(C204,'[1]stock au 25-03-25'!A:H,8,FALSE)</f>
        <v>115750.68</v>
      </c>
      <c r="K204" t="s">
        <v>46</v>
      </c>
      <c r="L204" s="23">
        <v>9.81</v>
      </c>
      <c r="M204" t="s">
        <v>46</v>
      </c>
      <c r="N204" s="56">
        <f>+VLOOKUP(C204,'[1]stock au 25-03-25'!A:L,12,FALSE)</f>
        <v>159392.88</v>
      </c>
      <c r="P204" s="57">
        <v>9.81</v>
      </c>
      <c r="Q204" t="s">
        <v>46</v>
      </c>
      <c r="R204" s="25">
        <v>4.26</v>
      </c>
      <c r="T204" s="26">
        <v>4.1201761198169464</v>
      </c>
      <c r="U204" s="58">
        <f t="shared" si="42"/>
        <v>-3.2822507085223794E-2</v>
      </c>
      <c r="V204" s="10">
        <f>IFERROR(VLOOKUP(C204,'[2]INDICATEURS ACHATS - Matières P'!$C$2:$G$209999,5,0),0)</f>
        <v>7211</v>
      </c>
      <c r="W204" s="60">
        <f t="shared" si="38"/>
        <v>29710.59</v>
      </c>
      <c r="X204" s="28">
        <v>3.97</v>
      </c>
      <c r="Y204" s="59">
        <v>7898.3213929886588</v>
      </c>
      <c r="Z204" s="60">
        <f t="shared" si="39"/>
        <v>31356.335930164976</v>
      </c>
      <c r="AA204" s="60">
        <f t="shared" si="36"/>
        <v>33646.849134131684</v>
      </c>
      <c r="AB204" s="60">
        <f t="shared" si="37"/>
        <v>-2290.5132039667078</v>
      </c>
      <c r="AC204" s="60">
        <f t="shared" si="40"/>
        <v>61066.925930164973</v>
      </c>
      <c r="AD204" s="61">
        <f>+VLOOKUP(C204,'[1]pic au 25-03'!C:R,16,FALSE)</f>
        <v>17532.798772988659</v>
      </c>
      <c r="AE204" s="31"/>
      <c r="AF204" s="62">
        <v>172770.42485737169</v>
      </c>
      <c r="AG204" s="31"/>
      <c r="AH204" s="62">
        <v>172770.42485737169</v>
      </c>
      <c r="AI204" s="31"/>
      <c r="AJ204" s="28">
        <f t="shared" si="41"/>
        <v>59984.005930164982</v>
      </c>
      <c r="AK204" s="21">
        <f>+VLOOKUP(C204,'[1]stock au 25-03-25'!A:X,24,FALSE)</f>
        <v>2423.4773799999998</v>
      </c>
      <c r="AL204" t="s">
        <v>45</v>
      </c>
      <c r="AM204" s="21">
        <f t="shared" si="43"/>
        <v>15109.321392988659</v>
      </c>
      <c r="AN204" t="s">
        <v>45</v>
      </c>
      <c r="AO204" s="63">
        <v>116590.62587538027</v>
      </c>
      <c r="AP204" s="64">
        <f t="shared" si="44"/>
        <v>64365.709134131685</v>
      </c>
      <c r="AQ204" t="s">
        <v>46</v>
      </c>
      <c r="AR204" s="36">
        <f>(AP204-AO204)/AO204</f>
        <v>-0.44793409718093469</v>
      </c>
      <c r="AS204" s="81"/>
      <c r="AT204" s="81">
        <f>(AO204-J204)/J204</f>
        <v>7.2565092091059474E-3</v>
      </c>
      <c r="AU204" s="81"/>
      <c r="AV204" s="66">
        <f>(AP204-J204)/J204</f>
        <v>-0.44392802587309477</v>
      </c>
      <c r="BB204" s="56">
        <f>+R204*F204</f>
        <v>69216.479999999996</v>
      </c>
    </row>
    <row r="205" spans="1:54" ht="18.75" outlineLevel="1" x14ac:dyDescent="0.3">
      <c r="A205">
        <v>5</v>
      </c>
      <c r="B205" t="s">
        <v>255</v>
      </c>
      <c r="C205">
        <v>338378</v>
      </c>
      <c r="D205" t="s">
        <v>259</v>
      </c>
      <c r="E205" t="s">
        <v>62</v>
      </c>
      <c r="F205" s="21">
        <f>+VLOOKUP(C205,'[1]stock au 25-03-25'!A:D,4,FALSE)</f>
        <v>3970</v>
      </c>
      <c r="G205" t="s">
        <v>45</v>
      </c>
      <c r="H205" s="22">
        <f>+VLOOKUP(C205,'[1]stock au 25-03-25'!A:F,6,FALSE)</f>
        <v>10.076952141057934</v>
      </c>
      <c r="I205" t="s">
        <v>46</v>
      </c>
      <c r="J205" s="56">
        <f>+VLOOKUP(C205,'[1]stock au 25-03-25'!A:H,8,FALSE)</f>
        <v>40005.5</v>
      </c>
      <c r="K205" t="s">
        <v>46</v>
      </c>
      <c r="L205" s="23">
        <v>9.9499999999999993</v>
      </c>
      <c r="M205" t="s">
        <v>46</v>
      </c>
      <c r="N205" s="56">
        <f>+VLOOKUP(C205,'[1]stock au 25-03-25'!A:L,12,FALSE)</f>
        <v>39501.5</v>
      </c>
      <c r="P205" s="57">
        <v>9.9499999999999993</v>
      </c>
      <c r="Q205" t="s">
        <v>46</v>
      </c>
      <c r="R205" s="25">
        <v>10.65</v>
      </c>
      <c r="T205" s="26">
        <v>10.65</v>
      </c>
      <c r="U205" s="58">
        <f t="shared" si="42"/>
        <v>0</v>
      </c>
      <c r="V205" s="10">
        <f>IFERROR(VLOOKUP(C205,'[2]INDICATEURS ACHATS - Matières P'!$C$2:$G$209999,5,0),0)</f>
        <v>400</v>
      </c>
      <c r="W205" s="60">
        <f t="shared" si="38"/>
        <v>4260</v>
      </c>
      <c r="X205" s="28">
        <v>10.65</v>
      </c>
      <c r="Y205" s="59">
        <v>4059.0480778149968</v>
      </c>
      <c r="Z205" s="60">
        <f t="shared" si="39"/>
        <v>43228.862028729716</v>
      </c>
      <c r="AA205" s="60">
        <f t="shared" si="36"/>
        <v>43228.862028729716</v>
      </c>
      <c r="AB205" s="60">
        <f t="shared" si="37"/>
        <v>0</v>
      </c>
      <c r="AC205" s="60">
        <f t="shared" si="40"/>
        <v>47488.862028729716</v>
      </c>
      <c r="AD205" s="61">
        <f>+VLOOKUP(C205,'[1]pic au 25-03'!C:R,16,FALSE)</f>
        <v>5219.0480778149968</v>
      </c>
      <c r="AE205" s="31"/>
      <c r="AF205" s="62">
        <v>51929.528374259215</v>
      </c>
      <c r="AG205" s="31"/>
      <c r="AH205" s="62">
        <v>51929.528374259215</v>
      </c>
      <c r="AI205" s="31"/>
      <c r="AJ205" s="28">
        <f t="shared" si="41"/>
        <v>47488.862028729716</v>
      </c>
      <c r="AK205" s="21">
        <f>+VLOOKUP(C205,'[1]stock au 25-03-25'!A:X,24,FALSE)</f>
        <v>760</v>
      </c>
      <c r="AL205" t="s">
        <v>45</v>
      </c>
      <c r="AM205" s="21">
        <f t="shared" si="43"/>
        <v>4459.0480778149968</v>
      </c>
      <c r="AN205" t="s">
        <v>45</v>
      </c>
      <c r="AO205" s="63">
        <v>51233.028374259215</v>
      </c>
      <c r="AP205" s="64">
        <f t="shared" si="44"/>
        <v>47488.862028729716</v>
      </c>
      <c r="AQ205" t="s">
        <v>46</v>
      </c>
      <c r="AR205" s="36">
        <f>(AP205-AO205)/AO205</f>
        <v>-7.3081105379487254E-2</v>
      </c>
      <c r="AS205" s="81"/>
      <c r="AT205" s="81">
        <f>(AO205-J205)/J205</f>
        <v>0.28064962003372573</v>
      </c>
      <c r="AU205" s="81"/>
      <c r="AV205" s="66">
        <f>(AP205-J205)/J205</f>
        <v>0.18705833019784071</v>
      </c>
      <c r="BB205" s="56">
        <f>+R205*F205</f>
        <v>42280.5</v>
      </c>
    </row>
    <row r="206" spans="1:54" ht="18.75" outlineLevel="1" x14ac:dyDescent="0.3">
      <c r="A206">
        <v>5</v>
      </c>
      <c r="B206" t="s">
        <v>255</v>
      </c>
      <c r="C206">
        <v>339737</v>
      </c>
      <c r="D206" t="s">
        <v>260</v>
      </c>
      <c r="E206" t="s">
        <v>62</v>
      </c>
      <c r="F206" s="21">
        <f>+VLOOKUP(C206,'[1]stock au 25-03-25'!A:D,4,FALSE)</f>
        <v>6440</v>
      </c>
      <c r="G206" t="s">
        <v>45</v>
      </c>
      <c r="H206" s="22">
        <f>+VLOOKUP(C206,'[1]stock au 25-03-25'!A:F,6,FALSE)</f>
        <v>5.9557142857142864</v>
      </c>
      <c r="I206" t="s">
        <v>46</v>
      </c>
      <c r="J206" s="56">
        <f>+VLOOKUP(C206,'[1]stock au 25-03-25'!A:H,8,FALSE)</f>
        <v>38354.800000000003</v>
      </c>
      <c r="K206" t="s">
        <v>46</v>
      </c>
      <c r="L206" s="23">
        <v>6.84</v>
      </c>
      <c r="M206" t="s">
        <v>46</v>
      </c>
      <c r="N206" s="56">
        <f>+VLOOKUP(C206,'[1]stock au 25-03-25'!A:L,12,FALSE)</f>
        <v>44049.599999999999</v>
      </c>
      <c r="P206" s="57">
        <v>6.34</v>
      </c>
      <c r="Q206" t="s">
        <v>46</v>
      </c>
      <c r="R206" s="25">
        <f>H206*(1+VLOOKUP(A206,'[1]Variation MP'!$B$3:$D$22,3))</f>
        <v>5.9557142857142864</v>
      </c>
      <c r="T206" s="26">
        <v>6.02</v>
      </c>
      <c r="U206" s="58">
        <f t="shared" si="42"/>
        <v>1.0793955384984221E-2</v>
      </c>
      <c r="V206" s="10">
        <f>IFERROR(VLOOKUP(C206,'[2]INDICATEURS ACHATS - Matières P'!$C$2:$G$209999,5,0),0)</f>
        <v>4600</v>
      </c>
      <c r="W206" s="60">
        <f t="shared" si="38"/>
        <v>27691.999999999996</v>
      </c>
      <c r="X206" s="28">
        <v>6.0750000000000002</v>
      </c>
      <c r="Y206" s="59">
        <v>2303.0738809016539</v>
      </c>
      <c r="Z206" s="60">
        <f t="shared" si="39"/>
        <v>13991.173826477547</v>
      </c>
      <c r="AA206" s="60">
        <f t="shared" si="36"/>
        <v>13716.450013541424</v>
      </c>
      <c r="AB206" s="60">
        <f t="shared" si="37"/>
        <v>274.72381293612307</v>
      </c>
      <c r="AC206" s="60">
        <f t="shared" si="40"/>
        <v>41683.173826477541</v>
      </c>
      <c r="AD206" s="61">
        <f>+VLOOKUP(C206,'[1]pic au 25-03'!C:R,16,FALSE)</f>
        <v>7156.3357659016538</v>
      </c>
      <c r="AE206" s="31"/>
      <c r="AF206" s="62">
        <v>45371.168755816485</v>
      </c>
      <c r="AG206" s="31"/>
      <c r="AH206" s="62">
        <v>48949.336638767309</v>
      </c>
      <c r="AI206" s="31"/>
      <c r="AJ206" s="28">
        <f t="shared" si="41"/>
        <v>41936.173826477549</v>
      </c>
      <c r="AK206" s="21">
        <f>+VLOOKUP(C206,'[1]stock au 25-03-25'!A:X,24,FALSE)</f>
        <v>253.26188500000001</v>
      </c>
      <c r="AL206" t="s">
        <v>45</v>
      </c>
      <c r="AM206" s="21">
        <f t="shared" si="43"/>
        <v>6903.0738809016539</v>
      </c>
      <c r="AN206" t="s">
        <v>45</v>
      </c>
      <c r="AO206" s="63">
        <v>37255.488533115713</v>
      </c>
      <c r="AP206" s="64">
        <f t="shared" si="44"/>
        <v>41112.735727827137</v>
      </c>
      <c r="AQ206" t="s">
        <v>46</v>
      </c>
      <c r="AR206" s="36">
        <f>(AP206-AO206)/AO206</f>
        <v>0.10353500508476192</v>
      </c>
      <c r="AS206" s="81"/>
      <c r="AT206" s="81">
        <f>(AO206-J206)/J206</f>
        <v>-2.8661639922103358E-2</v>
      </c>
      <c r="AU206" s="81"/>
      <c r="AV206" s="66">
        <f>(AP206-J206)/J206</f>
        <v>7.1905882127585974E-2</v>
      </c>
      <c r="BB206" s="56">
        <f>+R206*F206</f>
        <v>38354.800000000003</v>
      </c>
    </row>
    <row r="207" spans="1:54" ht="18.75" outlineLevel="1" x14ac:dyDescent="0.3">
      <c r="A207">
        <v>5</v>
      </c>
      <c r="B207" t="s">
        <v>255</v>
      </c>
      <c r="C207">
        <v>343162</v>
      </c>
      <c r="D207" t="s">
        <v>261</v>
      </c>
      <c r="E207" t="s">
        <v>62</v>
      </c>
      <c r="F207" s="21">
        <f>+VLOOKUP(C207,'[1]stock au 25-03-25'!A:D,4,FALSE)</f>
        <v>10000</v>
      </c>
      <c r="G207" t="s">
        <v>45</v>
      </c>
      <c r="H207" s="22">
        <f>+VLOOKUP(C207,'[1]stock au 25-03-25'!A:F,6,FALSE)</f>
        <v>3.3</v>
      </c>
      <c r="I207" t="s">
        <v>46</v>
      </c>
      <c r="J207" s="56">
        <f>+VLOOKUP(C207,'[1]stock au 25-03-25'!A:H,8,FALSE)</f>
        <v>33000</v>
      </c>
      <c r="K207" t="s">
        <v>46</v>
      </c>
      <c r="L207" s="23">
        <v>3.3</v>
      </c>
      <c r="M207" t="s">
        <v>46</v>
      </c>
      <c r="N207" s="56">
        <f>+VLOOKUP(C207,'[1]stock au 25-03-25'!A:L,12,FALSE)</f>
        <v>33000</v>
      </c>
      <c r="P207" s="57">
        <v>3.3</v>
      </c>
      <c r="Q207" t="s">
        <v>46</v>
      </c>
      <c r="R207" s="25">
        <v>3.58</v>
      </c>
      <c r="T207" s="26">
        <v>3.3</v>
      </c>
      <c r="U207" s="58">
        <f t="shared" si="42"/>
        <v>-7.8212290502793366E-2</v>
      </c>
      <c r="V207" s="10">
        <f>IFERROR(VLOOKUP(C207,'[2]INDICATEURS ACHATS - Matières P'!$C$2:$G$209999,5,0),0)</f>
        <v>3000</v>
      </c>
      <c r="W207" s="60">
        <f t="shared" si="38"/>
        <v>9900</v>
      </c>
      <c r="X207" s="28">
        <v>3.3</v>
      </c>
      <c r="Y207" s="59">
        <v>4763.3251321081716</v>
      </c>
      <c r="Z207" s="60">
        <f t="shared" si="39"/>
        <v>15718.972935956965</v>
      </c>
      <c r="AA207" s="60">
        <f t="shared" si="36"/>
        <v>17052.703972947256</v>
      </c>
      <c r="AB207" s="60">
        <f t="shared" si="37"/>
        <v>-1333.7310369902916</v>
      </c>
      <c r="AC207" s="60">
        <f t="shared" si="40"/>
        <v>25618.972935956965</v>
      </c>
      <c r="AD207" s="61">
        <f>+VLOOKUP(C207,'[1]pic au 25-03'!C:R,16,FALSE)</f>
        <v>10413.325132108172</v>
      </c>
      <c r="AE207" s="31"/>
      <c r="AF207" s="62">
        <v>34363.972935956961</v>
      </c>
      <c r="AG207" s="31"/>
      <c r="AH207" s="62">
        <v>34363.972935956961</v>
      </c>
      <c r="AI207" s="31"/>
      <c r="AJ207" s="28">
        <f t="shared" si="41"/>
        <v>25618.972935956965</v>
      </c>
      <c r="AK207" s="21">
        <f>+VLOOKUP(C207,'[1]stock au 25-03-25'!A:X,24,FALSE)</f>
        <v>2650</v>
      </c>
      <c r="AL207" t="s">
        <v>45</v>
      </c>
      <c r="AM207" s="21">
        <f t="shared" si="43"/>
        <v>7763.3251321081716</v>
      </c>
      <c r="AN207" t="s">
        <v>45</v>
      </c>
      <c r="AO207" s="63">
        <v>30172.972935956965</v>
      </c>
      <c r="AP207" s="64">
        <f t="shared" si="44"/>
        <v>27792.703972947256</v>
      </c>
      <c r="AQ207" t="s">
        <v>46</v>
      </c>
      <c r="AR207" s="36">
        <f>(AP207-AO207)/AO207</f>
        <v>-7.8887452292550037E-2</v>
      </c>
      <c r="AS207" s="81"/>
      <c r="AT207" s="81">
        <f>(AO207-J207)/J207</f>
        <v>-8.5667486789182887E-2</v>
      </c>
      <c r="AU207" s="81"/>
      <c r="AV207" s="66">
        <f>(AP207-J207)/J207</f>
        <v>-0.15779684930462859</v>
      </c>
      <c r="BB207" s="56">
        <f>+R207*F207</f>
        <v>35800</v>
      </c>
    </row>
    <row r="208" spans="1:54" ht="18.75" outlineLevel="1" x14ac:dyDescent="0.3">
      <c r="A208">
        <v>5</v>
      </c>
      <c r="B208" t="s">
        <v>255</v>
      </c>
      <c r="C208">
        <v>338372</v>
      </c>
      <c r="D208" t="s">
        <v>262</v>
      </c>
      <c r="E208" t="s">
        <v>62</v>
      </c>
      <c r="F208" s="21">
        <f>+VLOOKUP(C208,'[1]stock au 25-03-25'!A:D,4,FALSE)</f>
        <v>33000</v>
      </c>
      <c r="G208" t="s">
        <v>45</v>
      </c>
      <c r="H208" s="22">
        <f>+VLOOKUP(C208,'[1]stock au 25-03-25'!A:F,6,FALSE)</f>
        <v>0.74363636363636365</v>
      </c>
      <c r="I208" t="s">
        <v>46</v>
      </c>
      <c r="J208" s="56">
        <f>+VLOOKUP(C208,'[1]stock au 25-03-25'!A:H,8,FALSE)</f>
        <v>24540</v>
      </c>
      <c r="K208" t="s">
        <v>46</v>
      </c>
      <c r="L208" s="23">
        <v>0.75</v>
      </c>
      <c r="M208" t="s">
        <v>46</v>
      </c>
      <c r="N208" s="56">
        <f>+VLOOKUP(C208,'[1]stock au 25-03-25'!A:L,12,FALSE)</f>
        <v>24750</v>
      </c>
      <c r="P208" s="57">
        <v>0.75</v>
      </c>
      <c r="Q208" t="s">
        <v>46</v>
      </c>
      <c r="R208" s="25">
        <v>0.8</v>
      </c>
      <c r="T208" s="26">
        <v>0.76</v>
      </c>
      <c r="U208" s="58">
        <f t="shared" si="42"/>
        <v>-5.0000000000000044E-2</v>
      </c>
      <c r="V208" s="10">
        <f>IFERROR(VLOOKUP(C208,'[2]INDICATEURS ACHATS - Matières P'!$C$2:$G$209999,5,0),0)</f>
        <v>19000</v>
      </c>
      <c r="W208" s="60">
        <f t="shared" si="38"/>
        <v>14440</v>
      </c>
      <c r="X208" s="28">
        <v>0.76</v>
      </c>
      <c r="Y208" s="59">
        <v>17643.356595292411</v>
      </c>
      <c r="Z208" s="60">
        <f t="shared" si="39"/>
        <v>13408.951012422232</v>
      </c>
      <c r="AA208" s="60">
        <f t="shared" si="36"/>
        <v>14114.685276233929</v>
      </c>
      <c r="AB208" s="60">
        <f t="shared" si="37"/>
        <v>-705.73426381169702</v>
      </c>
      <c r="AC208" s="60">
        <f t="shared" si="40"/>
        <v>27848.951012422232</v>
      </c>
      <c r="AD208" s="61">
        <f>+VLOOKUP(C208,'[1]pic au 25-03'!C:R,16,FALSE)</f>
        <v>40582.625288292409</v>
      </c>
      <c r="AE208" s="31"/>
      <c r="AF208" s="62">
        <v>30436.968966219312</v>
      </c>
      <c r="AG208" s="31"/>
      <c r="AH208" s="62">
        <v>30436.968966219312</v>
      </c>
      <c r="AI208" s="31"/>
      <c r="AJ208" s="28">
        <f t="shared" si="41"/>
        <v>27848.951012422232</v>
      </c>
      <c r="AK208" s="21">
        <f>+VLOOKUP(C208,'[1]stock au 25-03-25'!A:X,24,FALSE)</f>
        <v>3939.268693</v>
      </c>
      <c r="AL208" t="s">
        <v>45</v>
      </c>
      <c r="AM208" s="21">
        <f t="shared" si="43"/>
        <v>36643.356595292411</v>
      </c>
      <c r="AN208" t="s">
        <v>45</v>
      </c>
      <c r="AO208" s="63">
        <v>28236.453956867445</v>
      </c>
      <c r="AP208" s="64">
        <f t="shared" si="44"/>
        <v>29314.685276233929</v>
      </c>
      <c r="AQ208" t="s">
        <v>46</v>
      </c>
      <c r="AR208" s="36">
        <f>(AP208-AO208)/AO208</f>
        <v>3.8185790645437832E-2</v>
      </c>
      <c r="AS208" s="81"/>
      <c r="AT208" s="81">
        <f>(AO208-J208)/J208</f>
        <v>0.15062974559362038</v>
      </c>
      <c r="AU208" s="81"/>
      <c r="AV208" s="66">
        <f>(AP208-J208)/J208</f>
        <v>0.19456745216927179</v>
      </c>
      <c r="BB208" s="56">
        <f>+R208*F208</f>
        <v>26400</v>
      </c>
    </row>
    <row r="209" spans="1:54" ht="18.75" outlineLevel="1" x14ac:dyDescent="0.3">
      <c r="A209">
        <v>5</v>
      </c>
      <c r="B209" t="s">
        <v>255</v>
      </c>
      <c r="C209">
        <v>338373</v>
      </c>
      <c r="D209" t="s">
        <v>263</v>
      </c>
      <c r="E209" t="s">
        <v>62</v>
      </c>
      <c r="F209" s="21">
        <f>+VLOOKUP(C209,'[1]stock au 25-03-25'!A:D,4,FALSE)</f>
        <v>26000</v>
      </c>
      <c r="G209" t="s">
        <v>45</v>
      </c>
      <c r="H209" s="22">
        <f>+VLOOKUP(C209,'[1]stock au 25-03-25'!A:F,6,FALSE)</f>
        <v>0.68</v>
      </c>
      <c r="I209" t="s">
        <v>46</v>
      </c>
      <c r="J209" s="56">
        <f>+VLOOKUP(C209,'[1]stock au 25-03-25'!A:H,8,FALSE)</f>
        <v>17680</v>
      </c>
      <c r="K209" t="s">
        <v>46</v>
      </c>
      <c r="L209" s="23">
        <v>0.76</v>
      </c>
      <c r="M209" t="s">
        <v>46</v>
      </c>
      <c r="N209" s="56">
        <f>+VLOOKUP(C209,'[1]stock au 25-03-25'!A:L,12,FALSE)</f>
        <v>19760</v>
      </c>
      <c r="P209" s="57">
        <v>0.69</v>
      </c>
      <c r="Q209" t="s">
        <v>46</v>
      </c>
      <c r="R209" s="25">
        <v>0.75</v>
      </c>
      <c r="T209" s="26">
        <v>0.71</v>
      </c>
      <c r="U209" s="58">
        <f t="shared" si="42"/>
        <v>-5.3333333333333378E-2</v>
      </c>
      <c r="V209" s="10">
        <f>IFERROR(VLOOKUP(C209,'[2]INDICATEURS ACHATS - Matières P'!$C$2:$G$209999,5,0),0)</f>
        <v>20000</v>
      </c>
      <c r="W209" s="60">
        <f t="shared" si="38"/>
        <v>14200</v>
      </c>
      <c r="X209" s="28">
        <v>0.71</v>
      </c>
      <c r="Y209" s="59">
        <v>11922.099441843482</v>
      </c>
      <c r="Z209" s="60">
        <f t="shared" si="39"/>
        <v>8464.690603708872</v>
      </c>
      <c r="AA209" s="60">
        <f t="shared" si="36"/>
        <v>8941.5745813826106</v>
      </c>
      <c r="AB209" s="60">
        <f t="shared" si="37"/>
        <v>-476.88397767373863</v>
      </c>
      <c r="AC209" s="60">
        <f t="shared" si="40"/>
        <v>22664.69060370887</v>
      </c>
      <c r="AD209" s="61">
        <f>+VLOOKUP(C209,'[1]pic au 25-03'!C:R,16,FALSE)</f>
        <v>34809.884441843482</v>
      </c>
      <c r="AE209" s="31"/>
      <c r="AF209" s="62">
        <v>24967.273965735461</v>
      </c>
      <c r="AG209" s="31"/>
      <c r="AH209" s="62">
        <v>27500.185817331818</v>
      </c>
      <c r="AI209" s="31"/>
      <c r="AJ209" s="28">
        <f t="shared" si="41"/>
        <v>22664.69060370887</v>
      </c>
      <c r="AK209" s="21">
        <f>+VLOOKUP(C209,'[1]stock au 25-03-25'!A:X,24,FALSE)</f>
        <v>2887.7849999999999</v>
      </c>
      <c r="AL209" t="s">
        <v>45</v>
      </c>
      <c r="AM209" s="21">
        <f t="shared" si="43"/>
        <v>31922.099441843482</v>
      </c>
      <c r="AN209" t="s">
        <v>45</v>
      </c>
      <c r="AO209" s="63">
        <v>22464.789415507417</v>
      </c>
      <c r="AP209" s="64">
        <f t="shared" si="44"/>
        <v>23941.574581382611</v>
      </c>
      <c r="AQ209" t="s">
        <v>46</v>
      </c>
      <c r="AR209" s="36">
        <f>(AP209-AO209)/AO209</f>
        <v>6.5737770275103066E-2</v>
      </c>
      <c r="AS209" s="81"/>
      <c r="AT209" s="81">
        <f>(AO209-J209)/J209</f>
        <v>0.27063288549250097</v>
      </c>
      <c r="AU209" s="81"/>
      <c r="AV209" s="66">
        <f>(AP209-J209)/J209</f>
        <v>0.35416145822299833</v>
      </c>
      <c r="BB209" s="56">
        <f>+R209*F209</f>
        <v>19500</v>
      </c>
    </row>
    <row r="210" spans="1:54" ht="18.75" outlineLevel="1" x14ac:dyDescent="0.3">
      <c r="A210">
        <v>5</v>
      </c>
      <c r="B210" t="s">
        <v>255</v>
      </c>
      <c r="C210">
        <v>338368</v>
      </c>
      <c r="D210" t="s">
        <v>264</v>
      </c>
      <c r="E210" t="s">
        <v>62</v>
      </c>
      <c r="F210" s="21">
        <f>+VLOOKUP(C210,'[1]stock au 25-03-25'!A:D,4,FALSE)</f>
        <v>6000</v>
      </c>
      <c r="G210" t="s">
        <v>45</v>
      </c>
      <c r="H210" s="22">
        <f>+VLOOKUP(C210,'[1]stock au 25-03-25'!A:F,6,FALSE)</f>
        <v>3.45</v>
      </c>
      <c r="I210" t="s">
        <v>46</v>
      </c>
      <c r="J210" s="56">
        <f>+VLOOKUP(C210,'[1]stock au 25-03-25'!A:H,8,FALSE)</f>
        <v>20700</v>
      </c>
      <c r="K210" t="s">
        <v>46</v>
      </c>
      <c r="L210" s="23">
        <v>3.45</v>
      </c>
      <c r="M210" t="s">
        <v>46</v>
      </c>
      <c r="N210" s="56">
        <f>+VLOOKUP(C210,'[1]stock au 25-03-25'!A:L,12,FALSE)</f>
        <v>20700</v>
      </c>
      <c r="P210" s="57">
        <v>3.45</v>
      </c>
      <c r="Q210" t="s">
        <v>46</v>
      </c>
      <c r="R210" s="25">
        <v>3.55</v>
      </c>
      <c r="T210" s="26">
        <v>3.51</v>
      </c>
      <c r="U210" s="58">
        <f t="shared" si="42"/>
        <v>-1.1267605633802828E-2</v>
      </c>
      <c r="V210" s="10">
        <f>IFERROR(VLOOKUP(C210,'[2]INDICATEURS ACHATS - Matières P'!$C$2:$G$209999,5,0),0)</f>
        <v>2840</v>
      </c>
      <c r="W210" s="60">
        <f t="shared" si="38"/>
        <v>9968.4</v>
      </c>
      <c r="X210" s="28">
        <v>3.51</v>
      </c>
      <c r="Y210" s="59">
        <v>891.17877495275093</v>
      </c>
      <c r="Z210" s="60">
        <f t="shared" si="39"/>
        <v>3128.0375000841555</v>
      </c>
      <c r="AA210" s="60">
        <f t="shared" si="36"/>
        <v>3163.6846510822656</v>
      </c>
      <c r="AB210" s="60">
        <f t="shared" si="37"/>
        <v>-35.647150998110192</v>
      </c>
      <c r="AC210" s="60">
        <f t="shared" si="40"/>
        <v>13096.437500084156</v>
      </c>
      <c r="AD210" s="61">
        <f>+VLOOKUP(C210,'[1]pic au 25-03'!C:R,16,FALSE)</f>
        <v>3990.532774952751</v>
      </c>
      <c r="AE210" s="31"/>
      <c r="AF210" s="62">
        <v>21505.305704818024</v>
      </c>
      <c r="AG210" s="31"/>
      <c r="AH210" s="62">
        <v>21505.305704818024</v>
      </c>
      <c r="AI210" s="31"/>
      <c r="AJ210" s="28">
        <f t="shared" si="41"/>
        <v>13096.437500084156</v>
      </c>
      <c r="AK210" s="21">
        <f>+VLOOKUP(C210,'[1]stock au 25-03-25'!A:X,24,FALSE)</f>
        <v>259.35399999999998</v>
      </c>
      <c r="AL210" t="s">
        <v>45</v>
      </c>
      <c r="AM210" s="21">
        <f t="shared" si="43"/>
        <v>3731.1787749527512</v>
      </c>
      <c r="AN210" t="s">
        <v>45</v>
      </c>
      <c r="AO210" s="63">
        <v>16592.035849318021</v>
      </c>
      <c r="AP210" s="64">
        <f t="shared" si="44"/>
        <v>13245.684651082265</v>
      </c>
      <c r="AQ210" t="s">
        <v>46</v>
      </c>
      <c r="AR210" s="36">
        <f>(AP210-AO210)/AO210</f>
        <v>-0.20168418322054796</v>
      </c>
      <c r="AS210" s="81"/>
      <c r="AT210" s="81">
        <f>(AO210-J210)/J210</f>
        <v>-0.19845237442908112</v>
      </c>
      <c r="AU210" s="81"/>
      <c r="AV210" s="66">
        <f>(AP210-J210)/J210</f>
        <v>-0.36011185260472151</v>
      </c>
      <c r="BB210" s="56">
        <f>+R210*F210</f>
        <v>21300</v>
      </c>
    </row>
    <row r="211" spans="1:54" ht="18.75" outlineLevel="1" x14ac:dyDescent="0.3">
      <c r="A211">
        <v>5</v>
      </c>
      <c r="B211" t="s">
        <v>255</v>
      </c>
      <c r="C211">
        <v>340417</v>
      </c>
      <c r="D211" t="s">
        <v>265</v>
      </c>
      <c r="E211" t="s">
        <v>62</v>
      </c>
      <c r="F211" s="21">
        <f>+VLOOKUP(C211,'[1]stock au 25-03-25'!A:D,4,FALSE)</f>
        <v>4000</v>
      </c>
      <c r="G211" t="s">
        <v>45</v>
      </c>
      <c r="H211" s="22">
        <f>+VLOOKUP(C211,'[1]stock au 25-03-25'!A:F,6,FALSE)</f>
        <v>3.3875000000000002</v>
      </c>
      <c r="I211" t="s">
        <v>46</v>
      </c>
      <c r="J211" s="56">
        <f>+VLOOKUP(C211,'[1]stock au 25-03-25'!A:H,8,FALSE)</f>
        <v>13550</v>
      </c>
      <c r="K211" t="s">
        <v>46</v>
      </c>
      <c r="L211" s="23">
        <v>3.39</v>
      </c>
      <c r="M211" t="s">
        <v>46</v>
      </c>
      <c r="N211" s="56">
        <f>+VLOOKUP(C211,'[1]stock au 25-03-25'!A:L,12,FALSE)</f>
        <v>13560</v>
      </c>
      <c r="P211" s="57">
        <v>3.39</v>
      </c>
      <c r="Q211" t="s">
        <v>46</v>
      </c>
      <c r="R211" s="25">
        <v>3.46</v>
      </c>
      <c r="T211" s="26">
        <v>3.41</v>
      </c>
      <c r="U211" s="58">
        <f t="shared" si="42"/>
        <v>-1.4450867052023071E-2</v>
      </c>
      <c r="V211" s="10">
        <f>IFERROR(VLOOKUP(C211,'[2]INDICATEURS ACHATS - Matières P'!$C$2:$G$209999,5,0),0)</f>
        <v>3000</v>
      </c>
      <c r="W211" s="60">
        <f t="shared" si="38"/>
        <v>10230</v>
      </c>
      <c r="X211" s="28">
        <v>3.41</v>
      </c>
      <c r="Y211" s="59">
        <v>1968.1205969917582</v>
      </c>
      <c r="Z211" s="60">
        <f t="shared" si="39"/>
        <v>6711.2912357418963</v>
      </c>
      <c r="AA211" s="60">
        <f t="shared" si="36"/>
        <v>6809.6972655914833</v>
      </c>
      <c r="AB211" s="60">
        <f t="shared" si="37"/>
        <v>-98.406029849586957</v>
      </c>
      <c r="AC211" s="60">
        <f t="shared" si="40"/>
        <v>16941.291235741897</v>
      </c>
      <c r="AD211" s="61">
        <f>+VLOOKUP(C211,'[1]pic au 25-03'!C:R,16,FALSE)</f>
        <v>5780.1205969917582</v>
      </c>
      <c r="AE211" s="31"/>
      <c r="AF211" s="62">
        <v>19708.611971616345</v>
      </c>
      <c r="AG211" s="31"/>
      <c r="AH211" s="62">
        <v>19708.611971616345</v>
      </c>
      <c r="AI211" s="31"/>
      <c r="AJ211" s="28">
        <f t="shared" si="41"/>
        <v>16941.291235741897</v>
      </c>
      <c r="AK211" s="21">
        <f>+VLOOKUP(C211,'[1]stock au 25-03-25'!A:X,24,FALSE)</f>
        <v>812</v>
      </c>
      <c r="AL211" t="s">
        <v>45</v>
      </c>
      <c r="AM211" s="21">
        <f t="shared" si="43"/>
        <v>4968.1205969917582</v>
      </c>
      <c r="AN211" t="s">
        <v>45</v>
      </c>
      <c r="AO211" s="63">
        <v>16306.577597006009</v>
      </c>
      <c r="AP211" s="64">
        <f t="shared" si="44"/>
        <v>17189.697265591483</v>
      </c>
      <c r="AQ211" t="s">
        <v>46</v>
      </c>
      <c r="AR211" s="36">
        <f>(AP211-AO211)/AO211</f>
        <v>5.4157266497638364E-2</v>
      </c>
      <c r="AS211" s="81"/>
      <c r="AT211" s="81">
        <f>(AO211-J211)/J211</f>
        <v>0.20343746103365384</v>
      </c>
      <c r="AU211" s="81"/>
      <c r="AV211" s="66">
        <f>(AP211-J211)/J211</f>
        <v>0.2686123443240947</v>
      </c>
      <c r="BB211" s="56">
        <f>+R211*F211</f>
        <v>13840</v>
      </c>
    </row>
    <row r="212" spans="1:54" ht="18.75" outlineLevel="1" x14ac:dyDescent="0.3">
      <c r="A212">
        <v>5</v>
      </c>
      <c r="B212" t="s">
        <v>255</v>
      </c>
      <c r="C212">
        <v>338377</v>
      </c>
      <c r="D212" t="s">
        <v>266</v>
      </c>
      <c r="E212" t="s">
        <v>62</v>
      </c>
      <c r="F212" s="21">
        <f>+VLOOKUP(C212,'[1]stock au 25-03-25'!A:D,4,FALSE)</f>
        <v>2500</v>
      </c>
      <c r="G212" t="s">
        <v>45</v>
      </c>
      <c r="H212" s="22">
        <f>+VLOOKUP(C212,'[1]stock au 25-03-25'!A:F,6,FALSE)</f>
        <v>3.00664</v>
      </c>
      <c r="I212" t="s">
        <v>46</v>
      </c>
      <c r="J212" s="56">
        <f>+VLOOKUP(C212,'[1]stock au 25-03-25'!A:H,8,FALSE)</f>
        <v>7516.6</v>
      </c>
      <c r="K212" t="s">
        <v>46</v>
      </c>
      <c r="L212" s="23">
        <v>19.149999999999999</v>
      </c>
      <c r="M212" t="s">
        <v>46</v>
      </c>
      <c r="N212" s="56">
        <f>+VLOOKUP(C212,'[1]stock au 25-03-25'!A:L,12,FALSE)</f>
        <v>47875</v>
      </c>
      <c r="P212" s="57">
        <v>3.15</v>
      </c>
      <c r="Q212" t="s">
        <v>46</v>
      </c>
      <c r="R212" s="25">
        <v>2.6</v>
      </c>
      <c r="T212" s="26">
        <v>2.5859999999999999</v>
      </c>
      <c r="U212" s="58">
        <f t="shared" si="42"/>
        <v>-5.3846153846154746E-3</v>
      </c>
      <c r="V212" s="10">
        <f>IFERROR(VLOOKUP(C212,'[2]INDICATEURS ACHATS - Matières P'!$C$2:$G$209999,5,0),0)</f>
        <v>1400</v>
      </c>
      <c r="W212" s="60">
        <f t="shared" si="38"/>
        <v>3620.3999999999996</v>
      </c>
      <c r="X212" s="28">
        <v>2.5859999999999999</v>
      </c>
      <c r="Y212" s="59">
        <v>1785.0963069012519</v>
      </c>
      <c r="Z212" s="60">
        <f t="shared" si="39"/>
        <v>4616.2590496466373</v>
      </c>
      <c r="AA212" s="60">
        <f t="shared" si="36"/>
        <v>4641.2503979432549</v>
      </c>
      <c r="AB212" s="60">
        <f t="shared" si="37"/>
        <v>-24.991348296617616</v>
      </c>
      <c r="AC212" s="60">
        <f t="shared" si="40"/>
        <v>8236.6590496466379</v>
      </c>
      <c r="AD212" s="61">
        <f>+VLOOKUP(C212,'[1]pic au 25-03'!C:R,16,FALSE)</f>
        <v>3337.8515309012519</v>
      </c>
      <c r="AE212" s="31"/>
      <c r="AF212" s="62">
        <v>10514.232322338943</v>
      </c>
      <c r="AG212" s="31"/>
      <c r="AH212" s="62">
        <v>63919.856816758969</v>
      </c>
      <c r="AI212" s="31"/>
      <c r="AJ212" s="28">
        <f t="shared" si="41"/>
        <v>8236.659049646636</v>
      </c>
      <c r="AK212" s="21">
        <f>+VLOOKUP(C212,'[1]stock au 25-03-25'!A:X,24,FALSE)</f>
        <v>152.755224</v>
      </c>
      <c r="AL212" t="s">
        <v>45</v>
      </c>
      <c r="AM212" s="21">
        <f t="shared" si="43"/>
        <v>3185.0963069012519</v>
      </c>
      <c r="AN212" t="s">
        <v>45</v>
      </c>
      <c r="AO212" s="63">
        <v>10061.850192321437</v>
      </c>
      <c r="AP212" s="64">
        <f t="shared" si="44"/>
        <v>8281.2503979432549</v>
      </c>
      <c r="AQ212" t="s">
        <v>46</v>
      </c>
      <c r="AR212" s="36">
        <f>(AP212-AO212)/AO212</f>
        <v>-0.17696544475856166</v>
      </c>
      <c r="AS212" s="81"/>
      <c r="AT212" s="81">
        <f>(AO212-J212)/J212</f>
        <v>0.33861721953029783</v>
      </c>
      <c r="AU212" s="81"/>
      <c r="AV212" s="66">
        <f>(AP212-J212)/J212</f>
        <v>0.10172822791464951</v>
      </c>
      <c r="BB212" s="56">
        <f>+R212*F212</f>
        <v>6500</v>
      </c>
    </row>
    <row r="213" spans="1:54" ht="18.75" outlineLevel="1" x14ac:dyDescent="0.3">
      <c r="A213">
        <v>5</v>
      </c>
      <c r="B213" t="s">
        <v>255</v>
      </c>
      <c r="C213">
        <v>332145</v>
      </c>
      <c r="D213" t="s">
        <v>267</v>
      </c>
      <c r="E213" t="s">
        <v>62</v>
      </c>
      <c r="F213" s="21">
        <f>+VLOOKUP(C213,'[1]stock au 25-03-25'!A:D,4,FALSE)</f>
        <v>800</v>
      </c>
      <c r="G213" t="s">
        <v>45</v>
      </c>
      <c r="H213" s="22">
        <f>+VLOOKUP(C213,'[1]stock au 25-03-25'!A:F,6,FALSE)</f>
        <v>8.5500000000000007</v>
      </c>
      <c r="I213" t="s">
        <v>46</v>
      </c>
      <c r="J213" s="56">
        <f>+VLOOKUP(C213,'[1]stock au 25-03-25'!A:H,8,FALSE)</f>
        <v>6840</v>
      </c>
      <c r="K213" t="s">
        <v>46</v>
      </c>
      <c r="L213" s="23">
        <v>8.5500000000000007</v>
      </c>
      <c r="M213" t="s">
        <v>46</v>
      </c>
      <c r="N213" s="56">
        <f>+VLOOKUP(C213,'[1]stock au 25-03-25'!A:L,12,FALSE)</f>
        <v>6840.0000000000009</v>
      </c>
      <c r="P213" s="57">
        <v>8.5500000000000007</v>
      </c>
      <c r="Q213" t="s">
        <v>46</v>
      </c>
      <c r="R213" s="25">
        <f>H213*(1+VLOOKUP(A213,'[1]Variation MP'!$B$3:$D$22,3))</f>
        <v>8.5500000000000007</v>
      </c>
      <c r="T213" s="26">
        <v>8.27</v>
      </c>
      <c r="U213" s="58">
        <f t="shared" si="42"/>
        <v>-3.2748538011696034E-2</v>
      </c>
      <c r="V213" s="10">
        <f>IFERROR(VLOOKUP(C213,'[2]INDICATEURS ACHATS - Matières P'!$C$2:$G$209999,5,0),0)</f>
        <v>200</v>
      </c>
      <c r="W213" s="60">
        <f t="shared" si="38"/>
        <v>1654</v>
      </c>
      <c r="X213" s="28">
        <v>8.5500000000000007</v>
      </c>
      <c r="Y213" s="59">
        <v>484.15190044085045</v>
      </c>
      <c r="Z213" s="60">
        <f t="shared" si="39"/>
        <v>4139.4987487692715</v>
      </c>
      <c r="AA213" s="60">
        <f t="shared" si="36"/>
        <v>4139.4987487692715</v>
      </c>
      <c r="AB213" s="60">
        <f t="shared" si="37"/>
        <v>0</v>
      </c>
      <c r="AC213" s="60">
        <f t="shared" si="40"/>
        <v>5793.4987487692715</v>
      </c>
      <c r="AD213" s="61">
        <f>+VLOOKUP(C213,'[1]pic au 25-03'!C:R,16,FALSE)</f>
        <v>889.15190044085045</v>
      </c>
      <c r="AE213" s="31"/>
      <c r="AF213" s="62">
        <v>7602.2487487692724</v>
      </c>
      <c r="AG213" s="31"/>
      <c r="AH213" s="62">
        <v>7602.2487487692724</v>
      </c>
      <c r="AI213" s="31"/>
      <c r="AJ213" s="28">
        <f t="shared" si="41"/>
        <v>5849.4987487692715</v>
      </c>
      <c r="AK213" s="21">
        <f>+VLOOKUP(C213,'[1]stock au 25-03-25'!A:X,24,FALSE)</f>
        <v>205</v>
      </c>
      <c r="AL213" t="s">
        <v>45</v>
      </c>
      <c r="AM213" s="21">
        <f t="shared" si="43"/>
        <v>684.15190044085045</v>
      </c>
      <c r="AN213" t="s">
        <v>45</v>
      </c>
      <c r="AO213" s="63">
        <v>5302.2987487692717</v>
      </c>
      <c r="AP213" s="64">
        <f t="shared" si="44"/>
        <v>5849.4987487692715</v>
      </c>
      <c r="AQ213" t="s">
        <v>46</v>
      </c>
      <c r="AR213" s="36">
        <f>(AP213-AO213)/AO213</f>
        <v>0.10320052225028091</v>
      </c>
      <c r="AS213" s="81"/>
      <c r="AT213" s="81">
        <f>(AO213-J213)/J213</f>
        <v>-0.22481012444893689</v>
      </c>
      <c r="AU213" s="81"/>
      <c r="AV213" s="66">
        <f>(AP213-J213)/J213</f>
        <v>-0.1448101244489369</v>
      </c>
      <c r="BB213" s="56">
        <f>+R213*F213</f>
        <v>6840.0000000000009</v>
      </c>
    </row>
    <row r="214" spans="1:54" ht="18.75" outlineLevel="1" x14ac:dyDescent="0.3">
      <c r="A214">
        <v>5</v>
      </c>
      <c r="B214" t="s">
        <v>255</v>
      </c>
      <c r="C214">
        <v>338364</v>
      </c>
      <c r="D214" t="s">
        <v>268</v>
      </c>
      <c r="E214" t="s">
        <v>62</v>
      </c>
      <c r="F214" s="21">
        <f>+VLOOKUP(C214,'[1]stock au 25-03-25'!A:D,4,FALSE)</f>
        <v>900</v>
      </c>
      <c r="G214" t="s">
        <v>45</v>
      </c>
      <c r="H214" s="22">
        <f>+VLOOKUP(C214,'[1]stock au 25-03-25'!A:F,6,FALSE)</f>
        <v>2.2000000000000002</v>
      </c>
      <c r="I214" t="s">
        <v>46</v>
      </c>
      <c r="J214" s="56">
        <f>+VLOOKUP(C214,'[1]stock au 25-03-25'!A:H,8,FALSE)</f>
        <v>1980</v>
      </c>
      <c r="K214" t="s">
        <v>46</v>
      </c>
      <c r="L214" s="23">
        <v>2.2400000000000002</v>
      </c>
      <c r="M214" t="s">
        <v>46</v>
      </c>
      <c r="N214" s="56">
        <f>+VLOOKUP(C214,'[1]stock au 25-03-25'!A:L,12,FALSE)</f>
        <v>2016.0000000000002</v>
      </c>
      <c r="P214" s="57">
        <v>2.2400000000000002</v>
      </c>
      <c r="Q214" t="s">
        <v>46</v>
      </c>
      <c r="R214" s="25">
        <f>H214*(1+VLOOKUP(A214,'[1]Variation MP'!$B$3:$D$22,3))</f>
        <v>2.2000000000000002</v>
      </c>
      <c r="T214" s="26">
        <v>2.2000000000000002</v>
      </c>
      <c r="U214" s="58">
        <f t="shared" si="42"/>
        <v>0</v>
      </c>
      <c r="V214" s="10">
        <f>IFERROR(VLOOKUP(C214,'[2]INDICATEURS ACHATS - Matières P'!$C$2:$G$209999,5,0),0)</f>
        <v>400</v>
      </c>
      <c r="W214" s="60">
        <f t="shared" si="38"/>
        <v>880.00000000000011</v>
      </c>
      <c r="X214" s="28">
        <v>2.2000000000000002</v>
      </c>
      <c r="Y214" s="59">
        <v>597.73819346774189</v>
      </c>
      <c r="Z214" s="60">
        <f t="shared" si="39"/>
        <v>1315.0240256290322</v>
      </c>
      <c r="AA214" s="60">
        <f t="shared" si="36"/>
        <v>1315.0240256290322</v>
      </c>
      <c r="AB214" s="60">
        <f t="shared" si="37"/>
        <v>0</v>
      </c>
      <c r="AC214" s="60">
        <f t="shared" si="40"/>
        <v>2195.0240256290322</v>
      </c>
      <c r="AD214" s="61">
        <f>+VLOOKUP(C214,'[1]pic au 25-03'!C:R,16,FALSE)</f>
        <v>1097.7381934677419</v>
      </c>
      <c r="AE214" s="31"/>
      <c r="AF214" s="62">
        <v>2458.9335533677422</v>
      </c>
      <c r="AG214" s="31"/>
      <c r="AH214" s="62">
        <v>2458.9335533677422</v>
      </c>
      <c r="AI214" s="31"/>
      <c r="AJ214" s="28">
        <f t="shared" si="41"/>
        <v>2195.0240256290322</v>
      </c>
      <c r="AK214" s="21">
        <f>+VLOOKUP(C214,'[1]stock au 25-03-25'!A:X,24,FALSE)</f>
        <v>100</v>
      </c>
      <c r="AL214" t="s">
        <v>45</v>
      </c>
      <c r="AM214" s="21">
        <f t="shared" si="43"/>
        <v>997.73819346774189</v>
      </c>
      <c r="AN214" t="s">
        <v>45</v>
      </c>
      <c r="AO214" s="63">
        <v>2195.0240256290322</v>
      </c>
      <c r="AP214" s="64">
        <f t="shared" si="44"/>
        <v>2195.0240256290322</v>
      </c>
      <c r="AQ214" t="s">
        <v>46</v>
      </c>
      <c r="AR214" s="36">
        <f>(AP214-AO214)/AO214</f>
        <v>0</v>
      </c>
      <c r="AS214" s="81"/>
      <c r="AT214" s="81">
        <f>(AO214-J214)/J214</f>
        <v>0.10859799274193543</v>
      </c>
      <c r="AU214" s="81"/>
      <c r="AV214" s="66">
        <f>(AP214-J214)/J214</f>
        <v>0.10859799274193543</v>
      </c>
      <c r="BB214" s="56">
        <f>+R214*F214</f>
        <v>1980.0000000000002</v>
      </c>
    </row>
    <row r="215" spans="1:54" ht="18.75" outlineLevel="1" x14ac:dyDescent="0.3">
      <c r="A215">
        <v>5</v>
      </c>
      <c r="B215" t="s">
        <v>255</v>
      </c>
      <c r="C215">
        <v>339895</v>
      </c>
      <c r="D215" t="s">
        <v>269</v>
      </c>
      <c r="E215" t="s">
        <v>62</v>
      </c>
      <c r="F215" s="21">
        <f>+VLOOKUP(C215,'[1]stock au 25-03-25'!A:D,4,FALSE)</f>
        <v>920</v>
      </c>
      <c r="G215" t="s">
        <v>45</v>
      </c>
      <c r="H215" s="22">
        <f>+VLOOKUP(C215,'[1]stock au 25-03-25'!A:F,6,FALSE)</f>
        <v>5.1721739130434781</v>
      </c>
      <c r="I215" t="s">
        <v>46</v>
      </c>
      <c r="J215" s="56">
        <f>+VLOOKUP(C215,'[1]stock au 25-03-25'!A:H,8,FALSE)</f>
        <v>4758.3999999999996</v>
      </c>
      <c r="K215" t="s">
        <v>46</v>
      </c>
      <c r="L215" s="23">
        <v>5.16</v>
      </c>
      <c r="M215" t="s">
        <v>46</v>
      </c>
      <c r="N215" s="56">
        <f>+VLOOKUP(C215,'[1]stock au 25-03-25'!A:L,12,FALSE)</f>
        <v>4747.2</v>
      </c>
      <c r="P215" s="57">
        <v>5.16</v>
      </c>
      <c r="Q215" t="s">
        <v>46</v>
      </c>
      <c r="R215" s="25">
        <f>H215*(1+VLOOKUP(A215,'[1]Variation MP'!$B$3:$D$22,3))</f>
        <v>5.1721739130434781</v>
      </c>
      <c r="T215" s="26">
        <v>5.17</v>
      </c>
      <c r="U215" s="58">
        <f t="shared" si="42"/>
        <v>-4.2030934767986851E-4</v>
      </c>
      <c r="V215" s="10">
        <f>IFERROR(VLOOKUP(C215,'[2]INDICATEURS ACHATS - Matières P'!$C$2:$G$209999,5,0),0)</f>
        <v>200</v>
      </c>
      <c r="W215" s="60">
        <f t="shared" si="38"/>
        <v>1034</v>
      </c>
      <c r="X215" s="28">
        <v>5.17</v>
      </c>
      <c r="Y215" s="59">
        <v>190.87844838840579</v>
      </c>
      <c r="Z215" s="60">
        <f t="shared" si="39"/>
        <v>986.84157816805794</v>
      </c>
      <c r="AA215" s="60">
        <f t="shared" si="36"/>
        <v>987.25653131672834</v>
      </c>
      <c r="AB215" s="60">
        <f t="shared" si="37"/>
        <v>-0.41495314867040634</v>
      </c>
      <c r="AC215" s="60">
        <f t="shared" si="40"/>
        <v>2020.8415781680578</v>
      </c>
      <c r="AD215" s="61">
        <f>+VLOOKUP(C215,'[1]pic au 25-03'!C:R,16,FALSE)</f>
        <v>585.87844838840579</v>
      </c>
      <c r="AE215" s="31"/>
      <c r="AF215" s="62">
        <v>3023.132793684174</v>
      </c>
      <c r="AG215" s="31"/>
      <c r="AH215" s="62">
        <v>3023.132793684174</v>
      </c>
      <c r="AI215" s="31"/>
      <c r="AJ215" s="28">
        <f t="shared" si="41"/>
        <v>2020.8415781680578</v>
      </c>
      <c r="AK215" s="21">
        <f>+VLOOKUP(C215,'[1]stock au 25-03-25'!A:X,24,FALSE)</f>
        <v>195</v>
      </c>
      <c r="AL215" t="s">
        <v>45</v>
      </c>
      <c r="AM215" s="21">
        <f t="shared" si="43"/>
        <v>390.87844838840579</v>
      </c>
      <c r="AN215" t="s">
        <v>45</v>
      </c>
      <c r="AO215" s="63">
        <v>2150.0915781680578</v>
      </c>
      <c r="AP215" s="64">
        <f t="shared" si="44"/>
        <v>2021.6913139254239</v>
      </c>
      <c r="AQ215" t="s">
        <v>46</v>
      </c>
      <c r="AR215" s="36">
        <f>(AP215-AO215)/AO215</f>
        <v>-5.9718509456250617E-2</v>
      </c>
      <c r="AS215" s="81"/>
      <c r="AT215" s="81">
        <f>(AO215-J215)/J215</f>
        <v>-0.54814820566407663</v>
      </c>
      <c r="AU215" s="81"/>
      <c r="AV215" s="66">
        <f>(AP215-J215)/J215</f>
        <v>-0.57513212131695024</v>
      </c>
      <c r="BB215" s="56">
        <f>+R215*F215</f>
        <v>4758.3999999999996</v>
      </c>
    </row>
    <row r="216" spans="1:54" ht="18.75" outlineLevel="1" x14ac:dyDescent="0.3">
      <c r="A216">
        <v>5</v>
      </c>
      <c r="B216" t="s">
        <v>255</v>
      </c>
      <c r="C216">
        <v>338374</v>
      </c>
      <c r="D216" t="s">
        <v>270</v>
      </c>
      <c r="E216" t="s">
        <v>62</v>
      </c>
      <c r="F216" s="21">
        <f>+VLOOKUP(C216,'[1]stock au 25-03-25'!A:D,4,FALSE)</f>
        <v>3000</v>
      </c>
      <c r="G216" t="s">
        <v>45</v>
      </c>
      <c r="H216" s="22">
        <f>+VLOOKUP(C216,'[1]stock au 25-03-25'!A:F,6,FALSE)</f>
        <v>0.61166666666666669</v>
      </c>
      <c r="I216" t="s">
        <v>46</v>
      </c>
      <c r="J216" s="56">
        <f>+VLOOKUP(C216,'[1]stock au 25-03-25'!A:H,8,FALSE)</f>
        <v>1835</v>
      </c>
      <c r="K216" t="s">
        <v>46</v>
      </c>
      <c r="L216" s="23">
        <v>4.3499999999999996</v>
      </c>
      <c r="M216" t="s">
        <v>46</v>
      </c>
      <c r="N216" s="56">
        <f>+VLOOKUP(C216,'[1]stock au 25-03-25'!A:L,12,FALSE)</f>
        <v>13049.999999999998</v>
      </c>
      <c r="P216" s="57">
        <v>0.65</v>
      </c>
      <c r="Q216" t="s">
        <v>46</v>
      </c>
      <c r="R216" s="25">
        <v>0.64</v>
      </c>
      <c r="T216" s="26">
        <v>0.64400000000000002</v>
      </c>
      <c r="U216" s="58">
        <f t="shared" si="42"/>
        <v>6.2500000000000056E-3</v>
      </c>
      <c r="V216" s="10">
        <f>IFERROR(VLOOKUP(C216,'[2]INDICATEURS ACHATS - Matières P'!$C$2:$G$209999,5,0),0)</f>
        <v>2000</v>
      </c>
      <c r="W216" s="60">
        <f t="shared" si="38"/>
        <v>1288</v>
      </c>
      <c r="X216" s="28">
        <v>0.64400000000000002</v>
      </c>
      <c r="Y216" s="59">
        <v>1124.645836887079</v>
      </c>
      <c r="Z216" s="60">
        <f t="shared" si="39"/>
        <v>724.27191895527892</v>
      </c>
      <c r="AA216" s="60">
        <f t="shared" si="36"/>
        <v>719.77333560773059</v>
      </c>
      <c r="AB216" s="60">
        <f t="shared" si="37"/>
        <v>4.4985833475483332</v>
      </c>
      <c r="AC216" s="60">
        <f t="shared" si="40"/>
        <v>2012.271918955279</v>
      </c>
      <c r="AD216" s="61">
        <f>+VLOOKUP(C216,'[1]pic au 25-03'!C:R,16,FALSE)</f>
        <v>3486.5260928870789</v>
      </c>
      <c r="AE216" s="31"/>
      <c r="AF216" s="62">
        <v>2266.2419603766016</v>
      </c>
      <c r="AG216" s="31"/>
      <c r="AH216" s="62">
        <v>15166.388504058792</v>
      </c>
      <c r="AI216" s="31"/>
      <c r="AJ216" s="28">
        <f t="shared" si="41"/>
        <v>2012.2719189552788</v>
      </c>
      <c r="AK216" s="21">
        <f>+VLOOKUP(C216,'[1]stock au 25-03-25'!A:X,24,FALSE)</f>
        <v>361.88025599999997</v>
      </c>
      <c r="AL216" t="s">
        <v>45</v>
      </c>
      <c r="AM216" s="21">
        <f t="shared" si="43"/>
        <v>3124.645836887079</v>
      </c>
      <c r="AN216" t="s">
        <v>45</v>
      </c>
      <c r="AO216" s="63">
        <v>2014.41629327126</v>
      </c>
      <c r="AP216" s="64">
        <f t="shared" si="44"/>
        <v>1999.7733356077306</v>
      </c>
      <c r="AQ216" t="s">
        <v>46</v>
      </c>
      <c r="AR216" s="36">
        <f>(AP216-AO216)/AO216</f>
        <v>-7.2690822212077765E-3</v>
      </c>
      <c r="AS216" s="81"/>
      <c r="AT216" s="81">
        <f>(AO216-J216)/J216</f>
        <v>9.7774546741831045E-2</v>
      </c>
      <c r="AU216" s="81"/>
      <c r="AV216" s="66">
        <f>(AP216-J216)/J216</f>
        <v>8.9794733301215582E-2</v>
      </c>
      <c r="BB216" s="56">
        <f>+R216*F216</f>
        <v>1920</v>
      </c>
    </row>
    <row r="217" spans="1:54" ht="18.75" outlineLevel="1" x14ac:dyDescent="0.3">
      <c r="A217">
        <v>5</v>
      </c>
      <c r="B217" t="s">
        <v>255</v>
      </c>
      <c r="C217">
        <v>338357</v>
      </c>
      <c r="D217" t="s">
        <v>271</v>
      </c>
      <c r="E217" t="s">
        <v>62</v>
      </c>
      <c r="F217" s="21">
        <f>+VLOOKUP(C217,'[1]stock au 25-03-25'!A:D,4,FALSE)</f>
        <v>600</v>
      </c>
      <c r="G217" t="s">
        <v>45</v>
      </c>
      <c r="H217" s="22">
        <f>+VLOOKUP(C217,'[1]stock au 25-03-25'!A:F,6,FALSE)</f>
        <v>4.03</v>
      </c>
      <c r="I217" t="s">
        <v>46</v>
      </c>
      <c r="J217" s="56">
        <f>+VLOOKUP(C217,'[1]stock au 25-03-25'!A:H,8,FALSE)</f>
        <v>2418</v>
      </c>
      <c r="K217" t="s">
        <v>46</v>
      </c>
      <c r="L217" s="23">
        <v>4.13</v>
      </c>
      <c r="M217" t="s">
        <v>46</v>
      </c>
      <c r="N217" s="56">
        <f>+VLOOKUP(C217,'[1]stock au 25-03-25'!A:L,12,FALSE)</f>
        <v>2478</v>
      </c>
      <c r="P217" s="57">
        <v>4.1100000000000003</v>
      </c>
      <c r="Q217" t="s">
        <v>46</v>
      </c>
      <c r="R217" s="25">
        <f>H217*(1+VLOOKUP(A217,'[1]Variation MP'!$B$3:$D$22,3))</f>
        <v>4.03</v>
      </c>
      <c r="T217" s="26">
        <v>4.03</v>
      </c>
      <c r="U217" s="58">
        <f t="shared" si="42"/>
        <v>0</v>
      </c>
      <c r="V217" s="10">
        <f>IFERROR(VLOOKUP(C217,'[2]INDICATEURS ACHATS - Matières P'!$C$2:$G$209999,5,0),0)</f>
        <v>200</v>
      </c>
      <c r="W217" s="60">
        <f t="shared" si="38"/>
        <v>806</v>
      </c>
      <c r="X217" s="28">
        <v>4.03</v>
      </c>
      <c r="Y217" s="59">
        <v>249.77529947649566</v>
      </c>
      <c r="Z217" s="60">
        <f t="shared" si="39"/>
        <v>1006.5944568902776</v>
      </c>
      <c r="AA217" s="60">
        <f t="shared" si="36"/>
        <v>1006.5944568902776</v>
      </c>
      <c r="AB217" s="60">
        <f t="shared" si="37"/>
        <v>0</v>
      </c>
      <c r="AC217" s="60">
        <f t="shared" si="40"/>
        <v>1812.5944568902776</v>
      </c>
      <c r="AD217" s="61">
        <f>+VLOOKUP(C217,'[1]pic au 25-03'!C:R,16,FALSE)</f>
        <v>594.77529947649566</v>
      </c>
      <c r="AE217" s="31"/>
      <c r="AF217" s="62">
        <v>2444.526480848398</v>
      </c>
      <c r="AG217" s="31"/>
      <c r="AH217" s="62">
        <v>2456.4219868379273</v>
      </c>
      <c r="AI217" s="31"/>
      <c r="AJ217" s="28">
        <f t="shared" si="41"/>
        <v>1812.5944568902776</v>
      </c>
      <c r="AK217" s="21">
        <f>+VLOOKUP(C217,'[1]stock au 25-03-25'!A:X,24,FALSE)</f>
        <v>145</v>
      </c>
      <c r="AL217" t="s">
        <v>45</v>
      </c>
      <c r="AM217" s="21">
        <f t="shared" si="43"/>
        <v>449.77529947649566</v>
      </c>
      <c r="AN217" t="s">
        <v>45</v>
      </c>
      <c r="AO217" s="63">
        <v>1911.3294568902782</v>
      </c>
      <c r="AP217" s="64">
        <f t="shared" si="44"/>
        <v>1812.5944568902776</v>
      </c>
      <c r="AQ217" t="s">
        <v>46</v>
      </c>
      <c r="AR217" s="36">
        <f>(AP217-AO217)/AO217</f>
        <v>-5.1657760855442394E-2</v>
      </c>
      <c r="AS217" s="81"/>
      <c r="AT217" s="81">
        <f>(AO217-J217)/J217</f>
        <v>-0.20954116753917362</v>
      </c>
      <c r="AU217" s="81"/>
      <c r="AV217" s="66">
        <f>(AP217-J217)/J217</f>
        <v>-0.25037450087250723</v>
      </c>
      <c r="BB217" s="56">
        <f>+R217*F217</f>
        <v>2418</v>
      </c>
    </row>
    <row r="218" spans="1:54" ht="18.75" outlineLevel="1" x14ac:dyDescent="0.3">
      <c r="A218">
        <v>5</v>
      </c>
      <c r="B218" t="s">
        <v>255</v>
      </c>
      <c r="C218">
        <v>338379</v>
      </c>
      <c r="D218" t="s">
        <v>272</v>
      </c>
      <c r="E218" t="s">
        <v>62</v>
      </c>
      <c r="F218" s="21">
        <f>+VLOOKUP(C218,'[1]stock au 25-03-25'!A:D,4,FALSE)</f>
        <v>640</v>
      </c>
      <c r="G218" t="s">
        <v>45</v>
      </c>
      <c r="H218" s="22">
        <f>+VLOOKUP(C218,'[1]stock au 25-03-25'!A:F,6,FALSE)</f>
        <v>2.5499999999999998</v>
      </c>
      <c r="I218" t="s">
        <v>46</v>
      </c>
      <c r="J218" s="56">
        <f>+VLOOKUP(C218,'[1]stock au 25-03-25'!A:H,8,FALSE)</f>
        <v>1632</v>
      </c>
      <c r="K218" t="s">
        <v>46</v>
      </c>
      <c r="L218" s="23">
        <v>2.5499999999999998</v>
      </c>
      <c r="M218" t="s">
        <v>46</v>
      </c>
      <c r="N218" s="56">
        <f>+VLOOKUP(C218,'[1]stock au 25-03-25'!A:L,12,FALSE)</f>
        <v>1632</v>
      </c>
      <c r="P218" s="57">
        <v>2.5499999999999998</v>
      </c>
      <c r="Q218" t="s">
        <v>46</v>
      </c>
      <c r="R218" s="25">
        <f>H218*(1+VLOOKUP(A218,'[1]Variation MP'!$B$3:$D$22,3))</f>
        <v>2.5499999999999998</v>
      </c>
      <c r="T218" s="26">
        <v>2.5499999999999998</v>
      </c>
      <c r="U218" s="58">
        <f t="shared" si="42"/>
        <v>0</v>
      </c>
      <c r="V218" s="10">
        <f>IFERROR(VLOOKUP(C218,'[2]INDICATEURS ACHATS - Matières P'!$C$2:$G$209999,5,0),0)</f>
        <v>580</v>
      </c>
      <c r="W218" s="60">
        <f t="shared" si="38"/>
        <v>1479</v>
      </c>
      <c r="X218" s="28">
        <v>2.5499999999999998</v>
      </c>
      <c r="Y218" s="59">
        <v>98.937944140717349</v>
      </c>
      <c r="Z218" s="60">
        <f t="shared" si="39"/>
        <v>252.29175755882923</v>
      </c>
      <c r="AA218" s="60">
        <f t="shared" si="36"/>
        <v>252.29175755882923</v>
      </c>
      <c r="AB218" s="60">
        <f t="shared" si="37"/>
        <v>0</v>
      </c>
      <c r="AC218" s="60">
        <f t="shared" si="40"/>
        <v>1731.2917575588292</v>
      </c>
      <c r="AD218" s="61">
        <f>+VLOOKUP(C218,'[1]pic au 25-03'!C:R,16,FALSE)</f>
        <v>694.24289314071734</v>
      </c>
      <c r="AE218" s="31"/>
      <c r="AF218" s="62">
        <v>1770.3193775088289</v>
      </c>
      <c r="AG218" s="31"/>
      <c r="AH218" s="62">
        <v>1770.3193775088289</v>
      </c>
      <c r="AI218" s="31"/>
      <c r="AJ218" s="28">
        <f t="shared" si="41"/>
        <v>1731.2917575588292</v>
      </c>
      <c r="AK218" s="21">
        <f>+VLOOKUP(C218,'[1]stock au 25-03-25'!A:X,24,FALSE)</f>
        <v>15.304949000000001</v>
      </c>
      <c r="AL218" t="s">
        <v>45</v>
      </c>
      <c r="AM218" s="21">
        <f t="shared" si="43"/>
        <v>678.93794414071738</v>
      </c>
      <c r="AN218" t="s">
        <v>45</v>
      </c>
      <c r="AO218" s="63">
        <v>1657.2299630088287</v>
      </c>
      <c r="AP218" s="64">
        <f t="shared" si="44"/>
        <v>1731.2917575588292</v>
      </c>
      <c r="AQ218" t="s">
        <v>46</v>
      </c>
      <c r="AR218" s="36">
        <f>(AP218-AO218)/AO218</f>
        <v>4.4690113142496907E-2</v>
      </c>
      <c r="AS218" s="81"/>
      <c r="AT218" s="81">
        <f>(AO218-J218)/J218</f>
        <v>1.5459536157370521E-2</v>
      </c>
      <c r="AU218" s="81"/>
      <c r="AV218" s="66">
        <f>(AP218-J218)/J218</f>
        <v>6.0840537719870837E-2</v>
      </c>
      <c r="BB218" s="56">
        <f>+R218*F218</f>
        <v>1632</v>
      </c>
    </row>
    <row r="219" spans="1:54" ht="18.75" outlineLevel="1" x14ac:dyDescent="0.3">
      <c r="A219">
        <v>5</v>
      </c>
      <c r="B219" t="s">
        <v>255</v>
      </c>
      <c r="C219">
        <v>338482</v>
      </c>
      <c r="D219" t="s">
        <v>273</v>
      </c>
      <c r="E219" t="s">
        <v>62</v>
      </c>
      <c r="F219" s="21">
        <f>+VLOOKUP(C219,'[1]stock au 25-03-25'!A:D,4,FALSE)</f>
        <v>1020</v>
      </c>
      <c r="G219" t="s">
        <v>45</v>
      </c>
      <c r="H219" s="22">
        <f>+VLOOKUP(C219,'[1]stock au 25-03-25'!A:F,6,FALSE)</f>
        <v>2.0499999999999998</v>
      </c>
      <c r="I219" t="s">
        <v>46</v>
      </c>
      <c r="J219" s="56">
        <f>+VLOOKUP(C219,'[1]stock au 25-03-25'!A:H,8,FALSE)</f>
        <v>2091</v>
      </c>
      <c r="K219" t="s">
        <v>46</v>
      </c>
      <c r="L219" s="23">
        <v>2.1</v>
      </c>
      <c r="M219" t="s">
        <v>46</v>
      </c>
      <c r="N219" s="56">
        <f>+VLOOKUP(C219,'[1]stock au 25-03-25'!A:L,12,FALSE)</f>
        <v>2142</v>
      </c>
      <c r="Q219" t="s">
        <v>46</v>
      </c>
      <c r="R219" s="25">
        <f>H219*(1+VLOOKUP(A219,'[1]Variation MP'!$B$3:$D$22,3))</f>
        <v>2.0499999999999998</v>
      </c>
      <c r="T219" s="26" t="s">
        <v>53</v>
      </c>
      <c r="U219" s="58" t="str">
        <f t="shared" si="42"/>
        <v/>
      </c>
      <c r="V219" s="10">
        <f>IFERROR(VLOOKUP(C219,'[2]INDICATEURS ACHATS - Matières P'!$C$2:$G$209999,5,0),0)</f>
        <v>0</v>
      </c>
      <c r="W219" s="60">
        <f t="shared" si="38"/>
        <v>0</v>
      </c>
      <c r="X219" s="28">
        <v>2.15</v>
      </c>
      <c r="Y219" s="59">
        <v>743.98376762222233</v>
      </c>
      <c r="Z219" s="60">
        <f t="shared" si="39"/>
        <v>1599.5651003877779</v>
      </c>
      <c r="AA219" s="60">
        <f t="shared" si="36"/>
        <v>1525.1667236255557</v>
      </c>
      <c r="AB219" s="60">
        <f t="shared" si="37"/>
        <v>74.398376762222142</v>
      </c>
      <c r="AC219" s="60">
        <f t="shared" si="40"/>
        <v>1599.5651003877779</v>
      </c>
      <c r="AD219" s="61">
        <f>+VLOOKUP(C219,'[1]pic au 25-03'!C:R,16,FALSE)</f>
        <v>743.98376762222233</v>
      </c>
      <c r="AE219" s="31"/>
      <c r="AF219" s="62"/>
      <c r="AG219" s="31"/>
      <c r="AH219" s="62">
        <v>1562.3659120066668</v>
      </c>
      <c r="AI219" s="31"/>
      <c r="AJ219" s="28">
        <f t="shared" si="41"/>
        <v>1599.5651003877779</v>
      </c>
      <c r="AK219" s="21">
        <f>+VLOOKUP(C219,'[1]stock au 25-03-25'!A:X,24,FALSE)</f>
        <v>0</v>
      </c>
      <c r="AL219" t="s">
        <v>45</v>
      </c>
      <c r="AM219" s="21">
        <f t="shared" si="43"/>
        <v>743.98376762222233</v>
      </c>
      <c r="AN219" t="s">
        <v>45</v>
      </c>
      <c r="AO219" s="63">
        <v>1525.1667236255555</v>
      </c>
      <c r="AP219" s="64">
        <f t="shared" si="44"/>
        <v>1525.1667236255557</v>
      </c>
      <c r="AQ219" t="s">
        <v>46</v>
      </c>
      <c r="AR219" s="36">
        <f>(AP219-AO219)/AO219</f>
        <v>1.4908119349911458E-16</v>
      </c>
      <c r="AS219" s="81"/>
      <c r="AT219" s="81">
        <f>(AO219-J219)/J219</f>
        <v>-0.27060414938997823</v>
      </c>
      <c r="AU219" s="81"/>
      <c r="AV219" s="66">
        <f>(AP219-J219)/J219</f>
        <v>-0.27060414938997812</v>
      </c>
      <c r="BB219" s="56">
        <f>+R219*F219</f>
        <v>2091</v>
      </c>
    </row>
    <row r="220" spans="1:54" ht="18.75" outlineLevel="1" x14ac:dyDescent="0.3">
      <c r="A220">
        <v>5</v>
      </c>
      <c r="B220" t="s">
        <v>255</v>
      </c>
      <c r="C220">
        <v>338472</v>
      </c>
      <c r="D220" t="s">
        <v>274</v>
      </c>
      <c r="E220" t="s">
        <v>62</v>
      </c>
      <c r="F220" s="21">
        <f>+VLOOKUP(C220,'[1]stock au 25-03-25'!A:D,4,FALSE)</f>
        <v>100</v>
      </c>
      <c r="G220" t="s">
        <v>45</v>
      </c>
      <c r="H220" s="22">
        <f>+VLOOKUP(C220,'[1]stock au 25-03-25'!A:F,6,FALSE)</f>
        <v>3.3860000000000001</v>
      </c>
      <c r="I220" t="s">
        <v>46</v>
      </c>
      <c r="J220" s="56">
        <f>+VLOOKUP(C220,'[1]stock au 25-03-25'!A:H,8,FALSE)</f>
        <v>338.6</v>
      </c>
      <c r="K220" t="s">
        <v>46</v>
      </c>
      <c r="L220" s="23">
        <v>3.1</v>
      </c>
      <c r="M220" t="s">
        <v>46</v>
      </c>
      <c r="N220" s="56">
        <f>+VLOOKUP(C220,'[1]stock au 25-03-25'!A:L,12,FALSE)</f>
        <v>310</v>
      </c>
      <c r="P220" s="57">
        <v>3.1</v>
      </c>
      <c r="Q220" t="s">
        <v>46</v>
      </c>
      <c r="R220" s="25">
        <v>3.4</v>
      </c>
      <c r="T220" s="26">
        <v>3.3860000000000001</v>
      </c>
      <c r="U220" s="58">
        <f t="shared" si="42"/>
        <v>-4.1176470588234681E-3</v>
      </c>
      <c r="V220" s="10">
        <f>IFERROR(VLOOKUP(C220,'[2]INDICATEURS ACHATS - Matières P'!$C$2:$G$209999,5,0),0)</f>
        <v>100</v>
      </c>
      <c r="W220" s="60">
        <f t="shared" si="38"/>
        <v>338.6</v>
      </c>
      <c r="X220" s="28">
        <v>3.3860000000000001</v>
      </c>
      <c r="Y220" s="59">
        <v>23.782307318954253</v>
      </c>
      <c r="Z220" s="60">
        <f t="shared" si="39"/>
        <v>80.526892581979098</v>
      </c>
      <c r="AA220" s="60">
        <f t="shared" si="36"/>
        <v>80.859844884444456</v>
      </c>
      <c r="AB220" s="60">
        <f t="shared" si="37"/>
        <v>-0.33295230246535823</v>
      </c>
      <c r="AC220" s="60">
        <f t="shared" si="40"/>
        <v>419.12689258197912</v>
      </c>
      <c r="AD220" s="61">
        <f>+VLOOKUP(C220,'[1]pic au 25-03'!C:R,16,FALSE)</f>
        <v>188.34673331895425</v>
      </c>
      <c r="AE220" s="31"/>
      <c r="AF220" s="62">
        <v>583.87487328875818</v>
      </c>
      <c r="AG220" s="31"/>
      <c r="AH220" s="62">
        <v>583.87487328875818</v>
      </c>
      <c r="AI220" s="31"/>
      <c r="AJ220" s="28">
        <f t="shared" si="41"/>
        <v>419.12689258197912</v>
      </c>
      <c r="AK220" s="21">
        <f>+VLOOKUP(C220,'[1]stock au 25-03-25'!A:X,24,FALSE)</f>
        <v>64.564425999999997</v>
      </c>
      <c r="AL220" t="s">
        <v>45</v>
      </c>
      <c r="AM220" s="21">
        <f t="shared" si="43"/>
        <v>123.78230731895425</v>
      </c>
      <c r="AN220" t="s">
        <v>45</v>
      </c>
      <c r="AO220" s="63">
        <v>400.72203901797911</v>
      </c>
      <c r="AP220" s="64">
        <f t="shared" si="44"/>
        <v>420.85984488444444</v>
      </c>
      <c r="AQ220" t="s">
        <v>46</v>
      </c>
      <c r="AR220" s="36">
        <f>(AP220-AO220)/AO220</f>
        <v>5.0253801652176681E-2</v>
      </c>
      <c r="AS220" s="81"/>
      <c r="AT220" s="81">
        <f>(AO220-J220)/J220</f>
        <v>0.1834673331895425</v>
      </c>
      <c r="AU220" s="81"/>
      <c r="AV220" s="66">
        <f>(AP220-J220)/J220</f>
        <v>0.24294106581348027</v>
      </c>
      <c r="BB220" s="56">
        <f>+R220*F220</f>
        <v>340</v>
      </c>
    </row>
    <row r="221" spans="1:54" ht="18.75" outlineLevel="1" x14ac:dyDescent="0.3">
      <c r="A221">
        <v>5</v>
      </c>
      <c r="B221" t="s">
        <v>255</v>
      </c>
      <c r="C221">
        <v>340415</v>
      </c>
      <c r="D221" t="s">
        <v>275</v>
      </c>
      <c r="E221" t="s">
        <v>62</v>
      </c>
      <c r="F221" s="21">
        <f>+VLOOKUP(C221,'[1]stock au 25-03-25'!A:D,4,FALSE)</f>
        <v>1000</v>
      </c>
      <c r="G221" t="s">
        <v>45</v>
      </c>
      <c r="H221" s="22">
        <f>+VLOOKUP(C221,'[1]stock au 25-03-25'!A:F,6,FALSE)</f>
        <v>1.95</v>
      </c>
      <c r="I221" t="s">
        <v>46</v>
      </c>
      <c r="J221" s="56">
        <f>+VLOOKUP(C221,'[1]stock au 25-03-25'!A:H,8,FALSE)</f>
        <v>1950</v>
      </c>
      <c r="K221" t="s">
        <v>46</v>
      </c>
      <c r="L221" s="23">
        <v>2.06</v>
      </c>
      <c r="M221" t="s">
        <v>46</v>
      </c>
      <c r="N221" s="56">
        <f>+VLOOKUP(C221,'[1]stock au 25-03-25'!A:L,12,FALSE)</f>
        <v>2060</v>
      </c>
      <c r="Q221" t="s">
        <v>46</v>
      </c>
      <c r="R221" s="25">
        <f>H221*(1+VLOOKUP(A221,'[1]Variation MP'!$B$3:$D$22,3))</f>
        <v>1.95</v>
      </c>
      <c r="T221" s="26" t="s">
        <v>53</v>
      </c>
      <c r="U221" s="58" t="str">
        <f t="shared" si="42"/>
        <v/>
      </c>
      <c r="V221" s="10">
        <f>IFERROR(VLOOKUP(C221,'[2]INDICATEURS ACHATS - Matières P'!$C$2:$G$209999,5,0),0)</f>
        <v>0</v>
      </c>
      <c r="W221" s="60">
        <f t="shared" si="38"/>
        <v>0</v>
      </c>
      <c r="X221" s="28">
        <v>1.95</v>
      </c>
      <c r="Y221" s="59">
        <v>0</v>
      </c>
      <c r="Z221" s="60">
        <f t="shared" si="39"/>
        <v>0</v>
      </c>
      <c r="AA221" s="60">
        <f t="shared" si="36"/>
        <v>0</v>
      </c>
      <c r="AB221" s="60">
        <f t="shared" si="37"/>
        <v>0</v>
      </c>
      <c r="AC221" s="60">
        <f t="shared" si="40"/>
        <v>0</v>
      </c>
      <c r="AD221" s="61">
        <v>0</v>
      </c>
      <c r="AE221" s="31"/>
      <c r="AF221" s="62"/>
      <c r="AG221" s="31"/>
      <c r="AH221" s="62"/>
      <c r="AI221" s="31"/>
      <c r="AJ221" s="28">
        <f t="shared" si="41"/>
        <v>0</v>
      </c>
      <c r="AK221" s="21">
        <f>+VLOOKUP(C221,'[1]stock au 25-03-25'!A:X,24,FALSE)</f>
        <v>0</v>
      </c>
      <c r="AL221" t="s">
        <v>45</v>
      </c>
      <c r="AM221" s="21">
        <f t="shared" si="43"/>
        <v>0</v>
      </c>
      <c r="AN221" t="s">
        <v>45</v>
      </c>
      <c r="AO221" s="63"/>
      <c r="AP221" s="64">
        <f t="shared" si="44"/>
        <v>0</v>
      </c>
      <c r="AQ221" t="s">
        <v>46</v>
      </c>
      <c r="AR221" s="36" t="e">
        <f>(AP221-AO221)/AO221</f>
        <v>#DIV/0!</v>
      </c>
      <c r="AS221" s="81"/>
      <c r="AT221" s="81">
        <f>(AO221-J221)/J221</f>
        <v>-1</v>
      </c>
      <c r="AU221" s="81"/>
      <c r="AV221" s="66">
        <f>(AP221-J221)/J221</f>
        <v>-1</v>
      </c>
      <c r="BB221" s="56">
        <f>+R221*F221</f>
        <v>1950</v>
      </c>
    </row>
    <row r="222" spans="1:54" x14ac:dyDescent="0.25">
      <c r="A222" s="67"/>
      <c r="B222" s="67" t="s">
        <v>276</v>
      </c>
      <c r="C222" s="67"/>
      <c r="D222" s="67"/>
      <c r="E222" s="67"/>
      <c r="F222" s="79">
        <f>SUM(F202:F221)</f>
        <v>200676.97</v>
      </c>
      <c r="G222" s="67" t="s">
        <v>45</v>
      </c>
      <c r="H222" s="69"/>
      <c r="I222" s="67"/>
      <c r="J222" s="70">
        <f>SUM(J202:J221)</f>
        <v>459062.35999999993</v>
      </c>
      <c r="K222" s="67"/>
      <c r="L222" s="69"/>
      <c r="M222" s="67"/>
      <c r="N222" s="70">
        <f>SUM(N202:N221)</f>
        <v>560199.70109999995</v>
      </c>
      <c r="O222" s="78"/>
      <c r="P222" s="78">
        <f>SUM(P202:P221)</f>
        <v>70.150000000000006</v>
      </c>
      <c r="Q222" s="78">
        <f>SUM(Q202:Q221)</f>
        <v>0</v>
      </c>
      <c r="R222" s="78"/>
      <c r="S222" s="78"/>
      <c r="T222" s="83"/>
      <c r="U222" s="83"/>
      <c r="V222" s="10">
        <f>IFERROR(VLOOKUP(C222,'[2]INDICATEURS ACHATS - Matières P'!$C$2:$G$209999,5,0),0)</f>
        <v>0</v>
      </c>
      <c r="W222" s="60">
        <f>SUM(W202:W221)</f>
        <v>203819.16999999998</v>
      </c>
      <c r="X222" s="28">
        <f>SUM(X202:X221)</f>
        <v>68.801000000000002</v>
      </c>
      <c r="Y222" s="59">
        <v>-20985.385321000002</v>
      </c>
      <c r="Z222" s="60">
        <f>SUM(Z202:Z221)</f>
        <v>237916.61595288006</v>
      </c>
      <c r="AA222" s="60">
        <f t="shared" si="36"/>
        <v>0</v>
      </c>
      <c r="AB222" s="60"/>
      <c r="AC222" s="60">
        <f t="shared" si="40"/>
        <v>441735.78595288005</v>
      </c>
      <c r="AD222" s="74">
        <f>SUM(AD202:AD221)</f>
        <v>242606.40004887027</v>
      </c>
      <c r="AE222" s="75"/>
      <c r="AF222" s="76">
        <f>SUM(AF202:AF221)</f>
        <v>596724.2471638975</v>
      </c>
      <c r="AG222" s="75"/>
      <c r="AH222" s="76">
        <f>SUM(AH202:AH221)</f>
        <v>671335.94479799946</v>
      </c>
      <c r="AI222" s="75"/>
      <c r="AJ222" s="28">
        <f>SUM(AJ202:AJ221)</f>
        <v>440219.63095287996</v>
      </c>
      <c r="AK222" s="77">
        <f>SUM(AK202:AK221)</f>
        <v>20985.385321000002</v>
      </c>
      <c r="AL222" s="78">
        <f>SUM(AL202:AL221)</f>
        <v>0</v>
      </c>
      <c r="AM222" s="79">
        <f>SUM(AM202:AM221)</f>
        <v>221621.01472787024</v>
      </c>
      <c r="AN222" s="78" t="s">
        <v>45</v>
      </c>
      <c r="AO222" s="80">
        <f>SUM(AO202:AO221)</f>
        <v>506210.74731117743</v>
      </c>
      <c r="AP222" s="80">
        <f>SUM(AP202:AP221)</f>
        <v>451683.17627744563</v>
      </c>
      <c r="AQ222" s="67"/>
      <c r="AR222" s="81">
        <f>(AP222-AO222)/AO222</f>
        <v>-0.10771713426347437</v>
      </c>
      <c r="AS222" s="81"/>
      <c r="AT222" s="81">
        <f>(AO222-J222)/J222</f>
        <v>0.10270584438937122</v>
      </c>
      <c r="AU222" s="82">
        <f>AO222-J222</f>
        <v>47148.387311177503</v>
      </c>
      <c r="AV222" s="81">
        <f>(AP222-J222)/J222</f>
        <v>-1.6074469103836569E-2</v>
      </c>
      <c r="AW222" s="72">
        <f>AP222-N222</f>
        <v>-108516.52482255432</v>
      </c>
      <c r="AX222" s="67"/>
      <c r="AY222" s="67"/>
      <c r="AZ222" s="81">
        <f>(AM222-F222)/F222</f>
        <v>0.10436695714446075</v>
      </c>
      <c r="BA222" s="81">
        <f>(AP222-N222)/N222</f>
        <v>-0.19371042970832161</v>
      </c>
      <c r="BB222" s="78">
        <f>SUM(BB202:BB221)</f>
        <v>431389.3775</v>
      </c>
    </row>
    <row r="223" spans="1:54" ht="18.75" outlineLevel="1" x14ac:dyDescent="0.3">
      <c r="A223">
        <v>6</v>
      </c>
      <c r="B223" t="s">
        <v>277</v>
      </c>
      <c r="C223">
        <v>338180</v>
      </c>
      <c r="D223" t="s">
        <v>278</v>
      </c>
      <c r="E223" t="s">
        <v>279</v>
      </c>
      <c r="F223" s="21">
        <f>+VLOOKUP(C223,'[1]stock au 25-03-25'!A:D,4,FALSE)</f>
        <v>9550</v>
      </c>
      <c r="G223" t="s">
        <v>45</v>
      </c>
      <c r="H223" s="22">
        <f>+VLOOKUP(C223,'[1]stock au 25-03-25'!A:F,6,FALSE)</f>
        <v>4.8431937172774866</v>
      </c>
      <c r="I223" t="s">
        <v>46</v>
      </c>
      <c r="J223" s="56">
        <f>+VLOOKUP(C223,'[1]stock au 25-03-25'!A:H,8,FALSE)</f>
        <v>46252.5</v>
      </c>
      <c r="K223" t="s">
        <v>46</v>
      </c>
      <c r="L223" s="23">
        <v>4.7699999999999996</v>
      </c>
      <c r="M223" t="s">
        <v>46</v>
      </c>
      <c r="N223" s="56">
        <f>+VLOOKUP(C223,'[1]stock au 25-03-25'!A:L,12,FALSE)</f>
        <v>45553.499999999993</v>
      </c>
      <c r="P223" s="57">
        <v>4.7699999999999996</v>
      </c>
      <c r="Q223" t="s">
        <v>46</v>
      </c>
      <c r="R223" s="25">
        <v>6.5</v>
      </c>
      <c r="T223" s="26" t="s">
        <v>53</v>
      </c>
      <c r="U223" s="58" t="str">
        <f t="shared" ref="U223:U225" si="45">IFERROR((T223-R223)/R223,"")</f>
        <v/>
      </c>
      <c r="V223" s="10">
        <f>IFERROR(VLOOKUP(C223,'[2]INDICATEURS ACHATS - Matières P'!$C$2:$G$209999,5,0),0)</f>
        <v>0</v>
      </c>
      <c r="W223" s="60">
        <f t="shared" si="38"/>
        <v>0</v>
      </c>
      <c r="X223" s="28">
        <v>6.5</v>
      </c>
      <c r="Y223" s="59">
        <v>9087.0305381443304</v>
      </c>
      <c r="Z223" s="60">
        <f t="shared" si="39"/>
        <v>59065.698497938145</v>
      </c>
      <c r="AA223" s="60">
        <f t="shared" si="36"/>
        <v>59065.698497938145</v>
      </c>
      <c r="AB223" s="60">
        <f t="shared" si="37"/>
        <v>0</v>
      </c>
      <c r="AC223" s="60">
        <f t="shared" si="40"/>
        <v>59065.698497938145</v>
      </c>
      <c r="AD223" s="61">
        <f>+VLOOKUP(C223,'[1]pic au 25-03'!C:R,16,FALSE)</f>
        <v>9523.4395381443301</v>
      </c>
      <c r="AE223" s="31"/>
      <c r="AF223" s="62">
        <v>45426.806596948452</v>
      </c>
      <c r="AG223" s="31"/>
      <c r="AH223" s="62">
        <v>45426.806596948452</v>
      </c>
      <c r="AI223" s="31"/>
      <c r="AJ223" s="28">
        <f t="shared" si="41"/>
        <v>59065.698497938145</v>
      </c>
      <c r="AK223" s="21">
        <f>+VLOOKUP(C223,'[1]stock au 25-03-25'!A:X,24,FALSE)</f>
        <v>436.40899999999999</v>
      </c>
      <c r="AL223" t="s">
        <v>45</v>
      </c>
      <c r="AM223" s="21">
        <f>AD223-AK223</f>
        <v>9087.0305381443304</v>
      </c>
      <c r="AN223" t="s">
        <v>45</v>
      </c>
      <c r="AO223" s="63">
        <v>41127.042716023105</v>
      </c>
      <c r="AP223" s="64">
        <f>IF(AM223&lt;0,0,AM223*R223)</f>
        <v>59065.698497938145</v>
      </c>
      <c r="AQ223" t="s">
        <v>46</v>
      </c>
      <c r="AR223" s="36">
        <f>(AP223-AO223)/AO223</f>
        <v>0.43617665159586433</v>
      </c>
      <c r="AS223" s="81"/>
      <c r="AT223" s="81">
        <f>(AO223-J223)/J223</f>
        <v>-0.11081470804771408</v>
      </c>
      <c r="AU223" s="81"/>
      <c r="AV223" s="66">
        <f>(AP223-J223)/J223</f>
        <v>0.27702715524432509</v>
      </c>
      <c r="BB223" s="56">
        <f>+R223*F223</f>
        <v>62075</v>
      </c>
    </row>
    <row r="224" spans="1:54" ht="18.75" outlineLevel="1" x14ac:dyDescent="0.3">
      <c r="A224">
        <v>6</v>
      </c>
      <c r="B224" t="s">
        <v>277</v>
      </c>
      <c r="C224">
        <v>340423</v>
      </c>
      <c r="D224" t="s">
        <v>280</v>
      </c>
      <c r="E224" t="s">
        <v>279</v>
      </c>
      <c r="F224" s="21">
        <f>+VLOOKUP(C224,'[1]stock au 25-03-25'!A:D,4,FALSE)</f>
        <v>8840</v>
      </c>
      <c r="G224" t="s">
        <v>45</v>
      </c>
      <c r="H224" s="22">
        <f>+VLOOKUP(C224,'[1]stock au 25-03-25'!A:F,6,FALSE)</f>
        <v>5.3920814479638013</v>
      </c>
      <c r="I224" t="s">
        <v>46</v>
      </c>
      <c r="J224" s="56">
        <f>+VLOOKUP(C224,'[1]stock au 25-03-25'!A:H,8,FALSE)</f>
        <v>47666</v>
      </c>
      <c r="K224" t="s">
        <v>46</v>
      </c>
      <c r="L224" s="23">
        <v>6.75</v>
      </c>
      <c r="M224" t="s">
        <v>46</v>
      </c>
      <c r="N224" s="56">
        <f>+VLOOKUP(C224,'[1]stock au 25-03-25'!A:L,12,FALSE)</f>
        <v>59670</v>
      </c>
      <c r="P224" s="57">
        <v>5.5</v>
      </c>
      <c r="Q224" t="s">
        <v>46</v>
      </c>
      <c r="R224" s="25">
        <v>5.0999999999999996</v>
      </c>
      <c r="T224" s="26">
        <v>5.3312626603646187</v>
      </c>
      <c r="U224" s="58">
        <f t="shared" si="45"/>
        <v>4.5345619679337076E-2</v>
      </c>
      <c r="V224" s="10">
        <f>IFERROR(VLOOKUP(C224,'[2]INDICATEURS ACHATS - Matières P'!$C$2:$G$209999,5,0),0)</f>
        <v>14810</v>
      </c>
      <c r="W224" s="60">
        <f t="shared" si="38"/>
        <v>78956</v>
      </c>
      <c r="X224" s="28">
        <v>5.4</v>
      </c>
      <c r="Y224" s="59">
        <v>-5117.1380087965381</v>
      </c>
      <c r="Z224" s="60">
        <f t="shared" si="39"/>
        <v>-27632.545247501308</v>
      </c>
      <c r="AA224" s="60">
        <f t="shared" si="36"/>
        <v>-26097.403844862343</v>
      </c>
      <c r="AB224" s="60">
        <f t="shared" si="37"/>
        <v>-1535.1414026389648</v>
      </c>
      <c r="AC224" s="60">
        <f t="shared" si="40"/>
        <v>51323.454752498692</v>
      </c>
      <c r="AD224" s="61">
        <f>+VLOOKUP(C224,'[1]pic au 25-03'!C:R,16,FALSE)</f>
        <v>10107.624991203462</v>
      </c>
      <c r="AE224" s="31"/>
      <c r="AF224" s="62">
        <v>55591.937451619044</v>
      </c>
      <c r="AG224" s="31"/>
      <c r="AH224" s="62">
        <v>68226.468690623369</v>
      </c>
      <c r="AI224" s="31"/>
      <c r="AJ224" s="28">
        <f t="shared" si="41"/>
        <v>52341.454752498692</v>
      </c>
      <c r="AK224" s="21">
        <f>+VLOOKUP(C224,'[1]stock au 25-03-25'!A:X,24,FALSE)</f>
        <v>414.76299999999998</v>
      </c>
      <c r="AL224" t="s">
        <v>45</v>
      </c>
      <c r="AM224" s="21">
        <f>AD224-AK224</f>
        <v>9692.861991203461</v>
      </c>
      <c r="AN224" t="s">
        <v>45</v>
      </c>
      <c r="AO224" s="63">
        <v>45756.081567047986</v>
      </c>
      <c r="AP224" s="64">
        <f>IF(AM224&lt;0,0,AM224*R224)</f>
        <v>49433.596155137646</v>
      </c>
      <c r="AQ224" t="s">
        <v>46</v>
      </c>
      <c r="AR224" s="36">
        <f>(AP224-AO224)/AO224</f>
        <v>8.037214862249227E-2</v>
      </c>
      <c r="AS224" s="81"/>
      <c r="AT224" s="81">
        <f>(AO224-J224)/J224</f>
        <v>-4.0068779275626527E-2</v>
      </c>
      <c r="AU224" s="81"/>
      <c r="AV224" s="66">
        <f>(AP224-J224)/J224</f>
        <v>3.7082955463803254E-2</v>
      </c>
      <c r="BB224" s="56">
        <f>+R224*F224</f>
        <v>45084</v>
      </c>
    </row>
    <row r="225" spans="1:54" ht="18.75" outlineLevel="1" x14ac:dyDescent="0.3">
      <c r="A225">
        <v>6</v>
      </c>
      <c r="B225" t="s">
        <v>277</v>
      </c>
      <c r="C225">
        <v>340892</v>
      </c>
      <c r="D225" t="s">
        <v>281</v>
      </c>
      <c r="E225" t="s">
        <v>62</v>
      </c>
      <c r="F225" s="21">
        <f>+VLOOKUP(C225,'[1]stock au 25-03-25'!A:D,4,FALSE)</f>
        <v>2000</v>
      </c>
      <c r="G225" t="s">
        <v>45</v>
      </c>
      <c r="H225" s="22">
        <f>+VLOOKUP(C225,'[1]stock au 25-03-25'!A:F,6,FALSE)</f>
        <v>13.68</v>
      </c>
      <c r="I225" t="s">
        <v>46</v>
      </c>
      <c r="J225" s="56">
        <f>+VLOOKUP(C225,'[1]stock au 25-03-25'!A:H,8,FALSE)</f>
        <v>27360</v>
      </c>
      <c r="K225" t="s">
        <v>46</v>
      </c>
      <c r="L225" s="23">
        <v>11.94</v>
      </c>
      <c r="M225" t="s">
        <v>46</v>
      </c>
      <c r="N225" s="56">
        <f>+VLOOKUP(C225,'[1]stock au 25-03-25'!A:L,12,FALSE)</f>
        <v>23880</v>
      </c>
      <c r="P225" s="57">
        <v>11.94</v>
      </c>
      <c r="Q225" t="s">
        <v>46</v>
      </c>
      <c r="R225" s="25">
        <f>H225*(1+VLOOKUP(A225,'[1]Variation MP'!$B$3:$D$22,3))</f>
        <v>13.68</v>
      </c>
      <c r="T225" s="26" t="s">
        <v>53</v>
      </c>
      <c r="U225" s="58" t="str">
        <f t="shared" si="45"/>
        <v/>
      </c>
      <c r="V225" s="10">
        <f>IFERROR(VLOOKUP(C225,'[2]INDICATEURS ACHATS - Matières P'!$C$2:$G$209999,5,0),0)</f>
        <v>0</v>
      </c>
      <c r="W225" s="60">
        <f t="shared" si="38"/>
        <v>0</v>
      </c>
      <c r="X225" s="28">
        <v>13.68</v>
      </c>
      <c r="Y225" s="59">
        <v>2248.3325457831324</v>
      </c>
      <c r="Z225" s="60">
        <f t="shared" si="39"/>
        <v>30757.18922631325</v>
      </c>
      <c r="AA225" s="60">
        <f t="shared" si="36"/>
        <v>30757.18922631325</v>
      </c>
      <c r="AB225" s="60">
        <f t="shared" si="37"/>
        <v>0</v>
      </c>
      <c r="AC225" s="60">
        <f t="shared" si="40"/>
        <v>30757.18922631325</v>
      </c>
      <c r="AD225" s="61">
        <f>+VLOOKUP(C225,'[1]pic au 25-03'!C:R,16,FALSE)</f>
        <v>2436.2325457831325</v>
      </c>
      <c r="AE225" s="31"/>
      <c r="AF225" s="62">
        <v>29088.616596650601</v>
      </c>
      <c r="AG225" s="31"/>
      <c r="AH225" s="62">
        <v>29088.616596650601</v>
      </c>
      <c r="AI225" s="31"/>
      <c r="AJ225" s="28">
        <f t="shared" si="41"/>
        <v>30757.18922631325</v>
      </c>
      <c r="AK225" s="21">
        <f>+VLOOKUP(C225,'[1]stock au 25-03-25'!A:X,24,FALSE)</f>
        <v>187.9</v>
      </c>
      <c r="AL225" t="s">
        <v>45</v>
      </c>
      <c r="AM225" s="21">
        <f>AD225-AK225</f>
        <v>2248.3325457831324</v>
      </c>
      <c r="AN225" t="s">
        <v>45</v>
      </c>
      <c r="AO225" s="63">
        <v>30757.18922631325</v>
      </c>
      <c r="AP225" s="64">
        <f>IF(AM225&lt;0,0,AM225*R225)</f>
        <v>30757.18922631325</v>
      </c>
      <c r="AQ225" t="s">
        <v>46</v>
      </c>
      <c r="AR225" s="36">
        <f>(AP225-AO225)/AO225</f>
        <v>0</v>
      </c>
      <c r="AS225" s="81"/>
      <c r="AT225" s="81">
        <f>(AO225-J225)/J225</f>
        <v>0.12416627289156618</v>
      </c>
      <c r="AU225" s="81"/>
      <c r="AV225" s="66">
        <f>(AP225-J225)/J225</f>
        <v>0.12416627289156618</v>
      </c>
      <c r="BB225" s="56">
        <f>+R225*F225</f>
        <v>27360</v>
      </c>
    </row>
    <row r="226" spans="1:54" x14ac:dyDescent="0.25">
      <c r="A226" s="67"/>
      <c r="B226" s="67" t="s">
        <v>282</v>
      </c>
      <c r="C226" s="67"/>
      <c r="D226" s="67"/>
      <c r="E226" s="67"/>
      <c r="F226" s="79">
        <f>SUM(F223:F225)</f>
        <v>20390</v>
      </c>
      <c r="G226" s="67" t="s">
        <v>45</v>
      </c>
      <c r="H226" s="69"/>
      <c r="I226" s="67"/>
      <c r="J226" s="70">
        <f>SUM(J223:J225)</f>
        <v>121278.5</v>
      </c>
      <c r="K226" s="67"/>
      <c r="L226" s="69"/>
      <c r="M226" s="67"/>
      <c r="N226" s="70">
        <f>SUM(N223:N225)</f>
        <v>129103.5</v>
      </c>
      <c r="O226" s="78"/>
      <c r="P226" s="78">
        <f>SUM(P223:P225)</f>
        <v>22.21</v>
      </c>
      <c r="Q226" s="78">
        <f>SUM(Q223:Q225)</f>
        <v>0</v>
      </c>
      <c r="R226" s="78"/>
      <c r="S226" s="78"/>
      <c r="T226" s="83"/>
      <c r="U226" s="83"/>
      <c r="V226" s="10">
        <f>IFERROR(VLOOKUP(C226,'[2]INDICATEURS ACHATS - Matières P'!$C$2:$G$209999,5,0),0)</f>
        <v>0</v>
      </c>
      <c r="W226" s="60">
        <f>SUM(W223:W225)</f>
        <v>78956</v>
      </c>
      <c r="X226" s="28">
        <f>SUM(X223:X225)</f>
        <v>25.58</v>
      </c>
      <c r="Y226" s="59">
        <v>-1039.0720000000001</v>
      </c>
      <c r="Z226" s="60">
        <f>SUM(Z223:Z225)</f>
        <v>62190.342476750084</v>
      </c>
      <c r="AA226" s="60">
        <f t="shared" si="36"/>
        <v>0</v>
      </c>
      <c r="AB226" s="60"/>
      <c r="AC226" s="60">
        <f t="shared" si="40"/>
        <v>141146.34247675008</v>
      </c>
      <c r="AD226" s="74">
        <f>SUM(AD223:AD225)</f>
        <v>22067.297075130926</v>
      </c>
      <c r="AE226" s="75"/>
      <c r="AF226" s="76">
        <f>SUM(AF223:AF225)</f>
        <v>130107.36064521808</v>
      </c>
      <c r="AG226" s="75"/>
      <c r="AH226" s="76">
        <f>SUM(AH223:AH225)</f>
        <v>142741.89188422242</v>
      </c>
      <c r="AI226" s="75"/>
      <c r="AJ226" s="28">
        <f>SUM(AJ223:AJ225)</f>
        <v>142164.34247675008</v>
      </c>
      <c r="AK226" s="77">
        <f>SUM(AK223:AK225)</f>
        <v>1039.0720000000001</v>
      </c>
      <c r="AL226" s="78">
        <f>SUM(AL223:AL225)</f>
        <v>0</v>
      </c>
      <c r="AM226" s="79">
        <f>SUM(AM223:AM225)</f>
        <v>21028.225075130926</v>
      </c>
      <c r="AN226" s="78" t="s">
        <v>45</v>
      </c>
      <c r="AO226" s="80">
        <f>SUM(AO223:AO225)</f>
        <v>117640.31350938433</v>
      </c>
      <c r="AP226" s="80">
        <f>SUM(AP223:AP225)</f>
        <v>139256.48387938904</v>
      </c>
      <c r="AQ226" s="67"/>
      <c r="AR226" s="81">
        <f>(AP226-AO226)/AO226</f>
        <v>0.18374798336694637</v>
      </c>
      <c r="AS226" s="81"/>
      <c r="AT226" s="81">
        <f>(AO226-J226)/J226</f>
        <v>-2.9998610558472191E-2</v>
      </c>
      <c r="AU226" s="82">
        <f>AO226-J226</f>
        <v>-3638.1864906156698</v>
      </c>
      <c r="AV226" s="81">
        <f>(AP226-J226)/J226</f>
        <v>0.14823718861454452</v>
      </c>
      <c r="AW226" s="72">
        <f>AP226-N226</f>
        <v>10152.983879389038</v>
      </c>
      <c r="AX226" s="67"/>
      <c r="AY226" s="67"/>
      <c r="AZ226" s="81">
        <f>(AM226-F226)/F226</f>
        <v>3.130088647037399E-2</v>
      </c>
      <c r="BA226" s="81">
        <f>(AP226-N226)/N226</f>
        <v>7.8642204737974092E-2</v>
      </c>
      <c r="BB226" s="78">
        <f>SUM(BB223:BB225)</f>
        <v>134519</v>
      </c>
    </row>
    <row r="227" spans="1:54" ht="18.75" outlineLevel="1" x14ac:dyDescent="0.3">
      <c r="A227">
        <v>7</v>
      </c>
      <c r="B227" t="s">
        <v>283</v>
      </c>
      <c r="C227">
        <v>338418</v>
      </c>
      <c r="D227" t="s">
        <v>284</v>
      </c>
      <c r="E227" t="s">
        <v>285</v>
      </c>
      <c r="F227" s="21">
        <f>+VLOOKUP(C227,'[1]stock au 25-03-25'!A:D,4,FALSE)</f>
        <v>19550</v>
      </c>
      <c r="G227" t="s">
        <v>45</v>
      </c>
      <c r="H227" s="22">
        <f>+VLOOKUP(C227,'[1]stock au 25-03-25'!A:F,6,FALSE)</f>
        <v>2.2270076726342709</v>
      </c>
      <c r="I227" t="s">
        <v>46</v>
      </c>
      <c r="J227" s="56">
        <f>+VLOOKUP(C227,'[1]stock au 25-03-25'!A:H,8,FALSE)</f>
        <v>43538</v>
      </c>
      <c r="K227" t="s">
        <v>46</v>
      </c>
      <c r="L227" s="23">
        <v>2.35</v>
      </c>
      <c r="M227" t="s">
        <v>46</v>
      </c>
      <c r="N227" s="56">
        <f>+VLOOKUP(C227,'[1]stock au 25-03-25'!A:L,12,FALSE)</f>
        <v>45942.5</v>
      </c>
      <c r="P227" s="57">
        <v>2.23</v>
      </c>
      <c r="Q227" t="s">
        <v>46</v>
      </c>
      <c r="R227" s="25">
        <v>2.23</v>
      </c>
      <c r="T227" s="26">
        <v>2.2162790697674417</v>
      </c>
      <c r="U227" s="58">
        <f t="shared" ref="U227:U228" si="46">IFERROR((T227-R227)/R227,"")</f>
        <v>-6.152883512357969E-3</v>
      </c>
      <c r="V227" s="10">
        <f>IFERROR(VLOOKUP(C227,'[2]INDICATEURS ACHATS - Matières P'!$C$2:$G$209999,5,0),0)</f>
        <v>10320</v>
      </c>
      <c r="W227" s="60">
        <f t="shared" si="38"/>
        <v>22872</v>
      </c>
      <c r="X227" s="28">
        <v>2.2999999999999998</v>
      </c>
      <c r="Y227" s="59">
        <v>7524.489999999998</v>
      </c>
      <c r="Z227" s="60">
        <f t="shared" si="39"/>
        <v>17306.326999999994</v>
      </c>
      <c r="AA227" s="60">
        <f t="shared" si="36"/>
        <v>16779.612699999994</v>
      </c>
      <c r="AB227" s="60">
        <f t="shared" si="37"/>
        <v>526.71429999999964</v>
      </c>
      <c r="AC227" s="60">
        <f t="shared" si="40"/>
        <v>40178.32699999999</v>
      </c>
      <c r="AD227" s="61">
        <f>+VLOOKUP(C227,'[1]pic au 25-03'!C:R,16,FALSE)</f>
        <v>19020.399999999998</v>
      </c>
      <c r="AE227" s="31"/>
      <c r="AF227" s="62">
        <v>42415.492000000006</v>
      </c>
      <c r="AG227" s="31"/>
      <c r="AH227" s="62">
        <v>44697.94</v>
      </c>
      <c r="AI227" s="31"/>
      <c r="AJ227" s="28">
        <f t="shared" si="41"/>
        <v>41042.32699999999</v>
      </c>
      <c r="AK227" s="21">
        <f>+VLOOKUP(C227,'[1]stock au 25-03-25'!A:X,24,FALSE)</f>
        <v>1175.9100000000001</v>
      </c>
      <c r="AL227" t="s">
        <v>45</v>
      </c>
      <c r="AM227" s="21">
        <f>IF(AD227-AK227&lt;0,0,AD227-AK227)</f>
        <v>17844.489999999998</v>
      </c>
      <c r="AN227" t="s">
        <v>45</v>
      </c>
      <c r="AO227" s="63">
        <v>38816.135780637938</v>
      </c>
      <c r="AP227" s="64">
        <f>IF(AM227&lt;0,0,AM227*R227)</f>
        <v>39793.212699999996</v>
      </c>
      <c r="AQ227" t="s">
        <v>46</v>
      </c>
      <c r="AR227" s="36">
        <f>(AP227-AO227)/AO227</f>
        <v>2.5171926563834789E-2</v>
      </c>
      <c r="AS227" s="81"/>
      <c r="AT227" s="81">
        <f>(AO227-J227)/J227</f>
        <v>-0.10845386143970925</v>
      </c>
      <c r="AU227" s="81"/>
      <c r="AV227" s="66">
        <f>(AP227-J227)/J227</f>
        <v>-8.601192751159914E-2</v>
      </c>
      <c r="BB227" s="56">
        <f>+R227*F227</f>
        <v>43596.5</v>
      </c>
    </row>
    <row r="228" spans="1:54" ht="18.75" outlineLevel="1" x14ac:dyDescent="0.3">
      <c r="A228">
        <v>7</v>
      </c>
      <c r="B228" t="s">
        <v>283</v>
      </c>
      <c r="C228">
        <v>338419</v>
      </c>
      <c r="D228" t="s">
        <v>286</v>
      </c>
      <c r="E228" t="s">
        <v>285</v>
      </c>
      <c r="F228" s="21">
        <f>+VLOOKUP(C228,'[1]stock au 25-03-25'!A:D,4,FALSE)</f>
        <v>895</v>
      </c>
      <c r="G228" t="s">
        <v>45</v>
      </c>
      <c r="H228" s="22">
        <f>+VLOOKUP(C228,'[1]stock au 25-03-25'!A:F,6,FALSE)</f>
        <v>4.1337988826815639</v>
      </c>
      <c r="I228" t="s">
        <v>46</v>
      </c>
      <c r="J228" s="56">
        <f>+VLOOKUP(C228,'[1]stock au 25-03-25'!A:H,8,FALSE)</f>
        <v>3699.75</v>
      </c>
      <c r="K228" t="s">
        <v>46</v>
      </c>
      <c r="L228" s="23">
        <v>4.13</v>
      </c>
      <c r="M228" t="s">
        <v>46</v>
      </c>
      <c r="N228" s="56">
        <f>+VLOOKUP(C228,'[1]stock au 25-03-25'!A:L,12,FALSE)</f>
        <v>3696.35</v>
      </c>
      <c r="P228" s="57">
        <v>4.13</v>
      </c>
      <c r="Q228" t="s">
        <v>46</v>
      </c>
      <c r="R228" s="25">
        <v>4.3</v>
      </c>
      <c r="T228" s="26">
        <v>4.3</v>
      </c>
      <c r="U228" s="58">
        <f t="shared" si="46"/>
        <v>0</v>
      </c>
      <c r="V228" s="10">
        <f>IFERROR(VLOOKUP(C228,'[2]INDICATEURS ACHATS - Matières P'!$C$2:$G$209999,5,0),0)</f>
        <v>300</v>
      </c>
      <c r="W228" s="60">
        <f t="shared" si="38"/>
        <v>1290</v>
      </c>
      <c r="X228" s="28">
        <v>4.3</v>
      </c>
      <c r="Y228" s="59">
        <v>101.71868946153828</v>
      </c>
      <c r="Z228" s="60">
        <f t="shared" si="39"/>
        <v>437.39036468461455</v>
      </c>
      <c r="AA228" s="60">
        <f t="shared" si="36"/>
        <v>437.39036468461455</v>
      </c>
      <c r="AB228" s="60">
        <f t="shared" si="37"/>
        <v>0</v>
      </c>
      <c r="AC228" s="60">
        <f t="shared" si="40"/>
        <v>1727.3903646846145</v>
      </c>
      <c r="AD228" s="61">
        <f>+VLOOKUP(C228,'[1]pic au 25-03'!C:R,16,FALSE)</f>
        <v>617.80368946153828</v>
      </c>
      <c r="AE228" s="31"/>
      <c r="AF228" s="62">
        <v>2551.5292374761539</v>
      </c>
      <c r="AG228" s="31"/>
      <c r="AH228" s="62">
        <v>2551.5292374761539</v>
      </c>
      <c r="AI228" s="31"/>
      <c r="AJ228" s="28">
        <f t="shared" si="41"/>
        <v>1727.3903646846145</v>
      </c>
      <c r="AK228" s="21">
        <f>+VLOOKUP(C228,'[1]stock au 25-03-25'!A:X,24,FALSE)</f>
        <v>216.08500000000001</v>
      </c>
      <c r="AL228" t="s">
        <v>45</v>
      </c>
      <c r="AM228" s="21">
        <f>IF(AD228-AK228&lt;0,0,AD228-AK228)</f>
        <v>401.71868946153825</v>
      </c>
      <c r="AN228" t="s">
        <v>45</v>
      </c>
      <c r="AO228" s="63">
        <v>1444.0834827769015</v>
      </c>
      <c r="AP228" s="64">
        <f>IF(AM228&lt;0,0,AM228*R228)</f>
        <v>1727.3903646846145</v>
      </c>
      <c r="AQ228" t="s">
        <v>46</v>
      </c>
      <c r="AR228" s="36">
        <f>(AP228-AO228)/AO228</f>
        <v>0.19618455947084706</v>
      </c>
      <c r="AS228" s="81"/>
      <c r="AT228" s="81">
        <f>(AO228-J228)/J228</f>
        <v>-0.60968079389772245</v>
      </c>
      <c r="AU228" s="81"/>
      <c r="AV228" s="66">
        <f>(AP228-J228)/J228</f>
        <v>-0.53310619239553636</v>
      </c>
      <c r="BB228" s="56">
        <f>+R228*F228</f>
        <v>3848.5</v>
      </c>
    </row>
    <row r="229" spans="1:54" x14ac:dyDescent="0.25">
      <c r="A229" s="67"/>
      <c r="B229" s="67" t="s">
        <v>287</v>
      </c>
      <c r="C229" s="67"/>
      <c r="D229" s="67"/>
      <c r="E229" s="67"/>
      <c r="F229" s="79">
        <f>SUM(F227:F228)</f>
        <v>20445</v>
      </c>
      <c r="G229" s="67" t="s">
        <v>45</v>
      </c>
      <c r="H229" s="69"/>
      <c r="I229" s="67"/>
      <c r="J229" s="70">
        <f>SUM(J227:J228)</f>
        <v>47237.75</v>
      </c>
      <c r="K229" s="67"/>
      <c r="L229" s="69"/>
      <c r="M229" s="67"/>
      <c r="N229" s="70">
        <f>SUM(N227:N228)</f>
        <v>49638.85</v>
      </c>
      <c r="O229" s="78"/>
      <c r="P229" s="78">
        <f>SUM(P227:P228)</f>
        <v>6.3599999999999994</v>
      </c>
      <c r="Q229" s="78">
        <f>SUM(Q227:Q228)</f>
        <v>0</v>
      </c>
      <c r="R229" s="78"/>
      <c r="S229" s="78"/>
      <c r="T229" s="83"/>
      <c r="U229" s="83"/>
      <c r="V229" s="10">
        <f>IFERROR(VLOOKUP(C229,'[2]INDICATEURS ACHATS - Matières P'!$C$2:$G$209999,5,0),0)</f>
        <v>0</v>
      </c>
      <c r="W229" s="60">
        <f>SUM(W227:W228)</f>
        <v>24162</v>
      </c>
      <c r="X229" s="28">
        <f>SUM(X227:X228)</f>
        <v>6.6</v>
      </c>
      <c r="Y229" s="59">
        <v>18246.208689461539</v>
      </c>
      <c r="Z229" s="60">
        <f>SUM(Z227:Z228)</f>
        <v>17743.717364684609</v>
      </c>
      <c r="AA229" s="60">
        <f t="shared" si="36"/>
        <v>0</v>
      </c>
      <c r="AB229" s="60"/>
      <c r="AC229" s="60">
        <f t="shared" si="40"/>
        <v>41905.717364684606</v>
      </c>
      <c r="AD229" s="74">
        <f>SUM(AD227:AD228)</f>
        <v>19638.203689461538</v>
      </c>
      <c r="AE229" s="75"/>
      <c r="AF229" s="76">
        <f>SUM(AF227:AF228)</f>
        <v>44967.021237476161</v>
      </c>
      <c r="AG229" s="75"/>
      <c r="AH229" s="76">
        <f>SUM(AH227:AH228)</f>
        <v>47249.469237476158</v>
      </c>
      <c r="AI229" s="75"/>
      <c r="AJ229" s="28">
        <f>SUM(AJ227:AJ228)</f>
        <v>42769.717364684606</v>
      </c>
      <c r="AK229" s="77">
        <f>SUM(AK227:AK228)</f>
        <v>1391.9950000000001</v>
      </c>
      <c r="AL229" s="78">
        <f>SUM(AL227:AL228)</f>
        <v>0</v>
      </c>
      <c r="AM229" s="79">
        <f>SUM(AM227:AM228)</f>
        <v>18246.208689461535</v>
      </c>
      <c r="AN229" s="78" t="s">
        <v>45</v>
      </c>
      <c r="AO229" s="80">
        <f>SUM(AO227:AO228)</f>
        <v>40260.219263414838</v>
      </c>
      <c r="AP229" s="80">
        <f>SUM(AP227:AP228)</f>
        <v>41520.603064684612</v>
      </c>
      <c r="AQ229" s="67"/>
      <c r="AR229" s="81">
        <f>(AP229-AO229)/AO229</f>
        <v>3.1305934849070904E-2</v>
      </c>
      <c r="AS229" s="81"/>
      <c r="AT229" s="81">
        <f>(AO229-J229)/J229</f>
        <v>-0.14771090360114872</v>
      </c>
      <c r="AU229" s="82">
        <f>AO229-J229</f>
        <v>-6977.5307365851622</v>
      </c>
      <c r="AV229" s="81">
        <f>(AP229-J229)/J229</f>
        <v>-0.12102919667671276</v>
      </c>
      <c r="AW229" s="72">
        <f>AP229-N229</f>
        <v>-8118.2469353153865</v>
      </c>
      <c r="AX229" s="67"/>
      <c r="AY229" s="67"/>
      <c r="AZ229" s="81">
        <f>(AM229-F229)/F229</f>
        <v>-0.10754665250860675</v>
      </c>
      <c r="BA229" s="81">
        <f>(AP229-N229)/N229</f>
        <v>-0.16354623314833819</v>
      </c>
      <c r="BB229" s="78">
        <f>SUM(BB227:BB228)</f>
        <v>47445</v>
      </c>
    </row>
    <row r="230" spans="1:54" ht="18.75" outlineLevel="1" x14ac:dyDescent="0.3">
      <c r="A230">
        <v>8</v>
      </c>
      <c r="B230" t="s">
        <v>288</v>
      </c>
      <c r="C230">
        <v>360419</v>
      </c>
      <c r="D230" t="s">
        <v>289</v>
      </c>
      <c r="E230" t="s">
        <v>285</v>
      </c>
      <c r="F230" s="21">
        <f>+VLOOKUP(C230,'[1]stock au 25-03-25'!A:D,4,FALSE)</f>
        <v>15489</v>
      </c>
      <c r="G230" t="s">
        <v>45</v>
      </c>
      <c r="H230" s="22">
        <f>+VLOOKUP(C230,'[1]stock au 25-03-25'!A:F,6,FALSE)</f>
        <v>13.720956808057331</v>
      </c>
      <c r="I230" t="s">
        <v>46</v>
      </c>
      <c r="J230" s="56">
        <f>+VLOOKUP(C230,'[1]stock au 25-03-25'!A:H,8,FALSE)</f>
        <v>212523.9</v>
      </c>
      <c r="K230" t="s">
        <v>46</v>
      </c>
      <c r="L230" s="23">
        <v>18</v>
      </c>
      <c r="M230" t="s">
        <v>46</v>
      </c>
      <c r="N230" s="56">
        <f>+VLOOKUP(C230,'[1]stock au 25-03-25'!A:L,12,FALSE)</f>
        <v>278802</v>
      </c>
      <c r="P230" s="57">
        <v>12.7</v>
      </c>
      <c r="Q230" t="s">
        <v>46</v>
      </c>
      <c r="R230" s="25">
        <v>14.4</v>
      </c>
      <c r="T230" s="26">
        <v>14.5</v>
      </c>
      <c r="U230" s="58">
        <f t="shared" ref="U230:U237" si="47">IFERROR((T230-R230)/R230,"")</f>
        <v>6.9444444444444198E-3</v>
      </c>
      <c r="V230" s="10">
        <f>IFERROR(VLOOKUP(C230,'[2]INDICATEURS ACHATS - Matières P'!$C$2:$G$209999,5,0),0)</f>
        <v>2520</v>
      </c>
      <c r="W230" s="60">
        <f t="shared" si="38"/>
        <v>36540</v>
      </c>
      <c r="X230" s="28">
        <v>14.5</v>
      </c>
      <c r="Y230" s="59">
        <v>9745.5166660658706</v>
      </c>
      <c r="Z230" s="60">
        <f t="shared" si="39"/>
        <v>141309.99165795514</v>
      </c>
      <c r="AA230" s="60">
        <f t="shared" si="36"/>
        <v>140335.43999134854</v>
      </c>
      <c r="AB230" s="60">
        <f t="shared" si="37"/>
        <v>974.55166660659597</v>
      </c>
      <c r="AC230" s="60">
        <f t="shared" si="40"/>
        <v>177849.99165795514</v>
      </c>
      <c r="AD230" s="61">
        <f>+VLOOKUP(C230,'[1]pic au 25-03'!C:R,16,FALSE)</f>
        <v>14375.016666065871</v>
      </c>
      <c r="AE230" s="31"/>
      <c r="AF230" s="62">
        <v>182562.71165903655</v>
      </c>
      <c r="AG230" s="31"/>
      <c r="AH230" s="62">
        <v>258750.29998918567</v>
      </c>
      <c r="AI230" s="31"/>
      <c r="AJ230" s="28">
        <f t="shared" si="41"/>
        <v>177849.99165795514</v>
      </c>
      <c r="AK230" s="21">
        <f>+VLOOKUP(C230,'[1]stock au 25-03-25'!A:X,24,FALSE)</f>
        <v>2109.5</v>
      </c>
      <c r="AL230" t="s">
        <v>45</v>
      </c>
      <c r="AM230" s="21">
        <f t="shared" ref="AM230:AM237" si="48">IF(AD230-AK230&lt;0,0,AD230-AK230)</f>
        <v>12265.516666065871</v>
      </c>
      <c r="AN230" t="s">
        <v>45</v>
      </c>
      <c r="AO230" s="63">
        <v>148211.32852842769</v>
      </c>
      <c r="AP230" s="64">
        <f t="shared" ref="AP230:AP237" si="49">IF(AM230&lt;0,0,AM230*R230)</f>
        <v>176623.43999134854</v>
      </c>
      <c r="AQ230" t="s">
        <v>46</v>
      </c>
      <c r="AR230" s="36">
        <f>(AP230-AO230)/AO230</f>
        <v>0.19169999854276495</v>
      </c>
      <c r="AS230" s="81"/>
      <c r="AT230" s="81">
        <f>(AO230-J230)/J230</f>
        <v>-0.30261336005772671</v>
      </c>
      <c r="AU230" s="81"/>
      <c r="AV230" s="66">
        <f>(AP230-J230)/J230</f>
        <v>-0.16892434219704916</v>
      </c>
      <c r="BB230" s="56">
        <f>+R230*F230</f>
        <v>223041.6</v>
      </c>
    </row>
    <row r="231" spans="1:54" ht="18.75" outlineLevel="1" x14ac:dyDescent="0.3">
      <c r="A231">
        <v>8</v>
      </c>
      <c r="B231" t="s">
        <v>288</v>
      </c>
      <c r="C231">
        <v>346118</v>
      </c>
      <c r="D231" t="s">
        <v>290</v>
      </c>
      <c r="E231" t="s">
        <v>285</v>
      </c>
      <c r="F231" s="21">
        <f>+VLOOKUP(C231,'[1]stock au 25-03-25'!A:D,4,FALSE)</f>
        <v>23732</v>
      </c>
      <c r="G231" t="s">
        <v>45</v>
      </c>
      <c r="H231" s="22">
        <f>+VLOOKUP(C231,'[1]stock au 25-03-25'!A:F,6,FALSE)</f>
        <v>5.5051660205629531</v>
      </c>
      <c r="I231" t="s">
        <v>46</v>
      </c>
      <c r="J231" s="56">
        <f>+VLOOKUP(C231,'[1]stock au 25-03-25'!A:H,8,FALSE)</f>
        <v>130648.6</v>
      </c>
      <c r="K231" t="s">
        <v>46</v>
      </c>
      <c r="L231" s="23">
        <v>7.48</v>
      </c>
      <c r="M231" t="s">
        <v>46</v>
      </c>
      <c r="N231" s="56">
        <f>+VLOOKUP(C231,'[1]stock au 25-03-25'!A:L,12,FALSE)</f>
        <v>177515.36000000002</v>
      </c>
      <c r="P231" s="57">
        <v>5.85</v>
      </c>
      <c r="Q231" t="s">
        <v>46</v>
      </c>
      <c r="R231" s="25">
        <v>6.7</v>
      </c>
      <c r="T231" s="26">
        <v>5.9797774552491534</v>
      </c>
      <c r="U231" s="58">
        <f t="shared" si="47"/>
        <v>-0.10749590220161892</v>
      </c>
      <c r="V231" s="10">
        <f>IFERROR(VLOOKUP(C231,'[2]INDICATEURS ACHATS - Matières P'!$C$2:$G$209999,5,0),0)</f>
        <v>16536</v>
      </c>
      <c r="W231" s="60">
        <f t="shared" si="38"/>
        <v>98881.600000000006</v>
      </c>
      <c r="X231" s="28">
        <v>6.1000000000000005</v>
      </c>
      <c r="Y231" s="59">
        <v>6544.439519076921</v>
      </c>
      <c r="Z231" s="60">
        <f t="shared" si="39"/>
        <v>39921.081066369225</v>
      </c>
      <c r="AA231" s="60">
        <f t="shared" si="36"/>
        <v>43847.744777815373</v>
      </c>
      <c r="AB231" s="60">
        <f t="shared" si="37"/>
        <v>-3926.6637114461482</v>
      </c>
      <c r="AC231" s="60">
        <f t="shared" si="40"/>
        <v>138802.68106636923</v>
      </c>
      <c r="AD231" s="61">
        <f>+VLOOKUP(C231,'[1]pic au 25-03'!C:R,16,FALSE)</f>
        <v>23573.439519076921</v>
      </c>
      <c r="AE231" s="31"/>
      <c r="AF231" s="62">
        <v>137904.62118660001</v>
      </c>
      <c r="AG231" s="31"/>
      <c r="AH231" s="62">
        <v>176329.32760269541</v>
      </c>
      <c r="AI231" s="31"/>
      <c r="AJ231" s="28">
        <f t="shared" si="41"/>
        <v>140790.68106636923</v>
      </c>
      <c r="AK231" s="21">
        <f>+VLOOKUP(C231,'[1]stock au 25-03-25'!A:X,24,FALSE)</f>
        <v>493</v>
      </c>
      <c r="AL231" t="s">
        <v>45</v>
      </c>
      <c r="AM231" s="21">
        <f t="shared" si="48"/>
        <v>23080.439519076921</v>
      </c>
      <c r="AN231" t="s">
        <v>45</v>
      </c>
      <c r="AO231" s="63">
        <v>114284.18306701811</v>
      </c>
      <c r="AP231" s="64">
        <f t="shared" si="49"/>
        <v>154638.94477781537</v>
      </c>
      <c r="AQ231" t="s">
        <v>46</v>
      </c>
      <c r="AR231" s="36">
        <f>(AP231-AO231)/AO231</f>
        <v>0.35310889598023004</v>
      </c>
      <c r="AS231" s="81"/>
      <c r="AT231" s="81">
        <f>(AO231-J231)/J231</f>
        <v>-0.12525520314019359</v>
      </c>
      <c r="AU231" s="81"/>
      <c r="AV231" s="66">
        <f>(AP231-J231)/J231</f>
        <v>0.18362496634342321</v>
      </c>
      <c r="BB231" s="56">
        <f>+R231*F231</f>
        <v>159004.4</v>
      </c>
    </row>
    <row r="232" spans="1:54" ht="18.75" outlineLevel="1" x14ac:dyDescent="0.3">
      <c r="A232">
        <v>8</v>
      </c>
      <c r="B232" t="s">
        <v>288</v>
      </c>
      <c r="C232">
        <v>338181</v>
      </c>
      <c r="D232" t="s">
        <v>291</v>
      </c>
      <c r="E232" t="s">
        <v>285</v>
      </c>
      <c r="F232" s="21">
        <f>+VLOOKUP(C232,'[1]stock au 25-03-25'!A:D,4,FALSE)</f>
        <v>11287.6</v>
      </c>
      <c r="G232" t="s">
        <v>45</v>
      </c>
      <c r="H232" s="22">
        <f>+VLOOKUP(C232,'[1]stock au 25-03-25'!A:F,6,FALSE)</f>
        <v>9.6544881108473017</v>
      </c>
      <c r="I232" t="s">
        <v>46</v>
      </c>
      <c r="J232" s="56">
        <f>+VLOOKUP(C232,'[1]stock au 25-03-25'!A:H,8,FALSE)</f>
        <v>108976</v>
      </c>
      <c r="K232" t="s">
        <v>46</v>
      </c>
      <c r="L232" s="23">
        <v>9.1999999999999993</v>
      </c>
      <c r="M232" t="s">
        <v>46</v>
      </c>
      <c r="N232" s="56">
        <f>+VLOOKUP(C232,'[1]stock au 25-03-25'!A:L,12,FALSE)</f>
        <v>103845.92</v>
      </c>
      <c r="P232" s="57">
        <v>9.1999999999999993</v>
      </c>
      <c r="Q232" t="s">
        <v>46</v>
      </c>
      <c r="R232" s="25">
        <v>10.199999999999999</v>
      </c>
      <c r="T232" s="26">
        <v>9.6192915553681058</v>
      </c>
      <c r="U232" s="58">
        <f t="shared" si="47"/>
        <v>-5.6932200454107212E-2</v>
      </c>
      <c r="V232" s="10">
        <f>IFERROR(VLOOKUP(C232,'[2]INDICATEURS ACHATS - Matières P'!$C$2:$G$209999,5,0),0)</f>
        <v>3414.24</v>
      </c>
      <c r="W232" s="60">
        <f t="shared" si="38"/>
        <v>32842.57</v>
      </c>
      <c r="X232" s="28">
        <v>10.139001842004657</v>
      </c>
      <c r="Y232" s="59">
        <v>9690.3489634612906</v>
      </c>
      <c r="Z232" s="60">
        <f t="shared" si="39"/>
        <v>98250.465990201934</v>
      </c>
      <c r="AA232" s="60">
        <f t="shared" si="36"/>
        <v>98841.559427305154</v>
      </c>
      <c r="AB232" s="60">
        <f t="shared" si="37"/>
        <v>-591.09343710321991</v>
      </c>
      <c r="AC232" s="60">
        <f t="shared" si="40"/>
        <v>131093.03599020193</v>
      </c>
      <c r="AD232" s="61">
        <f>+VLOOKUP(C232,'[1]pic au 25-03'!C:R,16,FALSE)</f>
        <v>14551.867963461291</v>
      </c>
      <c r="AE232" s="31"/>
      <c r="AF232" s="62">
        <v>133877.18526384386</v>
      </c>
      <c r="AG232" s="31"/>
      <c r="AH232" s="62">
        <v>133877.18526384386</v>
      </c>
      <c r="AI232" s="31"/>
      <c r="AJ232" s="28">
        <f t="shared" si="41"/>
        <v>132867.45163924791</v>
      </c>
      <c r="AK232" s="21">
        <f>+VLOOKUP(C232,'[1]stock au 25-03-25'!A:X,24,FALSE)</f>
        <v>1447.279</v>
      </c>
      <c r="AL232" t="s">
        <v>45</v>
      </c>
      <c r="AM232" s="21">
        <f t="shared" si="48"/>
        <v>13104.58896346129</v>
      </c>
      <c r="AN232" t="s">
        <v>45</v>
      </c>
      <c r="AO232" s="63">
        <v>126518.09834527779</v>
      </c>
      <c r="AP232" s="64">
        <f t="shared" si="49"/>
        <v>133666.80742730515</v>
      </c>
      <c r="AQ232" t="s">
        <v>46</v>
      </c>
      <c r="AR232" s="36">
        <f>(AP232-AO232)/AO232</f>
        <v>5.6503450300983603E-2</v>
      </c>
      <c r="AS232" s="81"/>
      <c r="AT232" s="81">
        <f>(AO232-J232)/J232</f>
        <v>0.16097212547054202</v>
      </c>
      <c r="AU232" s="81"/>
      <c r="AV232" s="66">
        <f>(AP232-J232)/J232</f>
        <v>0.22657105626289409</v>
      </c>
      <c r="BB232" s="56">
        <f>+R232*F232</f>
        <v>115133.51999999999</v>
      </c>
    </row>
    <row r="233" spans="1:54" ht="18.75" outlineLevel="1" x14ac:dyDescent="0.3">
      <c r="A233">
        <v>8</v>
      </c>
      <c r="B233" t="s">
        <v>288</v>
      </c>
      <c r="C233">
        <v>338403</v>
      </c>
      <c r="D233" t="s">
        <v>292</v>
      </c>
      <c r="E233" t="s">
        <v>285</v>
      </c>
      <c r="F233" s="21">
        <f>+VLOOKUP(C233,'[1]stock au 25-03-25'!A:D,4,FALSE)</f>
        <v>6176</v>
      </c>
      <c r="G233" t="s">
        <v>45</v>
      </c>
      <c r="H233" s="22">
        <f>+VLOOKUP(C233,'[1]stock au 25-03-25'!A:F,6,FALSE)</f>
        <v>10.867195595854923</v>
      </c>
      <c r="I233" t="s">
        <v>46</v>
      </c>
      <c r="J233" s="56">
        <f>+VLOOKUP(C233,'[1]stock au 25-03-25'!A:H,8,FALSE)</f>
        <v>67115.8</v>
      </c>
      <c r="K233" t="s">
        <v>46</v>
      </c>
      <c r="L233" s="23">
        <v>11.7</v>
      </c>
      <c r="M233" t="s">
        <v>46</v>
      </c>
      <c r="N233" s="56">
        <f>+VLOOKUP(C233,'[1]stock au 25-03-25'!A:L,12,FALSE)</f>
        <v>72259.199999999997</v>
      </c>
      <c r="P233" s="57">
        <v>11.7</v>
      </c>
      <c r="Q233" t="s">
        <v>46</v>
      </c>
      <c r="R233" s="25">
        <v>11.2</v>
      </c>
      <c r="T233" s="26">
        <v>10.617432567432568</v>
      </c>
      <c r="U233" s="58">
        <f t="shared" si="47"/>
        <v>-5.2014949336377833E-2</v>
      </c>
      <c r="V233" s="10">
        <f>IFERROR(VLOOKUP(C233,'[2]INDICATEURS ACHATS - Matières P'!$C$2:$G$209999,5,0),0)</f>
        <v>6006</v>
      </c>
      <c r="W233" s="60">
        <f t="shared" si="38"/>
        <v>63768.3</v>
      </c>
      <c r="X233" s="28">
        <v>10.469999999999999</v>
      </c>
      <c r="Y233" s="59">
        <v>2559.2076816510144</v>
      </c>
      <c r="Z233" s="60">
        <f t="shared" si="39"/>
        <v>26794.904426886118</v>
      </c>
      <c r="AA233" s="60">
        <f t="shared" si="36"/>
        <v>28663.126034491361</v>
      </c>
      <c r="AB233" s="60">
        <f t="shared" si="37"/>
        <v>-1868.2216076052428</v>
      </c>
      <c r="AC233" s="60">
        <f t="shared" si="40"/>
        <v>90563.204426886121</v>
      </c>
      <c r="AD233" s="61">
        <f>+VLOOKUP(C233,'[1]pic au 25-03'!C:R,16,FALSE)</f>
        <v>8959.2076816510144</v>
      </c>
      <c r="AE233" s="31"/>
      <c r="AF233" s="62">
        <v>104822.72987531686</v>
      </c>
      <c r="AG233" s="31"/>
      <c r="AH233" s="62">
        <v>104822.72987531686</v>
      </c>
      <c r="AI233" s="31"/>
      <c r="AJ233" s="28">
        <f t="shared" si="41"/>
        <v>89677.72442688611</v>
      </c>
      <c r="AK233" s="21">
        <f>+VLOOKUP(C233,'[1]stock au 25-03-25'!A:X,24,FALSE)</f>
        <v>394</v>
      </c>
      <c r="AL233" t="s">
        <v>45</v>
      </c>
      <c r="AM233" s="21">
        <f t="shared" si="48"/>
        <v>8565.2076816510144</v>
      </c>
      <c r="AN233" t="s">
        <v>45</v>
      </c>
      <c r="AO233" s="63">
        <v>85641.320703740173</v>
      </c>
      <c r="AP233" s="64">
        <f t="shared" si="49"/>
        <v>95930.326034491358</v>
      </c>
      <c r="AQ233" t="s">
        <v>46</v>
      </c>
      <c r="AR233" s="36">
        <f>(AP233-AO233)/AO233</f>
        <v>0.12014066628355764</v>
      </c>
      <c r="AS233" s="81"/>
      <c r="AT233" s="81">
        <f>(AO233-J233)/J233</f>
        <v>0.27602324197491751</v>
      </c>
      <c r="AU233" s="81"/>
      <c r="AV233" s="66">
        <f>(AP233-J233)/J233</f>
        <v>0.42932552445908945</v>
      </c>
      <c r="BB233" s="56">
        <f>+R233*F233</f>
        <v>69171.199999999997</v>
      </c>
    </row>
    <row r="234" spans="1:54" ht="18.75" outlineLevel="1" x14ac:dyDescent="0.3">
      <c r="A234">
        <v>8</v>
      </c>
      <c r="B234" t="s">
        <v>288</v>
      </c>
      <c r="C234">
        <v>340202</v>
      </c>
      <c r="D234" t="s">
        <v>293</v>
      </c>
      <c r="E234" t="s">
        <v>285</v>
      </c>
      <c r="F234" s="21">
        <f>+VLOOKUP(C234,'[1]stock au 25-03-25'!A:D,4,FALSE)</f>
        <v>700</v>
      </c>
      <c r="G234" t="s">
        <v>45</v>
      </c>
      <c r="H234" s="22">
        <f>+VLOOKUP(C234,'[1]stock au 25-03-25'!A:F,6,FALSE)</f>
        <v>34</v>
      </c>
      <c r="I234" t="s">
        <v>46</v>
      </c>
      <c r="J234" s="56">
        <f>+VLOOKUP(C234,'[1]stock au 25-03-25'!A:H,8,FALSE)</f>
        <v>23800</v>
      </c>
      <c r="K234" t="s">
        <v>46</v>
      </c>
      <c r="L234" s="23">
        <v>34.68</v>
      </c>
      <c r="M234" t="s">
        <v>46</v>
      </c>
      <c r="N234" s="56">
        <f>+VLOOKUP(C234,'[1]stock au 25-03-25'!A:L,12,FALSE)</f>
        <v>24276</v>
      </c>
      <c r="P234" s="57">
        <v>34.68</v>
      </c>
      <c r="Q234" t="s">
        <v>46</v>
      </c>
      <c r="R234" s="25">
        <f>H234*(1+VLOOKUP(A234,'[1]Variation MP'!$B$3:$D$22,3))</f>
        <v>34</v>
      </c>
      <c r="T234" s="26" t="s">
        <v>53</v>
      </c>
      <c r="U234" s="58" t="str">
        <f t="shared" si="47"/>
        <v/>
      </c>
      <c r="V234" s="10">
        <f>IFERROR(VLOOKUP(C234,'[2]INDICATEURS ACHATS - Matières P'!$C$2:$G$209999,5,0),0)</f>
        <v>0</v>
      </c>
      <c r="W234" s="60">
        <f t="shared" si="38"/>
        <v>0</v>
      </c>
      <c r="X234" s="28">
        <v>34</v>
      </c>
      <c r="Y234" s="59">
        <v>790.51819331989259</v>
      </c>
      <c r="Z234" s="60">
        <f t="shared" si="39"/>
        <v>26877.618572876348</v>
      </c>
      <c r="AA234" s="60">
        <f t="shared" si="36"/>
        <v>26877.618572876348</v>
      </c>
      <c r="AB234" s="60">
        <f t="shared" si="37"/>
        <v>0</v>
      </c>
      <c r="AC234" s="60">
        <f t="shared" si="40"/>
        <v>26877.618572876348</v>
      </c>
      <c r="AD234" s="61">
        <f>+VLOOKUP(C234,'[1]pic au 25-03'!C:R,16,FALSE)</f>
        <v>968.61119331989255</v>
      </c>
      <c r="AE234" s="31"/>
      <c r="AF234" s="62">
        <v>33591.43618433387</v>
      </c>
      <c r="AG234" s="31"/>
      <c r="AH234" s="62">
        <v>33591.43618433387</v>
      </c>
      <c r="AI234" s="31"/>
      <c r="AJ234" s="28">
        <f t="shared" si="41"/>
        <v>26877.618572876348</v>
      </c>
      <c r="AK234" s="21">
        <f>+VLOOKUP(C234,'[1]stock au 25-03-25'!A:X,24,FALSE)</f>
        <v>178.09299999999999</v>
      </c>
      <c r="AL234" t="s">
        <v>45</v>
      </c>
      <c r="AM234" s="21">
        <f t="shared" si="48"/>
        <v>790.51819331989259</v>
      </c>
      <c r="AN234" t="s">
        <v>45</v>
      </c>
      <c r="AO234" s="63">
        <v>26877.618572876345</v>
      </c>
      <c r="AP234" s="64">
        <f t="shared" si="49"/>
        <v>26877.618572876348</v>
      </c>
      <c r="AQ234" t="s">
        <v>46</v>
      </c>
      <c r="AR234" s="36">
        <f>(AP234-AO234)/AO234</f>
        <v>1.3535346508574214E-16</v>
      </c>
      <c r="AS234" s="81"/>
      <c r="AT234" s="81">
        <f>(AO234-J234)/J234</f>
        <v>0.12931170474270356</v>
      </c>
      <c r="AU234" s="81"/>
      <c r="AV234" s="66">
        <f>(AP234-J234)/J234</f>
        <v>0.12931170474270373</v>
      </c>
      <c r="BB234" s="56">
        <f>+R234*F234</f>
        <v>23800</v>
      </c>
    </row>
    <row r="235" spans="1:54" ht="18.75" outlineLevel="1" x14ac:dyDescent="0.3">
      <c r="A235">
        <v>8</v>
      </c>
      <c r="B235" t="s">
        <v>288</v>
      </c>
      <c r="C235">
        <v>338407</v>
      </c>
      <c r="D235" t="s">
        <v>294</v>
      </c>
      <c r="E235" t="s">
        <v>285</v>
      </c>
      <c r="F235" s="21">
        <f>+VLOOKUP(C235,'[1]stock au 25-03-25'!A:D,4,FALSE)</f>
        <v>1919</v>
      </c>
      <c r="G235" t="s">
        <v>45</v>
      </c>
      <c r="H235" s="22">
        <f>+VLOOKUP(C235,'[1]stock au 25-03-25'!A:F,6,FALSE)</f>
        <v>2.3499999999999996</v>
      </c>
      <c r="I235" t="s">
        <v>46</v>
      </c>
      <c r="J235" s="56">
        <f>+VLOOKUP(C235,'[1]stock au 25-03-25'!A:H,8,FALSE)</f>
        <v>4509.6499999999996</v>
      </c>
      <c r="K235" t="s">
        <v>46</v>
      </c>
      <c r="L235" s="23">
        <v>2.4</v>
      </c>
      <c r="M235" t="s">
        <v>46</v>
      </c>
      <c r="N235" s="56">
        <f>+VLOOKUP(C235,'[1]stock au 25-03-25'!A:L,12,FALSE)</f>
        <v>4605.5999999999995</v>
      </c>
      <c r="P235" s="57">
        <v>2.4</v>
      </c>
      <c r="Q235" t="s">
        <v>46</v>
      </c>
      <c r="R235" s="25">
        <f>H235*(1+VLOOKUP(A235,'[1]Variation MP'!$B$3:$D$22,3))</f>
        <v>2.3499999999999996</v>
      </c>
      <c r="T235" s="26" t="s">
        <v>53</v>
      </c>
      <c r="U235" s="58" t="str">
        <f t="shared" si="47"/>
        <v/>
      </c>
      <c r="V235" s="10">
        <f>IFERROR(VLOOKUP(C235,'[2]INDICATEURS ACHATS - Matières P'!$C$2:$G$209999,5,0),0)</f>
        <v>0</v>
      </c>
      <c r="W235" s="60">
        <f t="shared" si="38"/>
        <v>0</v>
      </c>
      <c r="X235" s="28">
        <v>2.3499999999999996</v>
      </c>
      <c r="Y235" s="59">
        <v>2789.8003149934002</v>
      </c>
      <c r="Z235" s="60">
        <f t="shared" si="39"/>
        <v>6556.0307402344897</v>
      </c>
      <c r="AA235" s="60">
        <f t="shared" si="36"/>
        <v>6556.0307402344897</v>
      </c>
      <c r="AB235" s="60">
        <f t="shared" si="37"/>
        <v>0</v>
      </c>
      <c r="AC235" s="60">
        <f t="shared" si="40"/>
        <v>6556.0307402344897</v>
      </c>
      <c r="AD235" s="61">
        <f>+VLOOKUP(C235,'[1]pic au 25-03'!C:R,16,FALSE)</f>
        <v>2812.8003149934002</v>
      </c>
      <c r="AE235" s="31"/>
      <c r="AF235" s="62">
        <v>6750.72075598416</v>
      </c>
      <c r="AG235" s="31"/>
      <c r="AH235" s="62">
        <v>6750.72075598416</v>
      </c>
      <c r="AI235" s="31"/>
      <c r="AJ235" s="28">
        <f t="shared" si="41"/>
        <v>6556.0307402344897</v>
      </c>
      <c r="AK235" s="21">
        <f>+VLOOKUP(C235,'[1]stock au 25-03-25'!A:X,24,FALSE)</f>
        <v>23</v>
      </c>
      <c r="AL235" t="s">
        <v>45</v>
      </c>
      <c r="AM235" s="21">
        <f t="shared" si="48"/>
        <v>2789.8003149934002</v>
      </c>
      <c r="AN235" t="s">
        <v>45</v>
      </c>
      <c r="AO235" s="63">
        <v>6556.0307402344897</v>
      </c>
      <c r="AP235" s="64">
        <f t="shared" si="49"/>
        <v>6556.0307402344897</v>
      </c>
      <c r="AQ235" t="s">
        <v>46</v>
      </c>
      <c r="AR235" s="36">
        <f>(AP235-AO235)/AO235</f>
        <v>0</v>
      </c>
      <c r="AS235" s="81"/>
      <c r="AT235" s="81">
        <f>(AO235-J235)/J235</f>
        <v>0.45377817352443989</v>
      </c>
      <c r="AU235" s="81"/>
      <c r="AV235" s="66">
        <f>(AP235-J235)/J235</f>
        <v>0.45377817352443989</v>
      </c>
      <c r="BB235" s="56">
        <f>+R235*F235</f>
        <v>4509.6499999999996</v>
      </c>
    </row>
    <row r="236" spans="1:54" ht="18.75" outlineLevel="1" x14ac:dyDescent="0.3">
      <c r="A236">
        <v>8</v>
      </c>
      <c r="B236" t="s">
        <v>288</v>
      </c>
      <c r="C236">
        <v>338462</v>
      </c>
      <c r="D236" t="s">
        <v>295</v>
      </c>
      <c r="E236" t="s">
        <v>285</v>
      </c>
      <c r="F236" s="21">
        <v>0</v>
      </c>
      <c r="G236" t="s">
        <v>45</v>
      </c>
      <c r="H236" s="22">
        <f>+VLOOKUP(C236,'[1]stock au 25-03-25'!A:F,6,FALSE)</f>
        <v>4.9000000000000004</v>
      </c>
      <c r="I236" t="s">
        <v>46</v>
      </c>
      <c r="J236" s="56">
        <f>+VLOOKUP(C236,'[1]stock au 25-03-25'!A:H,8,FALSE)</f>
        <v>-490</v>
      </c>
      <c r="K236" t="s">
        <v>46</v>
      </c>
      <c r="L236" s="23"/>
      <c r="M236" t="s">
        <v>46</v>
      </c>
      <c r="N236" s="56">
        <f>+VLOOKUP(C236,'[1]stock au 25-03-25'!A:L,12,FALSE)</f>
        <v>0</v>
      </c>
      <c r="Q236" t="s">
        <v>46</v>
      </c>
      <c r="R236" s="25">
        <f>H236*(1+VLOOKUP(A236,'[1]Variation MP'!$B$3:$D$22,3))</f>
        <v>4.9000000000000004</v>
      </c>
      <c r="T236" s="26" t="s">
        <v>53</v>
      </c>
      <c r="U236" s="58" t="str">
        <f t="shared" si="47"/>
        <v/>
      </c>
      <c r="V236" s="10">
        <f>IFERROR(VLOOKUP(C236,'[2]INDICATEURS ACHATS - Matières P'!$C$2:$G$209999,5,0),0)</f>
        <v>0</v>
      </c>
      <c r="W236" s="60">
        <f t="shared" si="38"/>
        <v>0</v>
      </c>
      <c r="X236" s="28">
        <v>4.9000000000000004</v>
      </c>
      <c r="Y236" s="59">
        <v>0</v>
      </c>
      <c r="Z236" s="60">
        <f t="shared" si="39"/>
        <v>0</v>
      </c>
      <c r="AA236" s="60">
        <f t="shared" si="36"/>
        <v>0</v>
      </c>
      <c r="AB236" s="60">
        <f t="shared" si="37"/>
        <v>0</v>
      </c>
      <c r="AC236" s="60">
        <f t="shared" si="40"/>
        <v>0</v>
      </c>
      <c r="AD236" s="61">
        <v>0</v>
      </c>
      <c r="AE236" s="31"/>
      <c r="AF236" s="62"/>
      <c r="AG236" s="31"/>
      <c r="AH236" s="62"/>
      <c r="AI236" s="31"/>
      <c r="AJ236" s="28">
        <f t="shared" si="41"/>
        <v>0</v>
      </c>
      <c r="AK236" s="21">
        <f>+VLOOKUP(C236,'[1]stock au 25-03-25'!A:X,24,FALSE)</f>
        <v>0</v>
      </c>
      <c r="AL236" t="s">
        <v>45</v>
      </c>
      <c r="AM236" s="21">
        <f t="shared" si="48"/>
        <v>0</v>
      </c>
      <c r="AN236" t="s">
        <v>45</v>
      </c>
      <c r="AO236" s="63"/>
      <c r="AP236" s="64">
        <f t="shared" si="49"/>
        <v>0</v>
      </c>
      <c r="AQ236" t="s">
        <v>46</v>
      </c>
      <c r="AR236" s="36" t="e">
        <f>(AP236-AO236)/AO236</f>
        <v>#DIV/0!</v>
      </c>
      <c r="AS236" s="81"/>
      <c r="AT236" s="81">
        <f>(AO236-J236)/J236</f>
        <v>-1</v>
      </c>
      <c r="AU236" s="81"/>
      <c r="AV236" s="66">
        <f>(AP236-J236)/J236</f>
        <v>-1</v>
      </c>
      <c r="BB236" s="56">
        <f>+R236*F236</f>
        <v>0</v>
      </c>
    </row>
    <row r="237" spans="1:54" ht="18.75" outlineLevel="1" x14ac:dyDescent="0.3">
      <c r="A237">
        <v>8</v>
      </c>
      <c r="B237" t="s">
        <v>288</v>
      </c>
      <c r="C237">
        <v>339701</v>
      </c>
      <c r="D237" t="s">
        <v>296</v>
      </c>
      <c r="E237" t="s">
        <v>285</v>
      </c>
      <c r="F237" s="21">
        <f>+VLOOKUP(C237,'[1]stock au 25-03-25'!A:D,4,FALSE)</f>
        <v>60</v>
      </c>
      <c r="G237" t="s">
        <v>45</v>
      </c>
      <c r="H237" s="22">
        <f>+VLOOKUP(C237,'[1]stock au 25-03-25'!A:F,6,FALSE)</f>
        <v>5.45</v>
      </c>
      <c r="I237" t="s">
        <v>46</v>
      </c>
      <c r="J237" s="56">
        <f>+VLOOKUP(C237,'[1]stock au 25-03-25'!A:H,8,FALSE)</f>
        <v>327</v>
      </c>
      <c r="K237" t="s">
        <v>46</v>
      </c>
      <c r="L237" s="23">
        <v>5.6</v>
      </c>
      <c r="M237" t="s">
        <v>46</v>
      </c>
      <c r="N237" s="56">
        <f>+VLOOKUP(C237,'[1]stock au 25-03-25'!A:L,12,FALSE)</f>
        <v>336</v>
      </c>
      <c r="P237" s="57">
        <v>0</v>
      </c>
      <c r="Q237" t="s">
        <v>46</v>
      </c>
      <c r="R237" s="25">
        <f>H237*(1+VLOOKUP(A237,'[1]Variation MP'!$B$3:$D$22,3))</f>
        <v>5.45</v>
      </c>
      <c r="T237" s="26">
        <v>6.583333333333333</v>
      </c>
      <c r="U237" s="58">
        <f t="shared" si="47"/>
        <v>0.20795107033639135</v>
      </c>
      <c r="V237" s="10">
        <f>IFERROR(VLOOKUP(C237,'[2]INDICATEURS ACHATS - Matières P'!$C$2:$G$209999,5,0),0)</f>
        <v>270</v>
      </c>
      <c r="W237" s="60">
        <f t="shared" si="38"/>
        <v>1777.5</v>
      </c>
      <c r="X237" s="28">
        <v>6.583333333333333</v>
      </c>
      <c r="Y237" s="59">
        <v>-267.44662099999999</v>
      </c>
      <c r="Z237" s="60">
        <f t="shared" si="39"/>
        <v>-1760.6902549166666</v>
      </c>
      <c r="AA237" s="60">
        <f t="shared" si="36"/>
        <v>-1457.5840844500001</v>
      </c>
      <c r="AB237" s="60">
        <f t="shared" si="37"/>
        <v>-303.10617046666653</v>
      </c>
      <c r="AC237" s="60">
        <f t="shared" si="40"/>
        <v>16.809745083333382</v>
      </c>
      <c r="AD237" s="61">
        <f>+VLOOKUP(C237,'[1]pic au 25-03'!C:R,16,FALSE)</f>
        <v>29.238378999999998</v>
      </c>
      <c r="AE237" s="31"/>
      <c r="AF237" s="62">
        <v>0</v>
      </c>
      <c r="AG237" s="31"/>
      <c r="AH237" s="62">
        <v>163.73492239999999</v>
      </c>
      <c r="AI237" s="31"/>
      <c r="AJ237" s="28">
        <f t="shared" si="41"/>
        <v>16.809745083333329</v>
      </c>
      <c r="AK237" s="21">
        <f>+VLOOKUP(C237,'[1]stock au 25-03-25'!A:X,24,FALSE)</f>
        <v>26.684999999999999</v>
      </c>
      <c r="AL237" t="s">
        <v>45</v>
      </c>
      <c r="AM237" s="21">
        <f t="shared" si="48"/>
        <v>2.5533789999999996</v>
      </c>
      <c r="AN237" t="s">
        <v>45</v>
      </c>
      <c r="AO237" s="63">
        <v>0</v>
      </c>
      <c r="AP237" s="64">
        <f t="shared" si="49"/>
        <v>13.915915549999998</v>
      </c>
      <c r="AQ237" t="s">
        <v>46</v>
      </c>
      <c r="AR237" s="36" t="e">
        <f>(AP237-AO237)/AO237</f>
        <v>#DIV/0!</v>
      </c>
      <c r="AS237" s="81"/>
      <c r="AT237" s="81">
        <f>(AO237-J237)/J237</f>
        <v>-1</v>
      </c>
      <c r="AU237" s="81"/>
      <c r="AV237" s="66">
        <f>(AP237-J237)/J237</f>
        <v>-0.9574436833333333</v>
      </c>
      <c r="BB237" s="56">
        <f>+R237*F237</f>
        <v>327</v>
      </c>
    </row>
    <row r="238" spans="1:54" x14ac:dyDescent="0.25">
      <c r="A238" s="67"/>
      <c r="B238" s="67" t="s">
        <v>297</v>
      </c>
      <c r="C238" s="67"/>
      <c r="D238" s="67"/>
      <c r="E238" s="67"/>
      <c r="F238" s="79">
        <f>SUM(F230:F237)</f>
        <v>59363.6</v>
      </c>
      <c r="G238" s="67" t="s">
        <v>45</v>
      </c>
      <c r="H238" s="69"/>
      <c r="I238" s="67"/>
      <c r="J238" s="70">
        <f>SUM(J230:J237)</f>
        <v>547410.95000000007</v>
      </c>
      <c r="K238" s="67"/>
      <c r="L238" s="69"/>
      <c r="M238" s="67"/>
      <c r="N238" s="70">
        <f>SUM(N230:N237)</f>
        <v>661640.07999999996</v>
      </c>
      <c r="O238" s="78"/>
      <c r="P238" s="78">
        <f>SUM(P230:P237)</f>
        <v>76.53</v>
      </c>
      <c r="Q238" s="78">
        <f>SUM(Q230:Q237)</f>
        <v>0</v>
      </c>
      <c r="R238" s="78"/>
      <c r="S238" s="78"/>
      <c r="T238" s="83"/>
      <c r="U238" s="83"/>
      <c r="V238" s="10">
        <f>IFERROR(VLOOKUP(C238,'[2]INDICATEURS ACHATS - Matières P'!$C$2:$G$209999,5,0),0)</f>
        <v>0</v>
      </c>
      <c r="W238" s="60">
        <f>SUM(W230:W237)</f>
        <v>233809.97000000003</v>
      </c>
      <c r="X238" s="28">
        <f>SUM(X230:X237)</f>
        <v>89.042335175337982</v>
      </c>
      <c r="Y238" s="59">
        <v>-4671.5570000000007</v>
      </c>
      <c r="Z238" s="60">
        <f>SUM(Z230:Z237)</f>
        <v>337949.40219960653</v>
      </c>
      <c r="AA238" s="60">
        <f t="shared" si="36"/>
        <v>0</v>
      </c>
      <c r="AB238" s="60"/>
      <c r="AC238" s="60">
        <f t="shared" si="40"/>
        <v>571759.37219960662</v>
      </c>
      <c r="AD238" s="74">
        <f>SUM(AD230:AD237)</f>
        <v>65270.181717568397</v>
      </c>
      <c r="AE238" s="75"/>
      <c r="AF238" s="76">
        <f>SUM(AF230:AF237)</f>
        <v>599509.40492511529</v>
      </c>
      <c r="AG238" s="75"/>
      <c r="AH238" s="76">
        <f>SUM(AH230:AH237)</f>
        <v>714285.43459375983</v>
      </c>
      <c r="AI238" s="75"/>
      <c r="AJ238" s="28">
        <f>SUM(AJ230:AJ237)</f>
        <v>574636.30784865259</v>
      </c>
      <c r="AK238" s="77">
        <f>SUM(AK230:AK237)</f>
        <v>4671.5570000000007</v>
      </c>
      <c r="AL238" s="78">
        <f>SUM(AL230:AL237)</f>
        <v>0</v>
      </c>
      <c r="AM238" s="79">
        <f>SUM(AM230:AM237)</f>
        <v>60598.624717568389</v>
      </c>
      <c r="AN238" s="78" t="s">
        <v>45</v>
      </c>
      <c r="AO238" s="80">
        <f>SUM(AO230:AO237)</f>
        <v>508088.57995757455</v>
      </c>
      <c r="AP238" s="80">
        <f>SUM(AP230:AP237)</f>
        <v>594307.0834596213</v>
      </c>
      <c r="AQ238" s="67"/>
      <c r="AR238" s="81">
        <f>(AP238-AO238)/AO238</f>
        <v>0.16969187441537459</v>
      </c>
      <c r="AS238" s="81"/>
      <c r="AT238" s="81">
        <f>(AO238-J238)/J238</f>
        <v>-7.1833364024642757E-2</v>
      </c>
      <c r="AU238" s="82">
        <f>AO238-J238</f>
        <v>-39322.370042425522</v>
      </c>
      <c r="AV238" s="81">
        <f>(AP238-J238)/J238</f>
        <v>8.5668972203828256E-2</v>
      </c>
      <c r="AW238" s="72">
        <f>AP238-N238</f>
        <v>-67332.996540378663</v>
      </c>
      <c r="AX238" s="67"/>
      <c r="AY238" s="67"/>
      <c r="AZ238" s="81">
        <f>(AM238-F238)/F238</f>
        <v>2.0804410742751297E-2</v>
      </c>
      <c r="BA238" s="81">
        <f>(AP238-N238)/N238</f>
        <v>-0.10176680430299608</v>
      </c>
      <c r="BB238" s="78">
        <f>SUM(BB230:BB237)</f>
        <v>594987.37</v>
      </c>
    </row>
    <row r="239" spans="1:54" ht="18.75" outlineLevel="1" x14ac:dyDescent="0.3">
      <c r="A239">
        <v>9</v>
      </c>
      <c r="B239" t="s">
        <v>298</v>
      </c>
      <c r="C239">
        <v>370005</v>
      </c>
      <c r="D239" t="s">
        <v>299</v>
      </c>
      <c r="E239" t="s">
        <v>279</v>
      </c>
      <c r="F239" s="21">
        <f>+VLOOKUP(C239,'[1]stock au 25-03-25'!A:D,4,FALSE)</f>
        <v>42506.8</v>
      </c>
      <c r="G239" t="s">
        <v>45</v>
      </c>
      <c r="H239" s="22">
        <f>+VLOOKUP(C239,'[1]stock au 25-03-25'!A:F,6,FALSE)</f>
        <v>13.135472442056329</v>
      </c>
      <c r="I239" t="s">
        <v>46</v>
      </c>
      <c r="J239" s="56">
        <f>+VLOOKUP(C239,'[1]stock au 25-03-25'!A:H,8,FALSE)</f>
        <v>558346.9</v>
      </c>
      <c r="K239" t="s">
        <v>46</v>
      </c>
      <c r="L239" s="23">
        <v>15.15</v>
      </c>
      <c r="M239" t="s">
        <v>46</v>
      </c>
      <c r="N239" s="56">
        <f>+VLOOKUP(C239,'[1]stock au 25-03-25'!A:L,12,FALSE)</f>
        <v>643978.02</v>
      </c>
      <c r="P239" s="57">
        <v>15.2</v>
      </c>
      <c r="Q239" t="s">
        <v>46</v>
      </c>
      <c r="R239" s="25">
        <v>13.45</v>
      </c>
      <c r="T239" s="26">
        <v>13.326689478186484</v>
      </c>
      <c r="U239" s="58">
        <f t="shared" ref="U239:U252" si="50">IFERROR((T239-R239)/R239,"")</f>
        <v>-9.168068536320826E-3</v>
      </c>
      <c r="V239" s="10">
        <f>IFERROR(VLOOKUP(C239,'[2]INDICATEURS ACHATS - Matières P'!$C$2:$G$209999,5,0),0)</f>
        <v>23380</v>
      </c>
      <c r="W239" s="60">
        <f t="shared" si="38"/>
        <v>311578</v>
      </c>
      <c r="X239" s="28">
        <v>12.25</v>
      </c>
      <c r="Y239" s="59">
        <v>22739.399999999998</v>
      </c>
      <c r="Z239" s="60">
        <f t="shared" si="39"/>
        <v>278557.64999999997</v>
      </c>
      <c r="AA239" s="60">
        <f t="shared" si="36"/>
        <v>305844.92999999993</v>
      </c>
      <c r="AB239" s="60">
        <f t="shared" si="37"/>
        <v>-27287.27999999997</v>
      </c>
      <c r="AC239" s="60">
        <f t="shared" si="40"/>
        <v>590135.64999999991</v>
      </c>
      <c r="AD239" s="61">
        <f>+VLOOKUP(C239,'[1]pic au 25-03'!C:R,16,FALSE)</f>
        <v>49522.7</v>
      </c>
      <c r="AE239" s="31"/>
      <c r="AF239" s="62">
        <v>752745.03999999992</v>
      </c>
      <c r="AG239" s="31"/>
      <c r="AH239" s="62">
        <v>750268.90500000003</v>
      </c>
      <c r="AI239" s="31"/>
      <c r="AJ239" s="28">
        <f t="shared" si="41"/>
        <v>564962.64999999991</v>
      </c>
      <c r="AK239" s="21">
        <f>+VLOOKUP(C239,'[1]stock au 25-03-25'!A:X,24,FALSE)</f>
        <v>3403.3</v>
      </c>
      <c r="AL239" t="s">
        <v>45</v>
      </c>
      <c r="AM239" s="21">
        <f t="shared" ref="AM239:AM250" si="51">IF(AD239-AK239&lt;0,0,AD239-AK239)</f>
        <v>46119.399999999994</v>
      </c>
      <c r="AN239" t="s">
        <v>45</v>
      </c>
      <c r="AO239" s="63">
        <v>629292.1803219408</v>
      </c>
      <c r="AP239" s="64">
        <f t="shared" ref="AP239:AP250" si="52">IF(AM239&lt;0,0,AM239*R239)</f>
        <v>620305.92999999993</v>
      </c>
      <c r="AQ239" t="s">
        <v>46</v>
      </c>
      <c r="AR239" s="36">
        <f>(AP239-AO239)/AO239</f>
        <v>-1.4279933237599704E-2</v>
      </c>
      <c r="AS239" s="81"/>
      <c r="AT239" s="81">
        <f>(AO239-J239)/J239</f>
        <v>0.1270630862675888</v>
      </c>
      <c r="AU239" s="81"/>
      <c r="AV239" s="66">
        <f>(AP239-J239)/J239</f>
        <v>0.11096870064112456</v>
      </c>
      <c r="BB239" s="56">
        <f>+R239*F239</f>
        <v>571716.46</v>
      </c>
    </row>
    <row r="240" spans="1:54" ht="18.75" outlineLevel="1" x14ac:dyDescent="0.3">
      <c r="A240">
        <v>9</v>
      </c>
      <c r="B240" t="s">
        <v>298</v>
      </c>
      <c r="C240">
        <v>338626</v>
      </c>
      <c r="D240" t="s">
        <v>300</v>
      </c>
      <c r="E240" t="s">
        <v>279</v>
      </c>
      <c r="F240" s="21">
        <f>+VLOOKUP(C240,'[1]stock au 25-03-25'!A:D,4,FALSE)</f>
        <v>25542</v>
      </c>
      <c r="G240" t="s">
        <v>45</v>
      </c>
      <c r="H240" s="22">
        <f>+VLOOKUP(C240,'[1]stock au 25-03-25'!A:F,6,FALSE)</f>
        <v>15.481692897971969</v>
      </c>
      <c r="I240" t="s">
        <v>46</v>
      </c>
      <c r="J240" s="56">
        <f>+VLOOKUP(C240,'[1]stock au 25-03-25'!A:H,8,FALSE)</f>
        <v>395433.4</v>
      </c>
      <c r="K240" t="s">
        <v>46</v>
      </c>
      <c r="L240" s="23">
        <v>17</v>
      </c>
      <c r="M240" t="s">
        <v>46</v>
      </c>
      <c r="N240" s="56">
        <f>+VLOOKUP(C240,'[1]stock au 25-03-25'!A:L,12,FALSE)</f>
        <v>434214</v>
      </c>
      <c r="P240" s="57">
        <v>13.75</v>
      </c>
      <c r="Q240" t="s">
        <v>46</v>
      </c>
      <c r="R240" s="25">
        <v>13.45</v>
      </c>
      <c r="T240" s="26">
        <v>13.572561813186812</v>
      </c>
      <c r="U240" s="58">
        <f t="shared" si="50"/>
        <v>9.1124024674210519E-3</v>
      </c>
      <c r="V240" s="10">
        <f>IFERROR(VLOOKUP(C240,'[2]INDICATEURS ACHATS - Matières P'!$C$2:$G$209999,5,0),0)</f>
        <v>14560</v>
      </c>
      <c r="W240" s="60">
        <f t="shared" si="38"/>
        <v>197616.5</v>
      </c>
      <c r="X240" s="28">
        <v>12.65</v>
      </c>
      <c r="Y240" s="59">
        <v>11224.760000000002</v>
      </c>
      <c r="Z240" s="60">
        <f t="shared" si="39"/>
        <v>141993.21400000004</v>
      </c>
      <c r="AA240" s="60">
        <f t="shared" si="36"/>
        <v>150973.02200000003</v>
      </c>
      <c r="AB240" s="60">
        <f t="shared" si="37"/>
        <v>-8979.80799999999</v>
      </c>
      <c r="AC240" s="60">
        <f t="shared" si="40"/>
        <v>339609.71400000004</v>
      </c>
      <c r="AD240" s="61">
        <f>+VLOOKUP(C240,'[1]pic au 25-03'!C:R,16,FALSE)</f>
        <v>27170.760000000002</v>
      </c>
      <c r="AE240" s="31"/>
      <c r="AF240" s="62">
        <v>373597.94999999995</v>
      </c>
      <c r="AG240" s="31"/>
      <c r="AH240" s="62">
        <v>461902.92</v>
      </c>
      <c r="AI240" s="31"/>
      <c r="AJ240" s="28">
        <f t="shared" si="41"/>
        <v>326177.21400000004</v>
      </c>
      <c r="AK240" s="21">
        <f>+VLOOKUP(C240,'[1]stock au 25-03-25'!A:X,24,FALSE)</f>
        <v>1386</v>
      </c>
      <c r="AL240" t="s">
        <v>45</v>
      </c>
      <c r="AM240" s="21">
        <f t="shared" si="51"/>
        <v>25784.760000000002</v>
      </c>
      <c r="AN240" t="s">
        <v>45</v>
      </c>
      <c r="AO240" s="63">
        <v>415028.84992693283</v>
      </c>
      <c r="AP240" s="64">
        <f t="shared" si="52"/>
        <v>346805.022</v>
      </c>
      <c r="AQ240" t="s">
        <v>46</v>
      </c>
      <c r="AR240" s="36">
        <f>(AP240-AO240)/AO240</f>
        <v>-0.16438333850512768</v>
      </c>
      <c r="AS240" s="81"/>
      <c r="AT240" s="81">
        <f>(AO240-J240)/J240</f>
        <v>4.9554362193311961E-2</v>
      </c>
      <c r="AU240" s="81"/>
      <c r="AV240" s="66">
        <f>(AP240-J240)/J240</f>
        <v>-0.12297488780664462</v>
      </c>
      <c r="BB240" s="56">
        <f>+R240*F240</f>
        <v>343539.89999999997</v>
      </c>
    </row>
    <row r="241" spans="1:54" ht="18.75" outlineLevel="1" x14ac:dyDescent="0.3">
      <c r="A241">
        <v>9</v>
      </c>
      <c r="B241" t="s">
        <v>298</v>
      </c>
      <c r="C241">
        <v>360421</v>
      </c>
      <c r="D241" t="s">
        <v>301</v>
      </c>
      <c r="E241" t="s">
        <v>279</v>
      </c>
      <c r="F241" s="21">
        <f>+VLOOKUP(C241,'[1]stock au 25-03-25'!A:D,4,FALSE)</f>
        <v>8737.7999999999993</v>
      </c>
      <c r="G241" t="s">
        <v>45</v>
      </c>
      <c r="H241" s="22">
        <f>+VLOOKUP(C241,'[1]stock au 25-03-25'!A:F,6,FALSE)</f>
        <v>10.315364279338048</v>
      </c>
      <c r="I241" t="s">
        <v>46</v>
      </c>
      <c r="J241" s="56">
        <f>+VLOOKUP(C241,'[1]stock au 25-03-25'!A:H,8,FALSE)</f>
        <v>90133.59</v>
      </c>
      <c r="K241" t="s">
        <v>46</v>
      </c>
      <c r="L241" s="23">
        <v>9.0500000000000007</v>
      </c>
      <c r="M241" t="s">
        <v>46</v>
      </c>
      <c r="N241" s="56">
        <f>+VLOOKUP(C241,'[1]stock au 25-03-25'!A:L,12,FALSE)</f>
        <v>79077.09</v>
      </c>
      <c r="P241" s="57">
        <v>9.0500000000000007</v>
      </c>
      <c r="Q241" t="s">
        <v>46</v>
      </c>
      <c r="R241" s="25">
        <v>14.5</v>
      </c>
      <c r="T241" s="26">
        <v>14.9</v>
      </c>
      <c r="U241" s="58">
        <f t="shared" si="50"/>
        <v>2.7586206896551748E-2</v>
      </c>
      <c r="V241" s="10">
        <f>IFERROR(VLOOKUP(C241,'[2]INDICATEURS ACHATS - Matières P'!$C$2:$G$209999,5,0),0)</f>
        <v>1890</v>
      </c>
      <c r="W241" s="60">
        <f t="shared" si="38"/>
        <v>28161</v>
      </c>
      <c r="X241" s="28">
        <v>14.9</v>
      </c>
      <c r="Y241" s="59">
        <v>6454</v>
      </c>
      <c r="Z241" s="60">
        <f t="shared" si="39"/>
        <v>96164.6</v>
      </c>
      <c r="AA241" s="60">
        <f t="shared" si="36"/>
        <v>93583</v>
      </c>
      <c r="AB241" s="60">
        <f t="shared" si="37"/>
        <v>2581.6000000000058</v>
      </c>
      <c r="AC241" s="60">
        <f t="shared" si="40"/>
        <v>124325.6</v>
      </c>
      <c r="AD241" s="61">
        <f>+VLOOKUP(C241,'[1]pic au 25-03'!C:R,16,FALSE)</f>
        <v>9614</v>
      </c>
      <c r="AE241" s="31"/>
      <c r="AF241" s="62">
        <v>87006.700000000012</v>
      </c>
      <c r="AG241" s="31"/>
      <c r="AH241" s="62">
        <v>87006.700000000012</v>
      </c>
      <c r="AI241" s="31"/>
      <c r="AJ241" s="28">
        <f t="shared" si="41"/>
        <v>124325.6</v>
      </c>
      <c r="AK241" s="21">
        <f>+VLOOKUP(C241,'[1]stock au 25-03-25'!A:X,24,FALSE)</f>
        <v>1270</v>
      </c>
      <c r="AL241" t="s">
        <v>45</v>
      </c>
      <c r="AM241" s="21">
        <f t="shared" si="51"/>
        <v>8344</v>
      </c>
      <c r="AN241" t="s">
        <v>45</v>
      </c>
      <c r="AO241" s="63">
        <v>78751.307593250021</v>
      </c>
      <c r="AP241" s="64">
        <f t="shared" si="52"/>
        <v>120988</v>
      </c>
      <c r="AQ241" t="s">
        <v>46</v>
      </c>
      <c r="AR241" s="36">
        <f>(AP241-AO241)/AO241</f>
        <v>0.53633004578034704</v>
      </c>
      <c r="AS241" s="81"/>
      <c r="AT241" s="81">
        <f>(AO241-J241)/J241</f>
        <v>-0.12628235940396887</v>
      </c>
      <c r="AU241" s="81"/>
      <c r="AV241" s="66">
        <f>(AP241-J241)/J241</f>
        <v>0.34231866277599732</v>
      </c>
      <c r="BB241" s="56">
        <f>+R241*F241</f>
        <v>126698.09999999999</v>
      </c>
    </row>
    <row r="242" spans="1:54" ht="18.75" outlineLevel="1" x14ac:dyDescent="0.3">
      <c r="A242">
        <v>9</v>
      </c>
      <c r="B242" t="s">
        <v>298</v>
      </c>
      <c r="C242">
        <v>338413</v>
      </c>
      <c r="D242" t="s">
        <v>302</v>
      </c>
      <c r="E242" t="s">
        <v>279</v>
      </c>
      <c r="F242" s="21">
        <f>+VLOOKUP(C242,'[1]stock au 25-03-25'!A:D,4,FALSE)</f>
        <v>6260</v>
      </c>
      <c r="G242" t="s">
        <v>45</v>
      </c>
      <c r="H242" s="22">
        <f>+VLOOKUP(C242,'[1]stock au 25-03-25'!A:F,6,FALSE)</f>
        <v>15.7</v>
      </c>
      <c r="I242" t="s">
        <v>46</v>
      </c>
      <c r="J242" s="56">
        <f>+VLOOKUP(C242,'[1]stock au 25-03-25'!A:H,8,FALSE)</f>
        <v>98282</v>
      </c>
      <c r="K242" t="s">
        <v>46</v>
      </c>
      <c r="L242" s="23">
        <v>15.7</v>
      </c>
      <c r="M242" t="s">
        <v>46</v>
      </c>
      <c r="N242" s="56">
        <f>+VLOOKUP(C242,'[1]stock au 25-03-25'!A:L,12,FALSE)</f>
        <v>98282</v>
      </c>
      <c r="P242" s="57">
        <v>15.7</v>
      </c>
      <c r="Q242" t="s">
        <v>46</v>
      </c>
      <c r="R242" s="25">
        <v>12.65</v>
      </c>
      <c r="T242" s="26" t="s">
        <v>53</v>
      </c>
      <c r="U242" s="58" t="str">
        <f t="shared" si="50"/>
        <v/>
      </c>
      <c r="V242" s="10">
        <f>IFERROR(VLOOKUP(C242,'[2]INDICATEURS ACHATS - Matières P'!$C$2:$G$209999,5,0),0)</f>
        <v>0</v>
      </c>
      <c r="W242" s="60">
        <f t="shared" si="38"/>
        <v>0</v>
      </c>
      <c r="X242" s="28">
        <v>12.65</v>
      </c>
      <c r="Y242" s="59">
        <v>6440.0306794360904</v>
      </c>
      <c r="Z242" s="60">
        <f t="shared" si="39"/>
        <v>81466.388094866546</v>
      </c>
      <c r="AA242" s="60">
        <f t="shared" si="36"/>
        <v>81466.388094866546</v>
      </c>
      <c r="AB242" s="60">
        <f t="shared" si="37"/>
        <v>0</v>
      </c>
      <c r="AC242" s="60">
        <f t="shared" si="40"/>
        <v>81466.388094866546</v>
      </c>
      <c r="AD242" s="61">
        <f>+VLOOKUP(C242,'[1]pic au 25-03'!C:R,16,FALSE)</f>
        <v>7376.0306794360904</v>
      </c>
      <c r="AE242" s="31"/>
      <c r="AF242" s="62">
        <v>115803.68166714661</v>
      </c>
      <c r="AG242" s="31"/>
      <c r="AH242" s="62">
        <v>115803.68166714661</v>
      </c>
      <c r="AI242" s="31"/>
      <c r="AJ242" s="28">
        <f t="shared" si="41"/>
        <v>81466.388094866546</v>
      </c>
      <c r="AK242" s="21">
        <f>+VLOOKUP(C242,'[1]stock au 25-03-25'!A:X,24,FALSE)</f>
        <v>936</v>
      </c>
      <c r="AL242" t="s">
        <v>45</v>
      </c>
      <c r="AM242" s="21">
        <f t="shared" si="51"/>
        <v>6440.0306794360904</v>
      </c>
      <c r="AN242" t="s">
        <v>45</v>
      </c>
      <c r="AO242" s="63">
        <v>101108.48166714661</v>
      </c>
      <c r="AP242" s="64">
        <f t="shared" si="52"/>
        <v>81466.388094866546</v>
      </c>
      <c r="AQ242" t="s">
        <v>46</v>
      </c>
      <c r="AR242" s="36">
        <f>(AP242-AO242)/AO242</f>
        <v>-0.19426751592356678</v>
      </c>
      <c r="AS242" s="81"/>
      <c r="AT242" s="81">
        <f>(AO242-J242)/J242</f>
        <v>2.8758894478608601E-2</v>
      </c>
      <c r="AU242" s="81"/>
      <c r="AV242" s="66">
        <f>(AP242-J242)/J242</f>
        <v>-0.17109554043602546</v>
      </c>
      <c r="BB242" s="56">
        <f>+R242*F242</f>
        <v>79189</v>
      </c>
    </row>
    <row r="243" spans="1:54" ht="18.75" outlineLevel="1" x14ac:dyDescent="0.3">
      <c r="A243">
        <v>9</v>
      </c>
      <c r="B243" t="s">
        <v>298</v>
      </c>
      <c r="C243">
        <v>340867</v>
      </c>
      <c r="D243" t="s">
        <v>303</v>
      </c>
      <c r="E243" t="s">
        <v>279</v>
      </c>
      <c r="F243" s="21">
        <f>+VLOOKUP(C243,'[1]stock au 25-03-25'!A:D,4,FALSE)</f>
        <v>5042.3999999999996</v>
      </c>
      <c r="G243" t="s">
        <v>45</v>
      </c>
      <c r="H243" s="22">
        <f>+VLOOKUP(C243,'[1]stock au 25-03-25'!A:F,6,FALSE)</f>
        <v>13.10834324924639</v>
      </c>
      <c r="I243" t="s">
        <v>46</v>
      </c>
      <c r="J243" s="56">
        <f>+VLOOKUP(C243,'[1]stock au 25-03-25'!A:H,8,FALSE)</f>
        <v>66097.509999999995</v>
      </c>
      <c r="K243" t="s">
        <v>46</v>
      </c>
      <c r="L243" s="23">
        <v>14</v>
      </c>
      <c r="M243" t="s">
        <v>46</v>
      </c>
      <c r="N243" s="56">
        <f>+VLOOKUP(C243,'[1]stock au 25-03-25'!A:L,12,FALSE)</f>
        <v>70593.599999999991</v>
      </c>
      <c r="P243" s="57">
        <v>13.83</v>
      </c>
      <c r="Q243" t="s">
        <v>46</v>
      </c>
      <c r="R243" s="25">
        <f>H243*(1+(_xlfn.IFNA(VLOOKUP(C243,'[1]Variation MP'!$C$11:$D$12,2,FALSE),0)))</f>
        <v>13.10834324924639</v>
      </c>
      <c r="T243" s="26">
        <v>11.217315175097276</v>
      </c>
      <c r="U243" s="58">
        <f t="shared" si="50"/>
        <v>-0.14426140956126021</v>
      </c>
      <c r="V243" s="10">
        <f>IFERROR(VLOOKUP(C243,'[2]INDICATEURS ACHATS - Matières P'!$C$2:$G$209999,5,0),0)</f>
        <v>2570</v>
      </c>
      <c r="W243" s="60">
        <f t="shared" si="38"/>
        <v>28828.5</v>
      </c>
      <c r="X243" s="28">
        <v>10.55</v>
      </c>
      <c r="Y243" s="59">
        <v>1959.2711931538461</v>
      </c>
      <c r="Z243" s="60">
        <f t="shared" si="39"/>
        <v>20670.311087773076</v>
      </c>
      <c r="AA243" s="60">
        <f t="shared" si="36"/>
        <v>25682.799318221139</v>
      </c>
      <c r="AB243" s="60">
        <f t="shared" si="37"/>
        <v>-5012.4882304480634</v>
      </c>
      <c r="AC243" s="60">
        <f t="shared" si="40"/>
        <v>49498.81108777308</v>
      </c>
      <c r="AD243" s="61">
        <f>+VLOOKUP(C243,'[1]pic au 25-03'!C:R,16,FALSE)</f>
        <v>5015.2711931538461</v>
      </c>
      <c r="AE243" s="31"/>
      <c r="AF243" s="62">
        <v>69361.200601317687</v>
      </c>
      <c r="AG243" s="31"/>
      <c r="AH243" s="62">
        <v>70213.79670415385</v>
      </c>
      <c r="AI243" s="31"/>
      <c r="AJ243" s="28">
        <f t="shared" si="41"/>
        <v>47783.81108777308</v>
      </c>
      <c r="AK243" s="21">
        <f>+VLOOKUP(C243,'[1]stock au 25-03-25'!A:X,24,FALSE)</f>
        <v>486</v>
      </c>
      <c r="AL243" t="s">
        <v>45</v>
      </c>
      <c r="AM243" s="21">
        <f t="shared" si="51"/>
        <v>4529.2711931538461</v>
      </c>
      <c r="AN243" t="s">
        <v>45</v>
      </c>
      <c r="AO243" s="63">
        <v>61648.264477875608</v>
      </c>
      <c r="AP243" s="64">
        <f t="shared" si="52"/>
        <v>59371.241468784363</v>
      </c>
      <c r="AQ243" t="s">
        <v>46</v>
      </c>
      <c r="AR243" s="36">
        <f>(AP243-AO243)/AO243</f>
        <v>-3.6935719575827232E-2</v>
      </c>
      <c r="AS243" s="81"/>
      <c r="AT243" s="81">
        <f>(AO243-J243)/J243</f>
        <v>-6.7313360550562154E-2</v>
      </c>
      <c r="AU243" s="81"/>
      <c r="AV243" s="66">
        <f>(AP243-J243)/J243</f>
        <v>-0.10176281271738727</v>
      </c>
      <c r="BB243" s="56">
        <f>+R243*F243</f>
        <v>66097.509999999995</v>
      </c>
    </row>
    <row r="244" spans="1:54" ht="18.75" outlineLevel="1" x14ac:dyDescent="0.3">
      <c r="A244">
        <v>9</v>
      </c>
      <c r="B244" t="s">
        <v>298</v>
      </c>
      <c r="C244">
        <v>340581</v>
      </c>
      <c r="D244" t="s">
        <v>304</v>
      </c>
      <c r="E244" t="s">
        <v>279</v>
      </c>
      <c r="F244" s="21">
        <f>+VLOOKUP(C244,'[1]stock au 25-03-25'!A:D,4,FALSE)</f>
        <v>4105</v>
      </c>
      <c r="G244" t="s">
        <v>45</v>
      </c>
      <c r="H244" s="22">
        <f>+VLOOKUP(C244,'[1]stock au 25-03-25'!A:F,6,FALSE)</f>
        <v>6.2872107186358104</v>
      </c>
      <c r="I244" t="s">
        <v>46</v>
      </c>
      <c r="J244" s="56">
        <f>+VLOOKUP(C244,'[1]stock au 25-03-25'!A:H,8,FALSE)</f>
        <v>25809</v>
      </c>
      <c r="K244" t="s">
        <v>46</v>
      </c>
      <c r="L244" s="23">
        <v>6.35</v>
      </c>
      <c r="M244" t="s">
        <v>46</v>
      </c>
      <c r="N244" s="56">
        <f>+VLOOKUP(C244,'[1]stock au 25-03-25'!A:L,12,FALSE)</f>
        <v>26066.75</v>
      </c>
      <c r="P244" s="57">
        <v>6.35</v>
      </c>
      <c r="Q244" t="s">
        <v>46</v>
      </c>
      <c r="R244" s="25">
        <v>8.9</v>
      </c>
      <c r="T244" s="26">
        <v>9</v>
      </c>
      <c r="U244" s="58">
        <f t="shared" si="50"/>
        <v>1.1235955056179735E-2</v>
      </c>
      <c r="V244" s="10">
        <v>5670</v>
      </c>
      <c r="W244" s="60">
        <f t="shared" si="38"/>
        <v>51030</v>
      </c>
      <c r="X244" s="28">
        <v>8.9</v>
      </c>
      <c r="Y244" s="59">
        <v>-1512.8704528076914</v>
      </c>
      <c r="Z244" s="60">
        <f t="shared" si="39"/>
        <v>-13464.547029988455</v>
      </c>
      <c r="AA244" s="60">
        <f t="shared" si="36"/>
        <v>-13464.547029988455</v>
      </c>
      <c r="AB244" s="60">
        <f t="shared" si="37"/>
        <v>0</v>
      </c>
      <c r="AC244" s="60">
        <f t="shared" si="40"/>
        <v>37565.452970011545</v>
      </c>
      <c r="AD244" s="61">
        <f>+VLOOKUP(C244,'[1]pic au 25-03'!C:R,16,FALSE)</f>
        <v>4792.1295471923086</v>
      </c>
      <c r="AE244" s="31"/>
      <c r="AF244" s="62">
        <v>30430.022624671154</v>
      </c>
      <c r="AG244" s="31"/>
      <c r="AH244" s="62">
        <v>30430.022624671154</v>
      </c>
      <c r="AI244" s="31"/>
      <c r="AJ244" s="28">
        <f t="shared" si="41"/>
        <v>36998.452970011545</v>
      </c>
      <c r="AK244" s="21">
        <f>+VLOOKUP(C244,'[1]stock au 25-03-25'!A:X,24,FALSE)</f>
        <v>635</v>
      </c>
      <c r="AL244" t="s">
        <v>45</v>
      </c>
      <c r="AM244" s="21">
        <f t="shared" si="51"/>
        <v>4157.1295471923086</v>
      </c>
      <c r="AN244" t="s">
        <v>45</v>
      </c>
      <c r="AO244" s="63">
        <v>23051.061873687278</v>
      </c>
      <c r="AP244" s="64">
        <f t="shared" si="52"/>
        <v>36998.452970011545</v>
      </c>
      <c r="AQ244" t="s">
        <v>46</v>
      </c>
      <c r="AR244" s="36">
        <f>(AP244-AO244)/AO244</f>
        <v>0.60506501491131626</v>
      </c>
      <c r="AS244" s="81"/>
      <c r="AT244" s="81">
        <f>(AO244-J244)/J244</f>
        <v>-0.10685955001405407</v>
      </c>
      <c r="AU244" s="81"/>
      <c r="AV244" s="66">
        <f>(AP244-J244)/J244</f>
        <v>0.43354848967459203</v>
      </c>
      <c r="BB244" s="56">
        <f>+R244*F244</f>
        <v>36534.5</v>
      </c>
    </row>
    <row r="245" spans="1:54" ht="18.75" outlineLevel="1" x14ac:dyDescent="0.3">
      <c r="A245">
        <v>9</v>
      </c>
      <c r="B245" t="s">
        <v>298</v>
      </c>
      <c r="C245">
        <v>338417</v>
      </c>
      <c r="D245" t="s">
        <v>305</v>
      </c>
      <c r="E245" t="s">
        <v>279</v>
      </c>
      <c r="F245" s="21">
        <f>+VLOOKUP(C245,'[1]stock au 25-03-25'!A:D,4,FALSE)</f>
        <v>3709.5</v>
      </c>
      <c r="G245" t="s">
        <v>45</v>
      </c>
      <c r="H245" s="22">
        <f>+VLOOKUP(C245,'[1]stock au 25-03-25'!A:F,6,FALSE)</f>
        <v>6.5835692141798088</v>
      </c>
      <c r="I245" t="s">
        <v>46</v>
      </c>
      <c r="J245" s="56">
        <f>+VLOOKUP(C245,'[1]stock au 25-03-25'!A:H,8,FALSE)</f>
        <v>24421.75</v>
      </c>
      <c r="K245" t="s">
        <v>46</v>
      </c>
      <c r="L245" s="23">
        <v>6.1</v>
      </c>
      <c r="M245" t="s">
        <v>46</v>
      </c>
      <c r="N245" s="56">
        <f>+VLOOKUP(C245,'[1]stock au 25-03-25'!A:L,12,FALSE)</f>
        <v>22627.949999999997</v>
      </c>
      <c r="P245" s="57">
        <v>6.1</v>
      </c>
      <c r="Q245" t="s">
        <v>46</v>
      </c>
      <c r="R245" s="25">
        <v>7.2</v>
      </c>
      <c r="T245" s="26">
        <v>6.85</v>
      </c>
      <c r="U245" s="58">
        <f t="shared" si="50"/>
        <v>-4.8611111111111181E-2</v>
      </c>
      <c r="V245" s="10">
        <v>2000</v>
      </c>
      <c r="W245" s="60">
        <f t="shared" si="38"/>
        <v>13700</v>
      </c>
      <c r="X245" s="28">
        <v>7</v>
      </c>
      <c r="Y245" s="59">
        <v>725.80815384615369</v>
      </c>
      <c r="Z245" s="60">
        <f t="shared" si="39"/>
        <v>5080.6570769230757</v>
      </c>
      <c r="AA245" s="60">
        <f t="shared" si="36"/>
        <v>5225.8187076923068</v>
      </c>
      <c r="AB245" s="60">
        <f t="shared" si="37"/>
        <v>-145.16163076923112</v>
      </c>
      <c r="AC245" s="60">
        <f t="shared" si="40"/>
        <v>18780.657076923075</v>
      </c>
      <c r="AD245" s="61">
        <f>+VLOOKUP(C245,'[1]pic au 25-03'!C:R,16,FALSE)</f>
        <v>3356.0351538461537</v>
      </c>
      <c r="AE245" s="31"/>
      <c r="AF245" s="62">
        <v>20471.814438461537</v>
      </c>
      <c r="AG245" s="31"/>
      <c r="AH245" s="62">
        <v>20471.814438461537</v>
      </c>
      <c r="AI245" s="31"/>
      <c r="AJ245" s="28">
        <f t="shared" si="41"/>
        <v>19080.657076923075</v>
      </c>
      <c r="AK245" s="21">
        <f>+VLOOKUP(C245,'[1]stock au 25-03-25'!A:X,24,FALSE)</f>
        <v>630.22699999999998</v>
      </c>
      <c r="AL245" t="s">
        <v>45</v>
      </c>
      <c r="AM245" s="21">
        <f t="shared" si="51"/>
        <v>2725.8081538461538</v>
      </c>
      <c r="AN245" t="s">
        <v>45</v>
      </c>
      <c r="AO245" s="63">
        <v>17150.086895118562</v>
      </c>
      <c r="AP245" s="64">
        <f t="shared" si="52"/>
        <v>19625.81870769231</v>
      </c>
      <c r="AQ245" t="s">
        <v>46</v>
      </c>
      <c r="AR245" s="36">
        <f>(AP245-AO245)/AO245</f>
        <v>0.14435680866890629</v>
      </c>
      <c r="AS245" s="81"/>
      <c r="AT245" s="81">
        <f>(AO245-J245)/J245</f>
        <v>-0.29775356413366927</v>
      </c>
      <c r="AU245" s="81"/>
      <c r="AV245" s="66">
        <f>(AP245-J245)/J245</f>
        <v>-0.19637950975289201</v>
      </c>
      <c r="BB245" s="56">
        <f>+R245*F245</f>
        <v>26708.400000000001</v>
      </c>
    </row>
    <row r="246" spans="1:54" ht="18.75" outlineLevel="1" x14ac:dyDescent="0.3">
      <c r="A246">
        <v>9</v>
      </c>
      <c r="B246" t="s">
        <v>298</v>
      </c>
      <c r="C246">
        <v>343904</v>
      </c>
      <c r="D246" t="s">
        <v>306</v>
      </c>
      <c r="E246" t="s">
        <v>279</v>
      </c>
      <c r="F246" s="21">
        <f>+VLOOKUP(C246,'[1]stock au 25-03-25'!A:D,4,FALSE)</f>
        <v>5837.52</v>
      </c>
      <c r="G246" t="s">
        <v>45</v>
      </c>
      <c r="H246" s="22">
        <f>+VLOOKUP(C246,'[1]stock au 25-03-25'!A:F,6,FALSE)</f>
        <v>3.2653849579958609</v>
      </c>
      <c r="I246" t="s">
        <v>46</v>
      </c>
      <c r="J246" s="56">
        <f>+VLOOKUP(C246,'[1]stock au 25-03-25'!A:H,8,FALSE)</f>
        <v>19061.75</v>
      </c>
      <c r="K246" t="s">
        <v>46</v>
      </c>
      <c r="L246" s="23">
        <v>3</v>
      </c>
      <c r="M246" t="s">
        <v>46</v>
      </c>
      <c r="N246" s="56">
        <f>+VLOOKUP(C246,'[1]stock au 25-03-25'!A:L,12,FALSE)</f>
        <v>17512.560000000001</v>
      </c>
      <c r="P246" s="57">
        <v>3</v>
      </c>
      <c r="Q246" t="s">
        <v>46</v>
      </c>
      <c r="R246" s="25">
        <v>4</v>
      </c>
      <c r="T246" s="26">
        <v>3.4</v>
      </c>
      <c r="U246" s="58">
        <f t="shared" si="50"/>
        <v>-0.15000000000000002</v>
      </c>
      <c r="V246" s="10">
        <v>2160</v>
      </c>
      <c r="W246" s="60">
        <f t="shared" si="38"/>
        <v>7344</v>
      </c>
      <c r="X246" s="28">
        <v>3.4</v>
      </c>
      <c r="Y246" s="59">
        <v>1726.0151538461546</v>
      </c>
      <c r="Z246" s="60">
        <f t="shared" si="39"/>
        <v>5868.4515230769257</v>
      </c>
      <c r="AA246" s="60">
        <f t="shared" si="36"/>
        <v>6904.0606153846184</v>
      </c>
      <c r="AB246" s="60">
        <f t="shared" si="37"/>
        <v>-1035.6090923076927</v>
      </c>
      <c r="AC246" s="60">
        <f t="shared" si="40"/>
        <v>13212.451523076925</v>
      </c>
      <c r="AD246" s="61">
        <f>+VLOOKUP(C246,'[1]pic au 25-03'!C:R,16,FALSE)</f>
        <v>5817.2891538461545</v>
      </c>
      <c r="AE246" s="31"/>
      <c r="AF246" s="62">
        <v>17451.867461538459</v>
      </c>
      <c r="AG246" s="31"/>
      <c r="AH246" s="62">
        <v>17451.867461538459</v>
      </c>
      <c r="AI246" s="31"/>
      <c r="AJ246" s="28">
        <f t="shared" si="41"/>
        <v>13212.451523076925</v>
      </c>
      <c r="AK246" s="21">
        <f>+VLOOKUP(C246,'[1]stock au 25-03-25'!A:X,24,FALSE)</f>
        <v>1931.2739999999999</v>
      </c>
      <c r="AL246" t="s">
        <v>45</v>
      </c>
      <c r="AM246" s="21">
        <f t="shared" si="51"/>
        <v>3886.0151538461546</v>
      </c>
      <c r="AN246" t="s">
        <v>45</v>
      </c>
      <c r="AO246" s="63">
        <v>11997.700772730015</v>
      </c>
      <c r="AP246" s="64">
        <f t="shared" si="52"/>
        <v>15544.060615384618</v>
      </c>
      <c r="AQ246" t="s">
        <v>46</v>
      </c>
      <c r="AR246" s="36">
        <f>(AP246-AO246)/AO246</f>
        <v>0.29558662195637064</v>
      </c>
      <c r="AS246" s="81"/>
      <c r="AT246" s="81">
        <f>(AO246-J246)/J246</f>
        <v>-0.37058765471533228</v>
      </c>
      <c r="AU246" s="81"/>
      <c r="AV246" s="66">
        <f>(AP246-J246)/J246</f>
        <v>-0.18454178575500055</v>
      </c>
      <c r="BB246" s="56">
        <f>+R246*F246</f>
        <v>23350.080000000002</v>
      </c>
    </row>
    <row r="247" spans="1:54" ht="18.75" outlineLevel="1" x14ac:dyDescent="0.3">
      <c r="A247">
        <v>9</v>
      </c>
      <c r="B247" t="s">
        <v>298</v>
      </c>
      <c r="C247">
        <v>340868</v>
      </c>
      <c r="D247" t="s">
        <v>307</v>
      </c>
      <c r="E247" t="s">
        <v>279</v>
      </c>
      <c r="F247" s="21">
        <f>+VLOOKUP(C247,'[1]stock au 25-03-25'!A:D,4,FALSE)</f>
        <v>72</v>
      </c>
      <c r="G247" t="s">
        <v>45</v>
      </c>
      <c r="H247" s="22">
        <f>+VLOOKUP(C247,'[1]stock au 25-03-25'!A:F,6,FALSE)</f>
        <v>24.950000000000003</v>
      </c>
      <c r="I247" t="s">
        <v>46</v>
      </c>
      <c r="J247" s="56">
        <f>+VLOOKUP(C247,'[1]stock au 25-03-25'!A:H,8,FALSE)</f>
        <v>1796.4</v>
      </c>
      <c r="K247" t="s">
        <v>46</v>
      </c>
      <c r="L247" s="23">
        <v>25</v>
      </c>
      <c r="M247" t="s">
        <v>46</v>
      </c>
      <c r="N247" s="56">
        <f>+VLOOKUP(C247,'[1]stock au 25-03-25'!A:L,12,FALSE)</f>
        <v>1800</v>
      </c>
      <c r="Q247" t="s">
        <v>46</v>
      </c>
      <c r="R247" s="25">
        <f>H247*(1+(_xlfn.IFNA(VLOOKUP(C247,'[1]Variation MP'!$C$11:$D$12,2,FALSE),0)))</f>
        <v>24.950000000000003</v>
      </c>
      <c r="T247" s="26" t="s">
        <v>53</v>
      </c>
      <c r="U247" s="58" t="str">
        <f t="shared" si="50"/>
        <v/>
      </c>
      <c r="V247" s="10">
        <v>0</v>
      </c>
      <c r="W247" s="60">
        <f t="shared" si="38"/>
        <v>0</v>
      </c>
      <c r="X247" s="28">
        <v>24.950000000000003</v>
      </c>
      <c r="Y247" s="59">
        <v>52.417749999999998</v>
      </c>
      <c r="Z247" s="60">
        <f t="shared" si="39"/>
        <v>1307.8228625000002</v>
      </c>
      <c r="AA247" s="60">
        <f t="shared" si="36"/>
        <v>1307.8228625000002</v>
      </c>
      <c r="AB247" s="60">
        <f t="shared" si="37"/>
        <v>0</v>
      </c>
      <c r="AC247" s="60">
        <f t="shared" si="40"/>
        <v>1307.8228625000002</v>
      </c>
      <c r="AD247" s="61">
        <f>+VLOOKUP(C247,'[1]pic au 25-03'!C:R,16,FALSE)</f>
        <v>60.117750000000001</v>
      </c>
      <c r="AE247" s="31"/>
      <c r="AF247" s="62"/>
      <c r="AG247" s="31"/>
      <c r="AH247" s="62">
        <v>1502.9437499999999</v>
      </c>
      <c r="AI247" s="31"/>
      <c r="AJ247" s="28">
        <f t="shared" si="41"/>
        <v>1307.8228625000002</v>
      </c>
      <c r="AK247" s="21">
        <f>+VLOOKUP(C247,'[1]stock au 25-03-25'!A:X,24,FALSE)</f>
        <v>7.7</v>
      </c>
      <c r="AL247" t="s">
        <v>45</v>
      </c>
      <c r="AM247" s="21">
        <f t="shared" si="51"/>
        <v>52.417749999999998</v>
      </c>
      <c r="AN247" t="s">
        <v>45</v>
      </c>
      <c r="AO247" s="63">
        <v>1307.8228625000002</v>
      </c>
      <c r="AP247" s="64">
        <f t="shared" si="52"/>
        <v>1307.8228625000002</v>
      </c>
      <c r="AQ247" t="s">
        <v>46</v>
      </c>
      <c r="AR247" s="36">
        <f>(AP247-AO247)/AO247</f>
        <v>0</v>
      </c>
      <c r="AS247" s="81"/>
      <c r="AT247" s="81">
        <f>(AO247-J247)/J247</f>
        <v>-0.27197569444444442</v>
      </c>
      <c r="AU247" s="81"/>
      <c r="AV247" s="66">
        <f>(AP247-J247)/J247</f>
        <v>-0.27197569444444442</v>
      </c>
      <c r="BB247" s="56">
        <f>+R247*F247</f>
        <v>1796.4</v>
      </c>
    </row>
    <row r="248" spans="1:54" ht="18.75" outlineLevel="1" x14ac:dyDescent="0.3">
      <c r="A248">
        <v>9</v>
      </c>
      <c r="B248" t="s">
        <v>298</v>
      </c>
      <c r="C248">
        <v>338427</v>
      </c>
      <c r="D248" t="s">
        <v>308</v>
      </c>
      <c r="E248" t="s">
        <v>279</v>
      </c>
      <c r="F248" s="21">
        <f>+VLOOKUP(C248,'[1]stock au 25-03-25'!A:D,4,FALSE)</f>
        <v>2052</v>
      </c>
      <c r="G248" t="s">
        <v>45</v>
      </c>
      <c r="H248" s="22">
        <f>+VLOOKUP(C248,'[1]stock au 25-03-25'!A:F,6,FALSE)</f>
        <v>4.9269980506822613</v>
      </c>
      <c r="I248" t="s">
        <v>46</v>
      </c>
      <c r="J248" s="56">
        <f>+VLOOKUP(C248,'[1]stock au 25-03-25'!A:H,8,FALSE)</f>
        <v>10110.200000000001</v>
      </c>
      <c r="K248" t="s">
        <v>46</v>
      </c>
      <c r="L248" s="23">
        <v>5.21</v>
      </c>
      <c r="M248" t="s">
        <v>46</v>
      </c>
      <c r="N248" s="56">
        <f>+VLOOKUP(C248,'[1]stock au 25-03-25'!A:L,12,FALSE)</f>
        <v>10690.92</v>
      </c>
      <c r="Q248" t="s">
        <v>46</v>
      </c>
      <c r="R248" s="25">
        <f>H248*(1+(_xlfn.IFNA(VLOOKUP(C248,'[1]Variation MP'!$C$11:$D$12,2,FALSE),0)))</f>
        <v>4.9269980506822613</v>
      </c>
      <c r="T248" s="26" t="s">
        <v>53</v>
      </c>
      <c r="U248" s="58" t="str">
        <f t="shared" si="50"/>
        <v/>
      </c>
      <c r="V248" s="10">
        <v>0</v>
      </c>
      <c r="W248" s="60">
        <f t="shared" si="38"/>
        <v>0</v>
      </c>
      <c r="X248" s="28">
        <v>4.9269980506822613</v>
      </c>
      <c r="Y248" s="59">
        <v>0</v>
      </c>
      <c r="Z248" s="60">
        <f t="shared" si="39"/>
        <v>0</v>
      </c>
      <c r="AA248" s="60">
        <f t="shared" si="36"/>
        <v>0</v>
      </c>
      <c r="AB248" s="60">
        <f t="shared" si="37"/>
        <v>0</v>
      </c>
      <c r="AC248" s="60">
        <f t="shared" si="40"/>
        <v>0</v>
      </c>
      <c r="AD248" s="61">
        <v>0</v>
      </c>
      <c r="AE248" s="31"/>
      <c r="AF248" s="62"/>
      <c r="AG248" s="31"/>
      <c r="AH248" s="62"/>
      <c r="AI248" s="31"/>
      <c r="AJ248" s="28">
        <f t="shared" si="41"/>
        <v>0</v>
      </c>
      <c r="AK248" s="21">
        <f>+VLOOKUP(C248,'[1]stock au 25-03-25'!A:X,24,FALSE)</f>
        <v>0</v>
      </c>
      <c r="AL248" t="s">
        <v>45</v>
      </c>
      <c r="AM248" s="21">
        <f t="shared" si="51"/>
        <v>0</v>
      </c>
      <c r="AN248" t="s">
        <v>45</v>
      </c>
      <c r="AO248" s="63"/>
      <c r="AP248" s="64">
        <f t="shared" si="52"/>
        <v>0</v>
      </c>
      <c r="AQ248" t="s">
        <v>46</v>
      </c>
      <c r="AR248" s="36" t="e">
        <f>(AP248-AO248)/AO248</f>
        <v>#DIV/0!</v>
      </c>
      <c r="AS248" s="81"/>
      <c r="AT248" s="81">
        <f>(AO248-J248)/J248</f>
        <v>-1</v>
      </c>
      <c r="AU248" s="81"/>
      <c r="AV248" s="66">
        <f>(AP248-J248)/J248</f>
        <v>-1</v>
      </c>
      <c r="BB248" s="56">
        <f>+R248*F248</f>
        <v>10110.200000000001</v>
      </c>
    </row>
    <row r="249" spans="1:54" ht="18.75" outlineLevel="1" x14ac:dyDescent="0.3">
      <c r="A249">
        <v>9</v>
      </c>
      <c r="B249" t="s">
        <v>298</v>
      </c>
      <c r="C249">
        <v>360418</v>
      </c>
      <c r="D249" t="s">
        <v>309</v>
      </c>
      <c r="F249" s="21">
        <f>+VLOOKUP(C249,'[1]stock au 25-03-25'!A:D,4,FALSE)</f>
        <v>2645</v>
      </c>
      <c r="G249" t="s">
        <v>45</v>
      </c>
      <c r="H249" s="22">
        <f>+VLOOKUP(C249,'[1]stock au 25-03-25'!A:F,6,FALSE)</f>
        <v>10.95</v>
      </c>
      <c r="J249" s="56">
        <f>+VLOOKUP(C249,'[1]stock au 25-03-25'!A:H,8,FALSE)</f>
        <v>28962.75</v>
      </c>
      <c r="L249" s="23"/>
      <c r="N249" s="56">
        <f>+VLOOKUP(C249,'[1]stock au 25-03-25'!A:L,12,FALSE)</f>
        <v>26053.25</v>
      </c>
      <c r="R249" s="25">
        <v>9.85</v>
      </c>
      <c r="T249" s="26">
        <v>9.85</v>
      </c>
      <c r="U249" s="58">
        <f t="shared" si="50"/>
        <v>0</v>
      </c>
      <c r="V249" s="10">
        <v>2000</v>
      </c>
      <c r="W249" s="60">
        <f t="shared" si="38"/>
        <v>19700</v>
      </c>
      <c r="X249" s="28">
        <v>9.85</v>
      </c>
      <c r="Y249" s="59">
        <v>1235.4857462222208</v>
      </c>
      <c r="Z249" s="60">
        <f t="shared" si="39"/>
        <v>12169.534600288875</v>
      </c>
      <c r="AA249" s="60">
        <f t="shared" si="36"/>
        <v>12169.534600288875</v>
      </c>
      <c r="AB249" s="60">
        <f t="shared" si="37"/>
        <v>0</v>
      </c>
      <c r="AC249" s="60">
        <f t="shared" si="40"/>
        <v>31869.534600288876</v>
      </c>
      <c r="AD249" s="61">
        <f>+VLOOKUP(C249,'[1]pic au 25-03'!C:R,16,FALSE)</f>
        <v>5005.4857462222208</v>
      </c>
      <c r="AE249" s="31"/>
      <c r="AF249" s="62"/>
      <c r="AG249" s="31"/>
      <c r="AH249" s="62"/>
      <c r="AI249" s="31"/>
      <c r="AJ249" s="28">
        <f t="shared" si="41"/>
        <v>31869.534600288873</v>
      </c>
      <c r="AK249" s="21">
        <f>+VLOOKUP(C249,'[1]stock au 25-03-25'!A:X,24,FALSE)</f>
        <v>1770</v>
      </c>
      <c r="AM249" s="21">
        <f t="shared" si="51"/>
        <v>3235.4857462222208</v>
      </c>
      <c r="AN249" t="s">
        <v>45</v>
      </c>
      <c r="AO249" s="63"/>
      <c r="AP249" s="64">
        <f t="shared" si="52"/>
        <v>31869.534600288873</v>
      </c>
      <c r="AQ249" t="s">
        <v>46</v>
      </c>
      <c r="AR249" s="36"/>
      <c r="AS249" s="81"/>
      <c r="AT249" s="81">
        <f>(AO249-J249)/J249</f>
        <v>-1</v>
      </c>
      <c r="AU249" s="81"/>
      <c r="AV249" s="66"/>
      <c r="BB249" s="56">
        <f>+R249*F249</f>
        <v>26053.25</v>
      </c>
    </row>
    <row r="250" spans="1:54" ht="18.75" outlineLevel="1" x14ac:dyDescent="0.3">
      <c r="A250">
        <v>9</v>
      </c>
      <c r="B250" t="s">
        <v>298</v>
      </c>
      <c r="C250">
        <v>338473</v>
      </c>
      <c r="D250" t="s">
        <v>310</v>
      </c>
      <c r="F250" s="21">
        <v>0</v>
      </c>
      <c r="G250" t="s">
        <v>45</v>
      </c>
      <c r="H250" s="22">
        <v>0</v>
      </c>
      <c r="J250" s="56">
        <v>0</v>
      </c>
      <c r="L250" s="23">
        <v>11.32</v>
      </c>
      <c r="N250" s="56">
        <v>0</v>
      </c>
      <c r="R250" s="25">
        <v>14.9</v>
      </c>
      <c r="T250" s="26" t="s">
        <v>53</v>
      </c>
      <c r="U250" s="58" t="str">
        <f t="shared" si="50"/>
        <v/>
      </c>
      <c r="V250" s="10">
        <v>0</v>
      </c>
      <c r="W250" s="60">
        <f t="shared" si="38"/>
        <v>0</v>
      </c>
      <c r="X250" s="28">
        <v>14.9</v>
      </c>
      <c r="Y250" s="59">
        <v>8587.162305759859</v>
      </c>
      <c r="Z250" s="60">
        <f t="shared" si="39"/>
        <v>127948.7183558219</v>
      </c>
      <c r="AA250" s="60">
        <f t="shared" si="36"/>
        <v>127948.7183558219</v>
      </c>
      <c r="AB250" s="60">
        <f t="shared" si="37"/>
        <v>0</v>
      </c>
      <c r="AC250" s="60">
        <f t="shared" si="40"/>
        <v>127948.7183558219</v>
      </c>
      <c r="AD250" s="61">
        <f>+VLOOKUP(C250,'[1]pic au 25-03'!C:R,16,FALSE)</f>
        <v>8587.162305759859</v>
      </c>
      <c r="AE250" s="31"/>
      <c r="AF250" s="62"/>
      <c r="AG250" s="31"/>
      <c r="AH250" s="62"/>
      <c r="AI250" s="31"/>
      <c r="AJ250" s="28">
        <f t="shared" si="41"/>
        <v>127948.7183558219</v>
      </c>
      <c r="AK250" s="21">
        <v>0</v>
      </c>
      <c r="AM250" s="21">
        <f t="shared" si="51"/>
        <v>8587.162305759859</v>
      </c>
      <c r="AN250" t="s">
        <v>45</v>
      </c>
      <c r="AO250" s="63"/>
      <c r="AP250" s="64">
        <f t="shared" si="52"/>
        <v>127948.7183558219</v>
      </c>
      <c r="AQ250" t="s">
        <v>46</v>
      </c>
      <c r="AR250" s="36"/>
      <c r="AS250" s="81"/>
      <c r="AT250" s="81" t="e">
        <f>(AO250-J250)/J250</f>
        <v>#DIV/0!</v>
      </c>
      <c r="AU250" s="81"/>
      <c r="AV250" s="66"/>
      <c r="BB250" s="56">
        <f>+R250*F250</f>
        <v>0</v>
      </c>
    </row>
    <row r="251" spans="1:54" ht="18.75" outlineLevel="1" x14ac:dyDescent="0.3">
      <c r="C251" s="84">
        <v>360472</v>
      </c>
      <c r="D251" s="84" t="s">
        <v>311</v>
      </c>
      <c r="F251" s="21"/>
      <c r="H251" s="22"/>
      <c r="J251" s="56"/>
      <c r="L251" s="23"/>
      <c r="N251" s="56"/>
      <c r="R251" s="25"/>
      <c r="T251" s="26">
        <v>11.95</v>
      </c>
      <c r="U251" s="58"/>
      <c r="V251" s="10">
        <v>2250</v>
      </c>
      <c r="W251" s="60">
        <f>V251*T251</f>
        <v>26887.5</v>
      </c>
      <c r="X251" s="28"/>
      <c r="Y251" s="59">
        <v>0</v>
      </c>
      <c r="Z251" s="60"/>
      <c r="AA251" s="60">
        <f t="shared" si="36"/>
        <v>0</v>
      </c>
      <c r="AB251" s="60">
        <f t="shared" si="37"/>
        <v>0</v>
      </c>
      <c r="AC251" s="60">
        <f t="shared" si="40"/>
        <v>26887.5</v>
      </c>
      <c r="AD251" s="61"/>
      <c r="AE251" s="31"/>
      <c r="AF251" s="62"/>
      <c r="AG251" s="31"/>
      <c r="AH251" s="62"/>
      <c r="AI251" s="31"/>
      <c r="AJ251" s="28">
        <f t="shared" si="41"/>
        <v>0</v>
      </c>
      <c r="AK251" s="21"/>
      <c r="AM251" s="21"/>
      <c r="AO251" s="63"/>
      <c r="AP251" s="64"/>
      <c r="AR251" s="36"/>
      <c r="AS251" s="81"/>
      <c r="AT251" s="81"/>
      <c r="AU251" s="81"/>
      <c r="AV251" s="66"/>
      <c r="BB251" s="56"/>
    </row>
    <row r="252" spans="1:54" ht="18.75" outlineLevel="1" x14ac:dyDescent="0.3">
      <c r="A252">
        <v>9</v>
      </c>
      <c r="B252" t="s">
        <v>298</v>
      </c>
      <c r="C252">
        <v>338483</v>
      </c>
      <c r="D252" t="s">
        <v>312</v>
      </c>
      <c r="E252" t="s">
        <v>279</v>
      </c>
      <c r="F252" s="21">
        <f>+VLOOKUP(C252,'[1]stock au 25-03-25'!A:D,4,FALSE)</f>
        <v>9065</v>
      </c>
      <c r="G252" t="s">
        <v>45</v>
      </c>
      <c r="H252" s="22">
        <f>+VLOOKUP(C252,'[1]stock au 25-03-25'!A:F,6,FALSE)</f>
        <v>14.173436293436293</v>
      </c>
      <c r="I252" t="s">
        <v>46</v>
      </c>
      <c r="J252" s="56">
        <f>+VLOOKUP(C252,'[1]stock au 25-03-25'!A:H,8,FALSE)</f>
        <v>128482.2</v>
      </c>
      <c r="K252" t="s">
        <v>46</v>
      </c>
      <c r="L252" s="23">
        <v>16</v>
      </c>
      <c r="M252" t="s">
        <v>46</v>
      </c>
      <c r="N252" s="56">
        <f>+VLOOKUP(C252,'[1]stock au 25-03-25'!A:L,12,FALSE)</f>
        <v>145040</v>
      </c>
      <c r="Q252" t="s">
        <v>46</v>
      </c>
      <c r="R252" s="25">
        <v>14.9</v>
      </c>
      <c r="T252" s="26" t="s">
        <v>53</v>
      </c>
      <c r="U252" s="58" t="str">
        <f t="shared" si="50"/>
        <v/>
      </c>
      <c r="V252" s="10">
        <v>0</v>
      </c>
      <c r="W252" s="60">
        <f t="shared" si="38"/>
        <v>0</v>
      </c>
      <c r="X252" s="28">
        <v>14.9</v>
      </c>
      <c r="Y252" s="59">
        <v>-162.9756675000001</v>
      </c>
      <c r="Z252" s="60">
        <f t="shared" si="39"/>
        <v>-2428.3374457500017</v>
      </c>
      <c r="AA252" s="60">
        <f t="shared" si="36"/>
        <v>-2428.3374457500017</v>
      </c>
      <c r="AB252" s="60">
        <f t="shared" si="37"/>
        <v>0</v>
      </c>
      <c r="AC252" s="60">
        <f t="shared" si="40"/>
        <v>-2428.3374457500017</v>
      </c>
      <c r="AD252" s="61">
        <f>+VLOOKUP(C252,'[1]pic au 25-03'!C:R,16,FALSE)</f>
        <v>972.72433249999995</v>
      </c>
      <c r="AE252" s="31"/>
      <c r="AF252" s="62"/>
      <c r="AG252" s="31"/>
      <c r="AH252" s="62">
        <v>15563.589319999999</v>
      </c>
      <c r="AI252" s="31"/>
      <c r="AJ252" s="28">
        <f t="shared" si="41"/>
        <v>0</v>
      </c>
      <c r="AK252" s="21">
        <f>+VLOOKUP(C252,'[1]stock au 25-03-25'!A:X,24,FALSE)</f>
        <v>1135.7</v>
      </c>
      <c r="AL252" t="s">
        <v>45</v>
      </c>
      <c r="AM252" s="21">
        <f>IF(AD252-AK252&lt;0,0,AD252-AK252)</f>
        <v>0</v>
      </c>
      <c r="AN252" t="s">
        <v>45</v>
      </c>
      <c r="AO252" s="63">
        <v>0</v>
      </c>
      <c r="AP252" s="64">
        <f>IF(AM252&lt;0,0,AM252*R252)</f>
        <v>0</v>
      </c>
      <c r="AQ252" t="s">
        <v>46</v>
      </c>
      <c r="AR252" s="36" t="e">
        <f>(AP252-AO252)/AO252</f>
        <v>#DIV/0!</v>
      </c>
      <c r="AS252" s="81"/>
      <c r="AT252" s="81">
        <f>(AO252-J252)/J252</f>
        <v>-1</v>
      </c>
      <c r="AU252" s="81"/>
      <c r="AV252" s="66">
        <f>(AP252-J252)/J252</f>
        <v>-1</v>
      </c>
      <c r="BB252" s="56">
        <f>+R252*F252</f>
        <v>135068.5</v>
      </c>
    </row>
    <row r="253" spans="1:54" x14ac:dyDescent="0.25">
      <c r="A253" s="67"/>
      <c r="B253" s="67" t="s">
        <v>313</v>
      </c>
      <c r="C253" s="67"/>
      <c r="D253" s="67"/>
      <c r="E253" s="67"/>
      <c r="F253" s="79">
        <f>SUM(F239:F252)</f>
        <v>115575.02</v>
      </c>
      <c r="G253" s="67" t="s">
        <v>45</v>
      </c>
      <c r="H253" s="69"/>
      <c r="I253" s="67"/>
      <c r="J253" s="70">
        <f>SUM(J239:J252)</f>
        <v>1446937.45</v>
      </c>
      <c r="K253" s="67"/>
      <c r="L253" s="69"/>
      <c r="M253" s="67"/>
      <c r="N253" s="70">
        <f>SUM(N239:N252)</f>
        <v>1575936.1400000001</v>
      </c>
      <c r="O253" s="78"/>
      <c r="P253" s="78">
        <f>SUM(P239:P252)</f>
        <v>82.97999999999999</v>
      </c>
      <c r="Q253" s="78">
        <f>SUM(Q239:Q252)</f>
        <v>0</v>
      </c>
      <c r="R253" s="78"/>
      <c r="S253" s="78"/>
      <c r="T253" s="83"/>
      <c r="U253" s="83"/>
      <c r="V253" s="10">
        <v>0</v>
      </c>
      <c r="W253" s="60">
        <f>SUM(W239:W252)</f>
        <v>684845.5</v>
      </c>
      <c r="X253" s="28">
        <f>SUM(X239:X252)</f>
        <v>151.82699805068228</v>
      </c>
      <c r="Y253" s="59">
        <v>-13591.201000000001</v>
      </c>
      <c r="Z253" s="60">
        <f>SUM(Z239:Z252)</f>
        <v>755334.46312551189</v>
      </c>
      <c r="AA253" s="60">
        <f t="shared" si="36"/>
        <v>0</v>
      </c>
      <c r="AB253" s="60"/>
      <c r="AC253" s="60">
        <f t="shared" si="40"/>
        <v>1440179.963125512</v>
      </c>
      <c r="AD253" s="74">
        <f>SUM(AD239:AD252)</f>
        <v>127289.70586195664</v>
      </c>
      <c r="AE253" s="75"/>
      <c r="AF253" s="76">
        <f>SUM(AF239:AF252)</f>
        <v>1466868.2767931351</v>
      </c>
      <c r="AG253" s="75"/>
      <c r="AH253" s="76">
        <f>SUM(AH239:AH252)</f>
        <v>1570616.2409659715</v>
      </c>
      <c r="AI253" s="75"/>
      <c r="AJ253" s="28">
        <f>SUM(AJ239:AJ252)</f>
        <v>1375133.3005712624</v>
      </c>
      <c r="AK253" s="77">
        <f>SUM(AK239:AK252)</f>
        <v>13591.201000000001</v>
      </c>
      <c r="AL253" s="78">
        <f>SUM(AL239:AL252)</f>
        <v>0</v>
      </c>
      <c r="AM253" s="79">
        <f>SUM(AM239:AM252)</f>
        <v>113861.48052945665</v>
      </c>
      <c r="AN253" s="78" t="s">
        <v>45</v>
      </c>
      <c r="AO253" s="80">
        <f>SUM(AO239:AO252)</f>
        <v>1339335.7563911814</v>
      </c>
      <c r="AP253" s="80">
        <f>SUM(AP239:AP252)</f>
        <v>1462230.9896753505</v>
      </c>
      <c r="AQ253" s="67"/>
      <c r="AR253" s="81">
        <f>(AP253-AO253)/AO253</f>
        <v>9.1758345655840873E-2</v>
      </c>
      <c r="AS253" s="72">
        <f>AP253-AO253</f>
        <v>122895.23328416911</v>
      </c>
      <c r="AT253" s="81">
        <f>(AO253-J253)/J253</f>
        <v>-7.4365131408284837E-2</v>
      </c>
      <c r="AU253" s="82">
        <f>AO253-J253</f>
        <v>-107601.69360881858</v>
      </c>
      <c r="AV253" s="81">
        <f>(AP253-J253)/J253</f>
        <v>1.0569592815052603E-2</v>
      </c>
      <c r="AW253" s="72">
        <f>AP253-N253</f>
        <v>-113705.15032464964</v>
      </c>
      <c r="AX253" s="67"/>
      <c r="AY253" s="67"/>
      <c r="AZ253" s="81">
        <f>(AM253-F253)/F253</f>
        <v>-1.4826209595666584E-2</v>
      </c>
      <c r="BA253" s="81">
        <f>(AP253-N253)/N253</f>
        <v>-7.2150861598141686E-2</v>
      </c>
      <c r="BB253" s="78">
        <f>SUM(BB239:BB252)</f>
        <v>1446862.2999999998</v>
      </c>
    </row>
    <row r="254" spans="1:54" ht="18.75" outlineLevel="1" x14ac:dyDescent="0.3">
      <c r="A254">
        <v>10</v>
      </c>
      <c r="B254" t="s">
        <v>314</v>
      </c>
      <c r="C254">
        <v>339460</v>
      </c>
      <c r="D254" t="s">
        <v>315</v>
      </c>
      <c r="E254" t="s">
        <v>62</v>
      </c>
      <c r="F254" s="21">
        <f>+VLOOKUP(C254,'[1]stock au 25-03-25'!A:D,4,FALSE)</f>
        <v>620</v>
      </c>
      <c r="G254" t="s">
        <v>45</v>
      </c>
      <c r="H254" s="22">
        <f>+VLOOKUP(C254,'[1]stock au 25-03-25'!A:F,6,FALSE)</f>
        <v>5.1570967741935485</v>
      </c>
      <c r="I254" t="s">
        <v>46</v>
      </c>
      <c r="J254" s="56">
        <f>+VLOOKUP(C254,'[1]stock au 25-03-25'!A:H,8,FALSE)</f>
        <v>3197.4</v>
      </c>
      <c r="K254" t="s">
        <v>46</v>
      </c>
      <c r="L254" s="23">
        <v>5.12</v>
      </c>
      <c r="M254" t="s">
        <v>46</v>
      </c>
      <c r="N254" s="56">
        <f>+VLOOKUP(C254,'[1]stock au 25-03-25'!A:L,12,FALSE)</f>
        <v>3174.4</v>
      </c>
      <c r="P254" s="57">
        <v>5.12</v>
      </c>
      <c r="Q254" t="s">
        <v>46</v>
      </c>
      <c r="R254" s="25">
        <v>5.45</v>
      </c>
      <c r="T254" s="26">
        <v>5.64</v>
      </c>
      <c r="U254" s="58">
        <f t="shared" ref="U254:U255" si="53">IFERROR((T254-R254)/R254,"")</f>
        <v>3.4862385321100822E-2</v>
      </c>
      <c r="V254" s="10">
        <v>1300</v>
      </c>
      <c r="W254" s="60">
        <f t="shared" si="38"/>
        <v>7332</v>
      </c>
      <c r="X254" s="28">
        <v>5.64</v>
      </c>
      <c r="Y254" s="59">
        <v>-578.40347764631247</v>
      </c>
      <c r="Z254" s="60">
        <f t="shared" si="39"/>
        <v>-3262.195613925202</v>
      </c>
      <c r="AA254" s="60">
        <f t="shared" si="36"/>
        <v>-3152.2989531724029</v>
      </c>
      <c r="AB254" s="60">
        <f t="shared" si="37"/>
        <v>-109.89666075279911</v>
      </c>
      <c r="AC254" s="60">
        <f t="shared" si="40"/>
        <v>4069.804386074798</v>
      </c>
      <c r="AD254" s="61">
        <f>+VLOOKUP(C254,'[1]pic au 25-03'!C:R,16,FALSE)</f>
        <v>724.73152235368752</v>
      </c>
      <c r="AE254" s="31"/>
      <c r="AF254" s="62">
        <v>3710.6253944508803</v>
      </c>
      <c r="AG254" s="31"/>
      <c r="AH254" s="62">
        <v>3710.6253944508803</v>
      </c>
      <c r="AI254" s="31"/>
      <c r="AJ254" s="28">
        <f t="shared" si="41"/>
        <v>4069.8043860747975</v>
      </c>
      <c r="AK254" s="21">
        <f>+VLOOKUP(C254,'[1]stock au 25-03-25'!A:X,24,FALSE)</f>
        <v>3.1349999999999998</v>
      </c>
      <c r="AL254" t="s">
        <v>45</v>
      </c>
      <c r="AM254" s="21">
        <f>AD254-AK254</f>
        <v>721.59652235368753</v>
      </c>
      <c r="AN254" t="s">
        <v>45</v>
      </c>
      <c r="AO254" s="63">
        <v>3520.9125315704523</v>
      </c>
      <c r="AP254" s="64">
        <f>IF(AM254&lt;0,0,AM254*R254)</f>
        <v>3932.7010468275971</v>
      </c>
      <c r="AQ254" t="s">
        <v>46</v>
      </c>
      <c r="AR254" s="36">
        <f>(AP254-AO254)/AO254</f>
        <v>0.11695505399944499</v>
      </c>
      <c r="AS254" s="81"/>
      <c r="AT254" s="81">
        <f>(AO254-J254)/J254</f>
        <v>0.10117987476401208</v>
      </c>
      <c r="AU254" s="81"/>
      <c r="AV254" s="66">
        <f>(AP254-J254)/J254</f>
        <v>0.22996842648013918</v>
      </c>
      <c r="BB254" s="56">
        <f>+R254*F254</f>
        <v>3379</v>
      </c>
    </row>
    <row r="255" spans="1:54" ht="18.75" outlineLevel="1" x14ac:dyDescent="0.3">
      <c r="A255">
        <v>10</v>
      </c>
      <c r="B255" t="s">
        <v>314</v>
      </c>
      <c r="C255">
        <v>338021</v>
      </c>
      <c r="D255" t="s">
        <v>316</v>
      </c>
      <c r="E255" t="s">
        <v>62</v>
      </c>
      <c r="F255" s="21">
        <f>+VLOOKUP(C255,'[1]stock au 25-03-25'!A:D,4,FALSE)</f>
        <v>133</v>
      </c>
      <c r="G255" t="s">
        <v>45</v>
      </c>
      <c r="H255" s="22">
        <f>+VLOOKUP(C255,'[1]stock au 25-03-25'!A:F,6,FALSE)</f>
        <v>16.653383458646616</v>
      </c>
      <c r="I255" t="s">
        <v>46</v>
      </c>
      <c r="J255" s="56">
        <f>+VLOOKUP(C255,'[1]stock au 25-03-25'!A:H,8,FALSE)</f>
        <v>2214.9</v>
      </c>
      <c r="K255" t="s">
        <v>46</v>
      </c>
      <c r="L255" s="23">
        <v>17.88</v>
      </c>
      <c r="M255" t="s">
        <v>46</v>
      </c>
      <c r="N255" s="56">
        <f>+VLOOKUP(C255,'[1]stock au 25-03-25'!A:L,12,FALSE)</f>
        <v>2378.04</v>
      </c>
      <c r="P255" s="57">
        <v>17.88</v>
      </c>
      <c r="Q255" t="s">
        <v>46</v>
      </c>
      <c r="R255" s="25">
        <f>H255*(1+VLOOKUP(A255,'[1]Variation MP'!$B$3:$D$22,3))</f>
        <v>16.653383458646616</v>
      </c>
      <c r="T255" s="26" t="s">
        <v>53</v>
      </c>
      <c r="U255" s="58" t="str">
        <f t="shared" si="53"/>
        <v/>
      </c>
      <c r="V255" s="10">
        <v>0</v>
      </c>
      <c r="W255" s="60">
        <f t="shared" si="38"/>
        <v>0</v>
      </c>
      <c r="X255" s="28">
        <v>16.653383458646616</v>
      </c>
      <c r="Y255" s="59">
        <v>43.875849009259262</v>
      </c>
      <c r="Z255" s="60">
        <f t="shared" si="39"/>
        <v>730.68133812487474</v>
      </c>
      <c r="AA255" s="60">
        <f t="shared" si="36"/>
        <v>730.68133812487474</v>
      </c>
      <c r="AB255" s="60">
        <f t="shared" si="37"/>
        <v>0</v>
      </c>
      <c r="AC255" s="60">
        <f t="shared" si="40"/>
        <v>730.68133812487474</v>
      </c>
      <c r="AD255" s="61">
        <f>+VLOOKUP(C255,'[1]pic au 25-03'!C:R,16,FALSE)</f>
        <v>50.859278009259263</v>
      </c>
      <c r="AE255" s="31"/>
      <c r="AF255" s="62">
        <v>909.36389080555546</v>
      </c>
      <c r="AG255" s="31"/>
      <c r="AH255" s="62">
        <v>909.36389080555546</v>
      </c>
      <c r="AI255" s="31"/>
      <c r="AJ255" s="28">
        <f t="shared" si="41"/>
        <v>730.68133812487474</v>
      </c>
      <c r="AK255" s="21">
        <f>+VLOOKUP(C255,'[1]stock au 25-03-25'!A:X,24,FALSE)</f>
        <v>6.9834290000000001</v>
      </c>
      <c r="AL255" t="s">
        <v>45</v>
      </c>
      <c r="AM255" s="21">
        <f>AD255-AK255</f>
        <v>43.875849009259262</v>
      </c>
      <c r="AN255" t="s">
        <v>45</v>
      </c>
      <c r="AO255" s="63">
        <v>698.51757618126555</v>
      </c>
      <c r="AP255" s="64">
        <f>IF(AM255&lt;0,0,AM255*R255)</f>
        <v>730.68133812487474</v>
      </c>
      <c r="AQ255" t="s">
        <v>46</v>
      </c>
      <c r="AR255" s="36">
        <f>(AP255-AO255)/AO255</f>
        <v>4.6045744646034045E-2</v>
      </c>
      <c r="AS255" s="81"/>
      <c r="AT255" s="81">
        <f>(AO255-J255)/J255</f>
        <v>-0.68462793978000558</v>
      </c>
      <c r="AU255" s="81"/>
      <c r="AV255" s="66">
        <f>(AP255-J255)/J255</f>
        <v>-0.67010639842662201</v>
      </c>
      <c r="BB255" s="56">
        <f>+R255*F255</f>
        <v>2214.9</v>
      </c>
    </row>
    <row r="256" spans="1:54" x14ac:dyDescent="0.25">
      <c r="A256" s="67"/>
      <c r="B256" s="67" t="s">
        <v>317</v>
      </c>
      <c r="C256" s="67"/>
      <c r="D256" s="67"/>
      <c r="E256" s="67"/>
      <c r="F256" s="79">
        <f>SUM(F254:F255)</f>
        <v>753</v>
      </c>
      <c r="G256" s="67" t="s">
        <v>45</v>
      </c>
      <c r="H256" s="69"/>
      <c r="I256" s="67"/>
      <c r="J256" s="70">
        <f>SUM(J254:J255)</f>
        <v>5412.3</v>
      </c>
      <c r="K256" s="67"/>
      <c r="L256" s="69"/>
      <c r="M256" s="67"/>
      <c r="N256" s="70">
        <f>SUM(N254:N255)</f>
        <v>5552.4400000000005</v>
      </c>
      <c r="O256" s="78"/>
      <c r="P256" s="78">
        <f>SUM(P254:P255)</f>
        <v>23</v>
      </c>
      <c r="Q256" s="78">
        <f>SUM(Q254:Q255)</f>
        <v>0</v>
      </c>
      <c r="R256" s="78"/>
      <c r="S256" s="78"/>
      <c r="T256" s="83"/>
      <c r="U256" s="83"/>
      <c r="V256" s="10">
        <v>0</v>
      </c>
      <c r="W256" s="60">
        <f>SUM(W254:W255)</f>
        <v>7332</v>
      </c>
      <c r="X256" s="28">
        <f>SUM(X254:X255)</f>
        <v>22.293383458646616</v>
      </c>
      <c r="Y256" s="59">
        <v>-10.118428999999999</v>
      </c>
      <c r="Z256" s="60">
        <f>SUM(Z254:Z255)</f>
        <v>-2531.5142758003271</v>
      </c>
      <c r="AA256" s="60">
        <f t="shared" si="36"/>
        <v>0</v>
      </c>
      <c r="AB256" s="60"/>
      <c r="AC256" s="60">
        <f t="shared" si="40"/>
        <v>4800.4857241996724</v>
      </c>
      <c r="AD256" s="74">
        <f>SUM(AD254:AD255)</f>
        <v>775.59080036294677</v>
      </c>
      <c r="AE256" s="75"/>
      <c r="AF256" s="76">
        <f>SUM(AF254:AF255)</f>
        <v>4619.9892852564353</v>
      </c>
      <c r="AG256" s="75"/>
      <c r="AH256" s="76">
        <f>SUM(AH254:AH255)</f>
        <v>4619.9892852564353</v>
      </c>
      <c r="AI256" s="75"/>
      <c r="AJ256" s="28">
        <f>SUM(AJ254:AJ255)</f>
        <v>4800.4857241996724</v>
      </c>
      <c r="AK256" s="77">
        <f>SUM(AK254:AK255)</f>
        <v>10.118428999999999</v>
      </c>
      <c r="AL256" s="78">
        <f>SUM(AL254:AL255)</f>
        <v>0</v>
      </c>
      <c r="AM256" s="79">
        <f>SUM(AM254:AM255)</f>
        <v>765.47237136294677</v>
      </c>
      <c r="AN256" s="78" t="s">
        <v>45</v>
      </c>
      <c r="AO256" s="80">
        <f>SUM(AO254:AO255)</f>
        <v>4219.4301077517175</v>
      </c>
      <c r="AP256" s="80">
        <f>SUM(AP254:AP255)</f>
        <v>4663.3823849524715</v>
      </c>
      <c r="AQ256" s="67"/>
      <c r="AR256" s="81">
        <f>(AP256-AO256)/AO256</f>
        <v>0.10521617039826017</v>
      </c>
      <c r="AS256" s="81"/>
      <c r="AT256" s="81">
        <f>(AO256-J256)/J256</f>
        <v>-0.22039981010813936</v>
      </c>
      <c r="AU256" s="82">
        <f>AO256-J256</f>
        <v>-1192.8698922482827</v>
      </c>
      <c r="AV256" s="81">
        <f>(AP256-J256)/J256</f>
        <v>-0.13837326368596137</v>
      </c>
      <c r="AW256" s="72">
        <f>AP256-N256</f>
        <v>-889.057615047529</v>
      </c>
      <c r="AX256" s="67"/>
      <c r="AY256" s="67"/>
      <c r="AZ256" s="81">
        <f>(AM256-F256)/F256</f>
        <v>1.656357418718031E-2</v>
      </c>
      <c r="BA256" s="81">
        <f>(AP256-N256)/N256</f>
        <v>-0.1601201660977028</v>
      </c>
      <c r="BB256" s="78">
        <f>SUM(BB254:BB255)</f>
        <v>5593.9</v>
      </c>
    </row>
    <row r="257" spans="1:54" ht="18.75" outlineLevel="1" x14ac:dyDescent="0.3">
      <c r="A257">
        <v>11</v>
      </c>
      <c r="B257" t="s">
        <v>318</v>
      </c>
      <c r="C257">
        <v>338461</v>
      </c>
      <c r="D257" t="s">
        <v>319</v>
      </c>
      <c r="E257" t="s">
        <v>62</v>
      </c>
      <c r="F257" s="21">
        <f>+VLOOKUP(C257,'[1]stock au 25-03-25'!A:D,4,FALSE)</f>
        <v>209690</v>
      </c>
      <c r="G257" t="s">
        <v>45</v>
      </c>
      <c r="H257" s="22">
        <f>+VLOOKUP(C257,'[1]stock au 25-03-25'!A:F,6,FALSE)</f>
        <v>3.074216700844103</v>
      </c>
      <c r="I257" t="s">
        <v>46</v>
      </c>
      <c r="J257" s="56">
        <f>+VLOOKUP(C257,'[1]stock au 25-03-25'!A:H,8,FALSE)</f>
        <v>644632.5</v>
      </c>
      <c r="K257" t="s">
        <v>46</v>
      </c>
      <c r="L257" s="23">
        <v>3.3</v>
      </c>
      <c r="M257" t="s">
        <v>46</v>
      </c>
      <c r="N257" s="56">
        <f>+VLOOKUP(C257,'[1]stock au 25-03-25'!A:L,12,FALSE)</f>
        <v>691977</v>
      </c>
      <c r="P257" s="57">
        <v>3.3</v>
      </c>
      <c r="Q257" t="s">
        <v>46</v>
      </c>
      <c r="R257" s="25">
        <v>3.57</v>
      </c>
      <c r="T257" s="26">
        <v>3.4817462932454695</v>
      </c>
      <c r="U257" s="58">
        <f t="shared" ref="U257:U270" si="54">IFERROR((T257-R257)/R257,"")</f>
        <v>-2.4720926261773215E-2</v>
      </c>
      <c r="V257" s="10">
        <v>97120</v>
      </c>
      <c r="W257" s="60">
        <f t="shared" si="38"/>
        <v>338147.2</v>
      </c>
      <c r="X257" s="28">
        <v>3.4838475499092558</v>
      </c>
      <c r="Y257" s="59">
        <v>129674.63786662011</v>
      </c>
      <c r="Z257" s="60">
        <f t="shared" si="39"/>
        <v>451766.66941699444</v>
      </c>
      <c r="AA257" s="60">
        <f t="shared" si="36"/>
        <v>462938.45718383376</v>
      </c>
      <c r="AB257" s="60">
        <f t="shared" si="37"/>
        <v>-11171.787766839319</v>
      </c>
      <c r="AC257" s="60">
        <f t="shared" si="40"/>
        <v>789913.86941699451</v>
      </c>
      <c r="AD257" s="61">
        <f>+VLOOKUP(C257,'[1]pic au 25-03'!C:R,16,FALSE)</f>
        <v>238470.7170406201</v>
      </c>
      <c r="AE257" s="31"/>
      <c r="AF257" s="62">
        <v>800658.25155276654</v>
      </c>
      <c r="AG257" s="31"/>
      <c r="AH257" s="62">
        <v>800658.25155276654</v>
      </c>
      <c r="AI257" s="31"/>
      <c r="AJ257" s="28">
        <f t="shared" si="41"/>
        <v>790117.94346418139</v>
      </c>
      <c r="AK257" s="21">
        <f>+VLOOKUP(C257,'[1]stock au 25-03-25'!A:X,24,FALSE)</f>
        <v>11676.079174</v>
      </c>
      <c r="AL257" t="s">
        <v>45</v>
      </c>
      <c r="AM257" s="21">
        <f t="shared" ref="AM257:AM270" si="55">IF(AD257-AK257&lt;0,0,AD257-AK257)</f>
        <v>226794.63786662009</v>
      </c>
      <c r="AN257" t="s">
        <v>45</v>
      </c>
      <c r="AO257" s="63">
        <v>704128.40479690011</v>
      </c>
      <c r="AP257" s="64">
        <f t="shared" ref="AP257:AP270" si="56">IF(AM257&lt;0,0,AM257*R257)</f>
        <v>809656.85718383372</v>
      </c>
      <c r="AQ257" t="s">
        <v>46</v>
      </c>
      <c r="AR257" s="36">
        <f>(AP257-AO257)/AO257</f>
        <v>0.14987103441363425</v>
      </c>
      <c r="AS257" s="81"/>
      <c r="AT257" s="81">
        <f>(AO257-J257)/J257</f>
        <v>9.2294299150136108E-2</v>
      </c>
      <c r="AU257" s="81"/>
      <c r="AV257" s="66">
        <f>(AP257-J257)/J257</f>
        <v>0.25599757564788267</v>
      </c>
      <c r="BB257" s="56">
        <f>+R257*F257</f>
        <v>748593.29999999993</v>
      </c>
    </row>
    <row r="258" spans="1:54" ht="18.75" outlineLevel="1" x14ac:dyDescent="0.3">
      <c r="A258">
        <v>11</v>
      </c>
      <c r="B258" t="s">
        <v>318</v>
      </c>
      <c r="C258">
        <v>338230</v>
      </c>
      <c r="D258" t="s">
        <v>320</v>
      </c>
      <c r="E258" t="s">
        <v>62</v>
      </c>
      <c r="F258" s="21">
        <f>+VLOOKUP(C258,'[1]stock au 25-03-25'!A:D,4,FALSE)</f>
        <v>32680</v>
      </c>
      <c r="G258" t="s">
        <v>45</v>
      </c>
      <c r="H258" s="22">
        <f>+VLOOKUP(C258,'[1]stock au 25-03-25'!A:F,6,FALSE)</f>
        <v>7.3395838433292537</v>
      </c>
      <c r="I258" t="s">
        <v>46</v>
      </c>
      <c r="J258" s="56">
        <f>+VLOOKUP(C258,'[1]stock au 25-03-25'!A:H,8,FALSE)</f>
        <v>239857.6</v>
      </c>
      <c r="K258" t="s">
        <v>46</v>
      </c>
      <c r="L258" s="23">
        <v>6.4</v>
      </c>
      <c r="M258" t="s">
        <v>46</v>
      </c>
      <c r="N258" s="56">
        <f>+VLOOKUP(C258,'[1]stock au 25-03-25'!A:L,12,FALSE)</f>
        <v>209152</v>
      </c>
      <c r="P258" s="57">
        <v>6.4</v>
      </c>
      <c r="Q258" t="s">
        <v>46</v>
      </c>
      <c r="R258" s="25">
        <v>8</v>
      </c>
      <c r="T258" s="26">
        <v>8.0935753424657531</v>
      </c>
      <c r="U258" s="58">
        <f t="shared" si="54"/>
        <v>1.1696917808219132E-2</v>
      </c>
      <c r="V258" s="10">
        <v>14600</v>
      </c>
      <c r="W258" s="60">
        <f t="shared" si="38"/>
        <v>118166.2</v>
      </c>
      <c r="X258" s="28">
        <v>8.23</v>
      </c>
      <c r="Y258" s="59">
        <v>26524.995449514161</v>
      </c>
      <c r="Z258" s="60">
        <f t="shared" si="39"/>
        <v>218300.71254950156</v>
      </c>
      <c r="AA258" s="60">
        <f t="shared" si="36"/>
        <v>212199.96359611329</v>
      </c>
      <c r="AB258" s="60">
        <f t="shared" si="37"/>
        <v>6100.7489533882763</v>
      </c>
      <c r="AC258" s="60">
        <f t="shared" si="40"/>
        <v>336466.91254950158</v>
      </c>
      <c r="AD258" s="61">
        <f>+VLOOKUP(C258,'[1]pic au 25-03'!C:R,16,FALSE)</f>
        <v>41876.233449514162</v>
      </c>
      <c r="AE258" s="31"/>
      <c r="AF258" s="62">
        <v>268106.56349860493</v>
      </c>
      <c r="AG258" s="31"/>
      <c r="AH258" s="62">
        <v>268106.56349860493</v>
      </c>
      <c r="AI258" s="31"/>
      <c r="AJ258" s="28">
        <f t="shared" si="41"/>
        <v>338458.71254950156</v>
      </c>
      <c r="AK258" s="21">
        <f>+VLOOKUP(C258,'[1]stock au 25-03-25'!A:X,24,FALSE)</f>
        <v>751.23800000000006</v>
      </c>
      <c r="AL258" t="s">
        <v>45</v>
      </c>
      <c r="AM258" s="21">
        <f t="shared" si="55"/>
        <v>41124.995449514165</v>
      </c>
      <c r="AN258" t="s">
        <v>45</v>
      </c>
      <c r="AO258" s="63">
        <v>291604.60616503295</v>
      </c>
      <c r="AP258" s="64">
        <f t="shared" si="56"/>
        <v>328999.96359611332</v>
      </c>
      <c r="AQ258" t="s">
        <v>46</v>
      </c>
      <c r="AR258" s="36">
        <f>(AP258-AO258)/AO258</f>
        <v>0.12823994079817982</v>
      </c>
      <c r="AS258" s="81"/>
      <c r="AT258" s="81">
        <f>(AO258-J258)/J258</f>
        <v>0.21574053173646757</v>
      </c>
      <c r="AU258" s="81"/>
      <c r="AV258" s="66">
        <f>(AP258-J258)/J258</f>
        <v>0.37164702555229984</v>
      </c>
      <c r="BB258" s="56">
        <f>+R258*F258</f>
        <v>261440</v>
      </c>
    </row>
    <row r="259" spans="1:54" ht="18.75" outlineLevel="1" x14ac:dyDescent="0.3">
      <c r="A259">
        <v>11</v>
      </c>
      <c r="B259" t="s">
        <v>318</v>
      </c>
      <c r="C259">
        <v>338463</v>
      </c>
      <c r="D259" t="s">
        <v>321</v>
      </c>
      <c r="E259" t="s">
        <v>62</v>
      </c>
      <c r="F259" s="21">
        <f>+VLOOKUP(C259,'[1]stock au 25-03-25'!A:D,4,FALSE)</f>
        <v>20605</v>
      </c>
      <c r="G259" t="s">
        <v>45</v>
      </c>
      <c r="H259" s="22">
        <f>+VLOOKUP(C259,'[1]stock au 25-03-25'!A:F,6,FALSE)</f>
        <v>4.839388497937394</v>
      </c>
      <c r="I259" t="s">
        <v>46</v>
      </c>
      <c r="J259" s="56">
        <f>+VLOOKUP(C259,'[1]stock au 25-03-25'!A:H,8,FALSE)</f>
        <v>99715.6</v>
      </c>
      <c r="K259" t="s">
        <v>46</v>
      </c>
      <c r="L259" s="23">
        <v>5.03</v>
      </c>
      <c r="M259" t="s">
        <v>46</v>
      </c>
      <c r="N259" s="56">
        <f>+VLOOKUP(C259,'[1]stock au 25-03-25'!A:L,12,FALSE)</f>
        <v>103643.15000000001</v>
      </c>
      <c r="P259" s="57">
        <v>5.03</v>
      </c>
      <c r="Q259" t="s">
        <v>46</v>
      </c>
      <c r="R259" s="25">
        <v>5.05</v>
      </c>
      <c r="T259" s="26">
        <v>5.1444822797181216</v>
      </c>
      <c r="U259" s="58">
        <f t="shared" si="54"/>
        <v>1.8709362320420145E-2</v>
      </c>
      <c r="V259" s="10">
        <v>9720.5</v>
      </c>
      <c r="W259" s="60">
        <f t="shared" si="38"/>
        <v>50006.94</v>
      </c>
      <c r="X259" s="28">
        <v>5.2</v>
      </c>
      <c r="Y259" s="59">
        <v>15460.883511546785</v>
      </c>
      <c r="Z259" s="60">
        <f t="shared" si="39"/>
        <v>80396.594260043275</v>
      </c>
      <c r="AA259" s="60">
        <f t="shared" si="36"/>
        <v>78077.461733311255</v>
      </c>
      <c r="AB259" s="60">
        <f t="shared" si="37"/>
        <v>2319.1325267320208</v>
      </c>
      <c r="AC259" s="60">
        <f t="shared" si="40"/>
        <v>130403.53426004328</v>
      </c>
      <c r="AD259" s="61">
        <f>+VLOOKUP(C259,'[1]pic au 25-03'!C:R,16,FALSE)</f>
        <v>26000.133511546785</v>
      </c>
      <c r="AE259" s="31"/>
      <c r="AF259" s="62">
        <v>130780.67156308031</v>
      </c>
      <c r="AG259" s="31"/>
      <c r="AH259" s="62">
        <v>130780.67156308031</v>
      </c>
      <c r="AI259" s="31"/>
      <c r="AJ259" s="28">
        <f t="shared" si="41"/>
        <v>130943.19426004328</v>
      </c>
      <c r="AK259" s="21">
        <f>+VLOOKUP(C259,'[1]stock au 25-03-25'!A:X,24,FALSE)</f>
        <v>818.75</v>
      </c>
      <c r="AL259" t="s">
        <v>45</v>
      </c>
      <c r="AM259" s="21">
        <f t="shared" si="55"/>
        <v>25181.383511546785</v>
      </c>
      <c r="AN259" t="s">
        <v>45</v>
      </c>
      <c r="AO259" s="63">
        <v>118811.83388824573</v>
      </c>
      <c r="AP259" s="64">
        <f t="shared" si="56"/>
        <v>127165.98673331126</v>
      </c>
      <c r="AQ259" t="s">
        <v>46</v>
      </c>
      <c r="AR259" s="36">
        <f>(AP259-AO259)/AO259</f>
        <v>7.0314147771874627E-2</v>
      </c>
      <c r="AS259" s="81"/>
      <c r="AT259" s="81">
        <f>(AO259-J259)/J259</f>
        <v>0.19150698474707795</v>
      </c>
      <c r="AU259" s="81"/>
      <c r="AV259" s="66">
        <f>(AP259-J259)/J259</f>
        <v>0.27528678294380476</v>
      </c>
      <c r="BB259" s="56">
        <f>+R259*F259</f>
        <v>104055.25</v>
      </c>
    </row>
    <row r="260" spans="1:54" ht="18.75" outlineLevel="1" x14ac:dyDescent="0.3">
      <c r="A260">
        <v>11</v>
      </c>
      <c r="B260" t="s">
        <v>318</v>
      </c>
      <c r="C260">
        <v>361009</v>
      </c>
      <c r="D260" t="s">
        <v>322</v>
      </c>
      <c r="E260" t="s">
        <v>62</v>
      </c>
      <c r="F260" s="21">
        <f>+VLOOKUP(C260,'[1]stock au 25-03-25'!A:D,4,FALSE)</f>
        <v>2983.018</v>
      </c>
      <c r="G260" t="s">
        <v>45</v>
      </c>
      <c r="H260" s="22">
        <f>+VLOOKUP(C260,'[1]stock au 25-03-25'!A:F,6,FALSE)</f>
        <v>13.021141675980502</v>
      </c>
      <c r="I260" t="s">
        <v>46</v>
      </c>
      <c r="J260" s="56">
        <f>+VLOOKUP(C260,'[1]stock au 25-03-25'!A:H,8,FALSE)</f>
        <v>38842.300000000003</v>
      </c>
      <c r="K260" t="s">
        <v>46</v>
      </c>
      <c r="L260" s="23">
        <v>6.24</v>
      </c>
      <c r="M260" t="s">
        <v>46</v>
      </c>
      <c r="N260" s="56">
        <f>+VLOOKUP(C260,'[1]stock au 25-03-25'!A:L,12,FALSE)</f>
        <v>38779.234000000004</v>
      </c>
      <c r="P260" s="57">
        <v>12.99</v>
      </c>
      <c r="Q260" t="s">
        <v>46</v>
      </c>
      <c r="R260" s="25">
        <v>13.13</v>
      </c>
      <c r="T260" s="26">
        <v>13.129993375544975</v>
      </c>
      <c r="U260" s="58">
        <f t="shared" si="54"/>
        <v>-5.0452818167683655E-7</v>
      </c>
      <c r="V260" s="10">
        <v>649.11</v>
      </c>
      <c r="W260" s="60">
        <f t="shared" si="38"/>
        <v>8522.81</v>
      </c>
      <c r="X260" s="28">
        <v>13.130005608524957</v>
      </c>
      <c r="Y260" s="59">
        <v>5030.8900000000003</v>
      </c>
      <c r="Z260" s="60">
        <f t="shared" si="39"/>
        <v>66055.61391587212</v>
      </c>
      <c r="AA260" s="60">
        <f t="shared" ref="AA260:AA278" si="57">SUM(Y260*R260)</f>
        <v>66055.585700000011</v>
      </c>
      <c r="AB260" s="60">
        <f t="shared" ref="AB260:AB323" si="58">Z260-AA260</f>
        <v>2.8215872109285556E-2</v>
      </c>
      <c r="AC260" s="60">
        <f t="shared" si="40"/>
        <v>74578.423915872118</v>
      </c>
      <c r="AD260" s="61">
        <f>+VLOOKUP(C260,'[1]pic au 25-03'!C:R,16,FALSE)</f>
        <v>5680</v>
      </c>
      <c r="AE260" s="31"/>
      <c r="AF260" s="62">
        <v>73783.199999999997</v>
      </c>
      <c r="AG260" s="31"/>
      <c r="AH260" s="62">
        <v>35443.200000000004</v>
      </c>
      <c r="AI260" s="31"/>
      <c r="AJ260" s="28">
        <f t="shared" si="41"/>
        <v>74578.431856421754</v>
      </c>
      <c r="AK260" s="21">
        <f>+VLOOKUP(C260,'[1]stock au 25-03-25'!A:X,24,FALSE)</f>
        <v>0</v>
      </c>
      <c r="AL260" t="s">
        <v>45</v>
      </c>
      <c r="AM260" s="21">
        <f t="shared" si="55"/>
        <v>5680</v>
      </c>
      <c r="AN260" t="s">
        <v>45</v>
      </c>
      <c r="AO260" s="63">
        <v>73932.131381131316</v>
      </c>
      <c r="AP260" s="64">
        <f t="shared" si="56"/>
        <v>74578.400000000009</v>
      </c>
      <c r="AQ260" t="s">
        <v>46</v>
      </c>
      <c r="AR260" s="36">
        <f>(AP260-AO260)/AO260</f>
        <v>8.7413768113498661E-3</v>
      </c>
      <c r="AS260" s="81"/>
      <c r="AT260" s="81">
        <f>(AO260-J260)/J260</f>
        <v>0.90339221367249911</v>
      </c>
      <c r="AU260" s="81"/>
      <c r="AV260" s="66">
        <f>(AP260-J260)/J260</f>
        <v>0.92003048223199968</v>
      </c>
      <c r="BB260" s="56">
        <f>+R260*F260</f>
        <v>39167.026340000004</v>
      </c>
    </row>
    <row r="261" spans="1:54" ht="18.75" outlineLevel="1" x14ac:dyDescent="0.3">
      <c r="A261">
        <v>11</v>
      </c>
      <c r="B261" t="s">
        <v>318</v>
      </c>
      <c r="C261">
        <v>338240</v>
      </c>
      <c r="D261" t="s">
        <v>323</v>
      </c>
      <c r="E261" t="s">
        <v>62</v>
      </c>
      <c r="F261" s="21">
        <f>+VLOOKUP(C261,'[1]stock au 25-03-25'!A:D,4,FALSE)</f>
        <v>3312</v>
      </c>
      <c r="G261" t="s">
        <v>45</v>
      </c>
      <c r="H261" s="22">
        <f>+VLOOKUP(C261,'[1]stock au 25-03-25'!A:F,6,FALSE)</f>
        <v>13.815126811594203</v>
      </c>
      <c r="I261" t="s">
        <v>46</v>
      </c>
      <c r="J261" s="56">
        <f>+VLOOKUP(C261,'[1]stock au 25-03-25'!A:H,8,FALSE)</f>
        <v>45755.7</v>
      </c>
      <c r="K261" t="s">
        <v>46</v>
      </c>
      <c r="L261" s="23">
        <v>13.9</v>
      </c>
      <c r="M261" t="s">
        <v>46</v>
      </c>
      <c r="N261" s="56">
        <f>+VLOOKUP(C261,'[1]stock au 25-03-25'!A:L,12,FALSE)</f>
        <v>46036.800000000003</v>
      </c>
      <c r="P261" s="57">
        <v>13.9</v>
      </c>
      <c r="Q261" t="s">
        <v>46</v>
      </c>
      <c r="R261" s="25">
        <v>14.9</v>
      </c>
      <c r="T261" s="26">
        <v>14.55</v>
      </c>
      <c r="U261" s="58">
        <f t="shared" si="54"/>
        <v>-2.3489932885906017E-2</v>
      </c>
      <c r="V261" s="10">
        <v>1950</v>
      </c>
      <c r="W261" s="60">
        <f t="shared" si="38"/>
        <v>28372.5</v>
      </c>
      <c r="X261" s="28">
        <v>16.8</v>
      </c>
      <c r="Y261" s="59">
        <v>1117.6150001773506</v>
      </c>
      <c r="Z261" s="60">
        <f t="shared" si="39"/>
        <v>18775.932002979491</v>
      </c>
      <c r="AA261" s="60">
        <f t="shared" si="57"/>
        <v>16652.463502642524</v>
      </c>
      <c r="AB261" s="60">
        <f t="shared" si="58"/>
        <v>2123.4685003369668</v>
      </c>
      <c r="AC261" s="60">
        <f t="shared" ref="AC261:AC324" si="59">+W261+Z261</f>
        <v>47148.432002979491</v>
      </c>
      <c r="AD261" s="61">
        <f>+VLOOKUP(C261,'[1]pic au 25-03'!C:R,16,FALSE)</f>
        <v>3276.3860001773505</v>
      </c>
      <c r="AE261" s="31"/>
      <c r="AF261" s="62">
        <v>45541.765402465171</v>
      </c>
      <c r="AG261" s="31"/>
      <c r="AH261" s="62">
        <v>45541.765402465171</v>
      </c>
      <c r="AI261" s="31"/>
      <c r="AJ261" s="28">
        <f t="shared" ref="AJ261:AJ324" si="60">X261*AM261</f>
        <v>51535.932002979491</v>
      </c>
      <c r="AK261" s="21">
        <f>+VLOOKUP(C261,'[1]stock au 25-03-25'!A:X,24,FALSE)</f>
        <v>208.77099999999999</v>
      </c>
      <c r="AL261" t="s">
        <v>45</v>
      </c>
      <c r="AM261" s="21">
        <f t="shared" si="55"/>
        <v>3067.6150001773503</v>
      </c>
      <c r="AN261" t="s">
        <v>45</v>
      </c>
      <c r="AO261" s="63">
        <v>42373.069514688133</v>
      </c>
      <c r="AP261" s="64">
        <f t="shared" si="56"/>
        <v>45707.463502642524</v>
      </c>
      <c r="AQ261" t="s">
        <v>46</v>
      </c>
      <c r="AR261" s="36">
        <f>(AP261-AO261)/AO261</f>
        <v>7.8691348683119625E-2</v>
      </c>
      <c r="AS261" s="81"/>
      <c r="AT261" s="81">
        <f>(AO261-J261)/J261</f>
        <v>-7.3928067657403645E-2</v>
      </c>
      <c r="AU261" s="81"/>
      <c r="AV261" s="66">
        <f>(AP261-J261)/J261</f>
        <v>-1.0542183237820235E-3</v>
      </c>
      <c r="BB261" s="56">
        <f>+R261*F261</f>
        <v>49348.800000000003</v>
      </c>
    </row>
    <row r="262" spans="1:54" ht="18.75" outlineLevel="1" x14ac:dyDescent="0.3">
      <c r="A262">
        <v>11</v>
      </c>
      <c r="B262" t="s">
        <v>318</v>
      </c>
      <c r="C262">
        <v>338234</v>
      </c>
      <c r="D262" t="s">
        <v>324</v>
      </c>
      <c r="E262" t="s">
        <v>62</v>
      </c>
      <c r="F262" s="21">
        <f>+VLOOKUP(C262,'[1]stock au 25-03-25'!A:D,4,FALSE)</f>
        <v>8999</v>
      </c>
      <c r="G262" t="s">
        <v>45</v>
      </c>
      <c r="H262" s="22">
        <f>+VLOOKUP(C262,'[1]stock au 25-03-25'!A:F,6,FALSE)</f>
        <v>5.5700633403711519</v>
      </c>
      <c r="I262" t="s">
        <v>46</v>
      </c>
      <c r="J262" s="56">
        <f>+VLOOKUP(C262,'[1]stock au 25-03-25'!A:H,8,FALSE)</f>
        <v>50125</v>
      </c>
      <c r="K262" t="s">
        <v>46</v>
      </c>
      <c r="L262" s="23">
        <v>6.48</v>
      </c>
      <c r="M262" t="s">
        <v>46</v>
      </c>
      <c r="N262" s="56">
        <f>+VLOOKUP(C262,'[1]stock au 25-03-25'!A:L,12,FALSE)</f>
        <v>58313.520000000004</v>
      </c>
      <c r="P262" s="57">
        <v>6.44</v>
      </c>
      <c r="Q262" t="s">
        <v>46</v>
      </c>
      <c r="R262" s="25">
        <v>6.2</v>
      </c>
      <c r="T262" s="26">
        <v>6.05</v>
      </c>
      <c r="U262" s="58">
        <f t="shared" si="54"/>
        <v>-2.4193548387096833E-2</v>
      </c>
      <c r="V262" s="10">
        <v>4000</v>
      </c>
      <c r="W262" s="60">
        <f t="shared" ref="W262:W325" si="61">IFERROR(V262*T262,0)</f>
        <v>24200</v>
      </c>
      <c r="X262" s="28">
        <v>6.05</v>
      </c>
      <c r="Y262" s="59">
        <v>2006.0526837885866</v>
      </c>
      <c r="Z262" s="60">
        <f t="shared" ref="Z262:Z325" si="62">Y262*X262</f>
        <v>12136.618736920949</v>
      </c>
      <c r="AA262" s="60">
        <f t="shared" si="57"/>
        <v>12437.526639489237</v>
      </c>
      <c r="AB262" s="60">
        <f t="shared" si="58"/>
        <v>-300.90790256828768</v>
      </c>
      <c r="AC262" s="60">
        <f t="shared" si="59"/>
        <v>36336.618736920951</v>
      </c>
      <c r="AD262" s="61">
        <f>+VLOOKUP(C262,'[1]pic au 25-03'!C:R,16,FALSE)</f>
        <v>7387.8926837885865</v>
      </c>
      <c r="AE262" s="31"/>
      <c r="AF262" s="62">
        <v>47578.028883598505</v>
      </c>
      <c r="AG262" s="31"/>
      <c r="AH262" s="62">
        <v>47873.544590950049</v>
      </c>
      <c r="AI262" s="31"/>
      <c r="AJ262" s="28">
        <f t="shared" si="60"/>
        <v>36336.618736920944</v>
      </c>
      <c r="AK262" s="21">
        <f>+VLOOKUP(C262,'[1]stock au 25-03-25'!A:X,24,FALSE)</f>
        <v>1381.84</v>
      </c>
      <c r="AL262" t="s">
        <v>45</v>
      </c>
      <c r="AM262" s="21">
        <f t="shared" si="55"/>
        <v>6006.0526837885864</v>
      </c>
      <c r="AN262" t="s">
        <v>45</v>
      </c>
      <c r="AO262" s="63">
        <v>37194.94399513556</v>
      </c>
      <c r="AP262" s="64">
        <f t="shared" si="56"/>
        <v>37237.526639489239</v>
      </c>
      <c r="AQ262" t="s">
        <v>46</v>
      </c>
      <c r="AR262" s="36">
        <f>(AP262-AO262)/AO262</f>
        <v>1.144850342004762E-3</v>
      </c>
      <c r="AS262" s="81"/>
      <c r="AT262" s="81">
        <f>(AO262-J262)/J262</f>
        <v>-0.25795622952348013</v>
      </c>
      <c r="AU262" s="81"/>
      <c r="AV262" s="66">
        <f>(AP262-J262)/J262</f>
        <v>-0.25710670045906758</v>
      </c>
      <c r="BB262" s="56">
        <f>+R262*F262</f>
        <v>55793.8</v>
      </c>
    </row>
    <row r="263" spans="1:54" ht="18.75" outlineLevel="1" x14ac:dyDescent="0.3">
      <c r="A263">
        <v>11</v>
      </c>
      <c r="B263" t="s">
        <v>318</v>
      </c>
      <c r="C263">
        <v>339495</v>
      </c>
      <c r="D263" t="s">
        <v>325</v>
      </c>
      <c r="E263" t="s">
        <v>62</v>
      </c>
      <c r="F263" s="21">
        <f>+VLOOKUP(C263,'[1]stock au 25-03-25'!A:D,4,FALSE)</f>
        <v>738.2</v>
      </c>
      <c r="G263" t="s">
        <v>45</v>
      </c>
      <c r="H263" s="22">
        <f>+VLOOKUP(C263,'[1]stock au 25-03-25'!A:F,6,FALSE)</f>
        <v>17.101449471687889</v>
      </c>
      <c r="I263" t="s">
        <v>46</v>
      </c>
      <c r="J263" s="56">
        <f>+VLOOKUP(C263,'[1]stock au 25-03-25'!A:H,8,FALSE)</f>
        <v>12624.29</v>
      </c>
      <c r="K263" t="s">
        <v>46</v>
      </c>
      <c r="L263" s="23">
        <v>17.54</v>
      </c>
      <c r="M263" t="s">
        <v>46</v>
      </c>
      <c r="N263" s="56">
        <f>+VLOOKUP(C263,'[1]stock au 25-03-25'!A:L,12,FALSE)</f>
        <v>12948.028</v>
      </c>
      <c r="P263" s="57">
        <v>17.54</v>
      </c>
      <c r="Q263" t="s">
        <v>46</v>
      </c>
      <c r="R263" s="25">
        <v>17.2</v>
      </c>
      <c r="T263" s="26" t="s">
        <v>53</v>
      </c>
      <c r="U263" s="58" t="str">
        <f t="shared" si="54"/>
        <v/>
      </c>
      <c r="V263" s="10">
        <v>0</v>
      </c>
      <c r="W263" s="60">
        <f t="shared" si="61"/>
        <v>0</v>
      </c>
      <c r="X263" s="28">
        <v>17.2</v>
      </c>
      <c r="Y263" s="59">
        <v>741.14486392156869</v>
      </c>
      <c r="Z263" s="60">
        <f t="shared" si="62"/>
        <v>12747.69165945098</v>
      </c>
      <c r="AA263" s="60">
        <f t="shared" si="57"/>
        <v>12747.69165945098</v>
      </c>
      <c r="AB263" s="60">
        <f t="shared" si="58"/>
        <v>0</v>
      </c>
      <c r="AC263" s="60">
        <f t="shared" si="59"/>
        <v>12747.69165945098</v>
      </c>
      <c r="AD263" s="61">
        <f>+VLOOKUP(C263,'[1]pic au 25-03'!C:R,16,FALSE)</f>
        <v>741.14486392156869</v>
      </c>
      <c r="AE263" s="31"/>
      <c r="AF263" s="62">
        <v>12999.680913184313</v>
      </c>
      <c r="AG263" s="31"/>
      <c r="AH263" s="62">
        <v>12999.680913184313</v>
      </c>
      <c r="AI263" s="31"/>
      <c r="AJ263" s="28">
        <f t="shared" si="60"/>
        <v>12747.69165945098</v>
      </c>
      <c r="AK263" s="21">
        <f>+VLOOKUP(C263,'[1]stock au 25-03-25'!A:X,24,FALSE)</f>
        <v>0</v>
      </c>
      <c r="AL263" t="s">
        <v>45</v>
      </c>
      <c r="AM263" s="21">
        <f t="shared" si="55"/>
        <v>741.14486392156869</v>
      </c>
      <c r="AN263" t="s">
        <v>45</v>
      </c>
      <c r="AO263" s="63">
        <v>12671.557391094168</v>
      </c>
      <c r="AP263" s="64">
        <f t="shared" si="56"/>
        <v>12747.69165945098</v>
      </c>
      <c r="AQ263" t="s">
        <v>46</v>
      </c>
      <c r="AR263" s="36">
        <f>(AP263-AO263)/AO263</f>
        <v>6.0082802773968012E-3</v>
      </c>
      <c r="AS263" s="81"/>
      <c r="AT263" s="81">
        <f>(AO263-J263)/J263</f>
        <v>3.744162332627551E-3</v>
      </c>
      <c r="AU263" s="81"/>
      <c r="AV263" s="66">
        <f>(AP263-J263)/J263</f>
        <v>9.7749385867228512E-3</v>
      </c>
      <c r="BB263" s="56">
        <f>+R263*F263</f>
        <v>12697.04</v>
      </c>
    </row>
    <row r="264" spans="1:54" ht="18.75" outlineLevel="1" x14ac:dyDescent="0.3">
      <c r="A264">
        <v>11</v>
      </c>
      <c r="B264" t="s">
        <v>318</v>
      </c>
      <c r="C264">
        <v>361003</v>
      </c>
      <c r="D264" t="s">
        <v>326</v>
      </c>
      <c r="E264" t="s">
        <v>62</v>
      </c>
      <c r="F264" s="21">
        <f>+VLOOKUP(C264,'[1]stock au 25-03-25'!A:D,4,FALSE)</f>
        <v>834.09</v>
      </c>
      <c r="G264" t="s">
        <v>45</v>
      </c>
      <c r="H264" s="22">
        <f>+VLOOKUP(C264,'[1]stock au 25-03-25'!A:F,6,FALSE)</f>
        <v>12.979990168926614</v>
      </c>
      <c r="I264" t="s">
        <v>46</v>
      </c>
      <c r="J264" s="56">
        <f>+VLOOKUP(C264,'[1]stock au 25-03-25'!A:H,8,FALSE)</f>
        <v>10826.48</v>
      </c>
      <c r="K264" t="s">
        <v>46</v>
      </c>
      <c r="L264" s="23">
        <v>12.99</v>
      </c>
      <c r="M264" t="s">
        <v>46</v>
      </c>
      <c r="N264" s="56">
        <f>+VLOOKUP(C264,'[1]stock au 25-03-25'!A:L,12,FALSE)</f>
        <v>10834.829100000001</v>
      </c>
      <c r="P264" s="57">
        <v>12.99</v>
      </c>
      <c r="Q264" t="s">
        <v>46</v>
      </c>
      <c r="R264" s="25">
        <f>H264*(1+VLOOKUP(A264,'[1]Variation MP'!$B$3:$D$22,3))</f>
        <v>12.979990168926614</v>
      </c>
      <c r="T264" s="26">
        <v>13.130024856432675</v>
      </c>
      <c r="U264" s="58">
        <f t="shared" si="54"/>
        <v>1.155892150559833E-2</v>
      </c>
      <c r="V264" s="10">
        <v>116.67</v>
      </c>
      <c r="W264" s="60">
        <f t="shared" si="61"/>
        <v>1531.88</v>
      </c>
      <c r="X264" s="28">
        <v>13.692979719188767</v>
      </c>
      <c r="Y264" s="59">
        <v>622.78389600000003</v>
      </c>
      <c r="Z264" s="60">
        <f t="shared" si="62"/>
        <v>8527.7672573653672</v>
      </c>
      <c r="AA264" s="60">
        <f t="shared" si="57"/>
        <v>8083.7288474458155</v>
      </c>
      <c r="AB264" s="60">
        <f t="shared" si="58"/>
        <v>444.03840991955167</v>
      </c>
      <c r="AC264" s="60">
        <f t="shared" si="59"/>
        <v>10059.647257365366</v>
      </c>
      <c r="AD264" s="61">
        <f>+VLOOKUP(C264,'[1]pic au 25-03'!C:R,16,FALSE)</f>
        <v>879.58889599999998</v>
      </c>
      <c r="AE264" s="31"/>
      <c r="AF264" s="62">
        <v>11425.85975904</v>
      </c>
      <c r="AG264" s="31"/>
      <c r="AH264" s="62">
        <v>11425.85975904</v>
      </c>
      <c r="AI264" s="31"/>
      <c r="AJ264" s="28">
        <f t="shared" si="60"/>
        <v>10125.327201203119</v>
      </c>
      <c r="AK264" s="21">
        <f>+VLOOKUP(C264,'[1]stock au 25-03-25'!A:X,24,FALSE)</f>
        <v>140.13499999999999</v>
      </c>
      <c r="AL264" t="s">
        <v>45</v>
      </c>
      <c r="AM264" s="21">
        <f t="shared" si="55"/>
        <v>739.45389599999999</v>
      </c>
      <c r="AN264" t="s">
        <v>45</v>
      </c>
      <c r="AO264" s="63">
        <v>9598.1043004544827</v>
      </c>
      <c r="AP264" s="64">
        <f t="shared" si="56"/>
        <v>9598.1043004544827</v>
      </c>
      <c r="AQ264" t="s">
        <v>46</v>
      </c>
      <c r="AR264" s="36">
        <f>(AP264-AO264)/AO264</f>
        <v>0</v>
      </c>
      <c r="AS264" s="81"/>
      <c r="AT264" s="81">
        <f>(AO264-J264)/J264</f>
        <v>-0.11346030284501675</v>
      </c>
      <c r="AU264" s="81"/>
      <c r="AV264" s="66">
        <f>(AP264-J264)/J264</f>
        <v>-0.11346030284501675</v>
      </c>
      <c r="BB264" s="56">
        <f>+R264*F264</f>
        <v>10826.48</v>
      </c>
    </row>
    <row r="265" spans="1:54" ht="18.75" outlineLevel="1" x14ac:dyDescent="0.3">
      <c r="A265">
        <v>11</v>
      </c>
      <c r="B265" t="s">
        <v>318</v>
      </c>
      <c r="C265">
        <v>338238</v>
      </c>
      <c r="D265" t="s">
        <v>327</v>
      </c>
      <c r="E265" t="s">
        <v>62</v>
      </c>
      <c r="F265" s="21">
        <f>+VLOOKUP(C265,'[1]stock au 25-03-25'!A:D,4,FALSE)</f>
        <v>8960</v>
      </c>
      <c r="G265" t="s">
        <v>45</v>
      </c>
      <c r="H265" s="22">
        <f>+VLOOKUP(C265,'[1]stock au 25-03-25'!A:F,6,FALSE)</f>
        <v>0.87250000000000005</v>
      </c>
      <c r="I265" t="s">
        <v>46</v>
      </c>
      <c r="J265" s="56">
        <f>+VLOOKUP(C265,'[1]stock au 25-03-25'!A:H,8,FALSE)</f>
        <v>7817.6</v>
      </c>
      <c r="K265" t="s">
        <v>46</v>
      </c>
      <c r="L265" s="23">
        <v>0.88</v>
      </c>
      <c r="M265" t="s">
        <v>46</v>
      </c>
      <c r="N265" s="56">
        <f>+VLOOKUP(C265,'[1]stock au 25-03-25'!A:L,12,FALSE)</f>
        <v>7884.8</v>
      </c>
      <c r="P265" s="57">
        <v>0.88</v>
      </c>
      <c r="Q265" t="s">
        <v>46</v>
      </c>
      <c r="R265" s="25">
        <v>0.93</v>
      </c>
      <c r="T265" s="26">
        <v>0.93474999999999997</v>
      </c>
      <c r="U265" s="58">
        <f t="shared" si="54"/>
        <v>5.1075268817203446E-3</v>
      </c>
      <c r="V265" s="10">
        <v>6400</v>
      </c>
      <c r="W265" s="60">
        <f t="shared" si="61"/>
        <v>5982.4</v>
      </c>
      <c r="X265" s="28">
        <v>0.94</v>
      </c>
      <c r="Y265" s="59">
        <v>-504.812063410257</v>
      </c>
      <c r="Z265" s="60">
        <f t="shared" si="62"/>
        <v>-474.52333960564152</v>
      </c>
      <c r="AA265" s="60">
        <f t="shared" si="57"/>
        <v>-469.47521897153905</v>
      </c>
      <c r="AB265" s="60">
        <f t="shared" si="58"/>
        <v>-5.0481206341024745</v>
      </c>
      <c r="AC265" s="60">
        <f t="shared" si="59"/>
        <v>5507.8766603943577</v>
      </c>
      <c r="AD265" s="61">
        <f>+VLOOKUP(C265,'[1]pic au 25-03'!C:R,16,FALSE)</f>
        <v>6570.361936589743</v>
      </c>
      <c r="AE265" s="31"/>
      <c r="AF265" s="62">
        <v>5781.9185041989749</v>
      </c>
      <c r="AG265" s="31"/>
      <c r="AH265" s="62">
        <v>5781.9185041989749</v>
      </c>
      <c r="AI265" s="31"/>
      <c r="AJ265" s="28">
        <f t="shared" si="60"/>
        <v>5541.4766603943581</v>
      </c>
      <c r="AK265" s="21">
        <f>+VLOOKUP(C265,'[1]stock au 25-03-25'!A:X,24,FALSE)</f>
        <v>675.17399999999998</v>
      </c>
      <c r="AL265" t="s">
        <v>45</v>
      </c>
      <c r="AM265" s="21">
        <f t="shared" si="55"/>
        <v>5895.187936589743</v>
      </c>
      <c r="AN265" t="s">
        <v>45</v>
      </c>
      <c r="AO265" s="63">
        <v>5240.9797289413918</v>
      </c>
      <c r="AP265" s="64">
        <f t="shared" si="56"/>
        <v>5482.5247810284609</v>
      </c>
      <c r="AQ265" t="s">
        <v>46</v>
      </c>
      <c r="AR265" s="36">
        <f>(AP265-AO265)/AO265</f>
        <v>4.6087766902288316E-2</v>
      </c>
      <c r="AS265" s="81"/>
      <c r="AT265" s="81">
        <f>(AO265-J265)/J265</f>
        <v>-0.3295922368832645</v>
      </c>
      <c r="AU265" s="81"/>
      <c r="AV265" s="66">
        <f>(AP265-J265)/J265</f>
        <v>-0.29869464016725583</v>
      </c>
      <c r="BB265" s="56">
        <f>+R265*F265</f>
        <v>8332.8000000000011</v>
      </c>
    </row>
    <row r="266" spans="1:54" ht="18.75" outlineLevel="1" x14ac:dyDescent="0.3">
      <c r="A266">
        <v>11</v>
      </c>
      <c r="B266" t="s">
        <v>318</v>
      </c>
      <c r="C266">
        <v>340382</v>
      </c>
      <c r="D266" t="s">
        <v>328</v>
      </c>
      <c r="E266" t="s">
        <v>62</v>
      </c>
      <c r="F266" s="21">
        <f>+VLOOKUP(C266,'[1]stock au 25-03-25'!A:D,4,FALSE)</f>
        <v>1600</v>
      </c>
      <c r="G266" t="s">
        <v>45</v>
      </c>
      <c r="H266" s="22">
        <f>+VLOOKUP(C266,'[1]stock au 25-03-25'!A:F,6,FALSE)</f>
        <v>9.1843749999999993</v>
      </c>
      <c r="I266" t="s">
        <v>46</v>
      </c>
      <c r="J266" s="56">
        <f>+VLOOKUP(C266,'[1]stock au 25-03-25'!A:H,8,FALSE)</f>
        <v>14695</v>
      </c>
      <c r="K266" t="s">
        <v>46</v>
      </c>
      <c r="L266" s="23">
        <v>10.28</v>
      </c>
      <c r="M266" t="s">
        <v>46</v>
      </c>
      <c r="N266" s="56">
        <f>+VLOOKUP(C266,'[1]stock au 25-03-25'!A:L,12,FALSE)</f>
        <v>16448</v>
      </c>
      <c r="P266" s="57">
        <v>10.28</v>
      </c>
      <c r="Q266" t="s">
        <v>46</v>
      </c>
      <c r="R266" s="25">
        <f>H266*(1+VLOOKUP(A266,'[1]Variation MP'!$B$3:$D$22,3))</f>
        <v>9.1843749999999993</v>
      </c>
      <c r="T266" s="26">
        <v>9.5649999999999995</v>
      </c>
      <c r="U266" s="58">
        <f t="shared" si="54"/>
        <v>4.1442667574004791E-2</v>
      </c>
      <c r="V266" s="10">
        <v>200</v>
      </c>
      <c r="W266" s="60">
        <f t="shared" si="61"/>
        <v>1913</v>
      </c>
      <c r="X266" s="28">
        <v>9.5649999999999995</v>
      </c>
      <c r="Y266" s="59">
        <v>307.60295109477534</v>
      </c>
      <c r="Z266" s="60">
        <f t="shared" si="62"/>
        <v>2942.2222272215258</v>
      </c>
      <c r="AA266" s="60">
        <f t="shared" si="57"/>
        <v>2825.140853961077</v>
      </c>
      <c r="AB266" s="60">
        <f t="shared" si="58"/>
        <v>117.0813732604488</v>
      </c>
      <c r="AC266" s="60">
        <f t="shared" si="59"/>
        <v>4855.2222272215258</v>
      </c>
      <c r="AD266" s="61">
        <f>+VLOOKUP(C266,'[1]pic au 25-03'!C:R,16,FALSE)</f>
        <v>747.68864609477532</v>
      </c>
      <c r="AE266" s="31"/>
      <c r="AF266" s="62">
        <v>7686.2392818542885</v>
      </c>
      <c r="AG266" s="31"/>
      <c r="AH266" s="62">
        <v>7686.2392818542885</v>
      </c>
      <c r="AI266" s="31"/>
      <c r="AJ266" s="28">
        <f t="shared" si="60"/>
        <v>4855.2222272215258</v>
      </c>
      <c r="AK266" s="21">
        <f>+VLOOKUP(C266,'[1]stock au 25-03-25'!A:X,24,FALSE)</f>
        <v>240.08569499999999</v>
      </c>
      <c r="AL266" t="s">
        <v>45</v>
      </c>
      <c r="AM266" s="21">
        <f t="shared" si="55"/>
        <v>507.60295109477534</v>
      </c>
      <c r="AN266" t="s">
        <v>45</v>
      </c>
      <c r="AO266" s="63">
        <v>3802.9861017288063</v>
      </c>
      <c r="AP266" s="64">
        <f t="shared" si="56"/>
        <v>4662.0158539610766</v>
      </c>
      <c r="AQ266" t="s">
        <v>46</v>
      </c>
      <c r="AR266" s="36">
        <f>(AP266-AO266)/AO266</f>
        <v>0.22588295861553701</v>
      </c>
      <c r="AS266" s="81"/>
      <c r="AT266" s="81">
        <f>(AO266-J266)/J266</f>
        <v>-0.74120543710589959</v>
      </c>
      <c r="AU266" s="81"/>
      <c r="AV266" s="66">
        <f>(AP266-J266)/J266</f>
        <v>-0.68274815556576551</v>
      </c>
      <c r="BB266" s="56">
        <f>+R266*F266</f>
        <v>14694.999999999998</v>
      </c>
    </row>
    <row r="267" spans="1:54" ht="18.75" outlineLevel="1" x14ac:dyDescent="0.3">
      <c r="A267">
        <v>11</v>
      </c>
      <c r="B267" t="s">
        <v>318</v>
      </c>
      <c r="C267">
        <v>343033</v>
      </c>
      <c r="D267" t="s">
        <v>329</v>
      </c>
      <c r="E267" t="s">
        <v>62</v>
      </c>
      <c r="F267" s="21">
        <f>+VLOOKUP(C267,'[1]stock au 25-03-25'!A:D,4,FALSE)</f>
        <v>300</v>
      </c>
      <c r="G267" t="s">
        <v>45</v>
      </c>
      <c r="H267" s="22">
        <f>+VLOOKUP(C267,'[1]stock au 25-03-25'!A:F,6,FALSE)</f>
        <v>13.5</v>
      </c>
      <c r="I267" t="s">
        <v>46</v>
      </c>
      <c r="J267" s="56">
        <f>+VLOOKUP(C267,'[1]stock au 25-03-25'!A:H,8,FALSE)</f>
        <v>4050</v>
      </c>
      <c r="K267" t="s">
        <v>46</v>
      </c>
      <c r="L267" s="23">
        <v>13.5</v>
      </c>
      <c r="M267" t="s">
        <v>46</v>
      </c>
      <c r="N267" s="56">
        <f>+VLOOKUP(C267,'[1]stock au 25-03-25'!A:L,12,FALSE)</f>
        <v>4050</v>
      </c>
      <c r="Q267" t="s">
        <v>46</v>
      </c>
      <c r="R267" s="25">
        <f>H267*(1+VLOOKUP(A267,'[1]Variation MP'!$B$3:$D$22,3))</f>
        <v>13.5</v>
      </c>
      <c r="T267" s="26" t="s">
        <v>53</v>
      </c>
      <c r="U267" s="58" t="str">
        <f t="shared" si="54"/>
        <v/>
      </c>
      <c r="V267" s="10">
        <v>0</v>
      </c>
      <c r="W267" s="60">
        <f t="shared" si="61"/>
        <v>0</v>
      </c>
      <c r="X267" s="28">
        <v>13.5</v>
      </c>
      <c r="Y267" s="59">
        <v>223</v>
      </c>
      <c r="Z267" s="60">
        <f t="shared" si="62"/>
        <v>3010.5</v>
      </c>
      <c r="AA267" s="60">
        <f t="shared" si="57"/>
        <v>3010.5</v>
      </c>
      <c r="AB267" s="60">
        <f t="shared" si="58"/>
        <v>0</v>
      </c>
      <c r="AC267" s="60">
        <f t="shared" si="59"/>
        <v>3010.5</v>
      </c>
      <c r="AD267" s="61">
        <f>+VLOOKUP(C267,'[1]pic au 25-03'!C:R,16,FALSE)</f>
        <v>256.5</v>
      </c>
      <c r="AE267" s="31"/>
      <c r="AF267" s="62"/>
      <c r="AG267" s="31"/>
      <c r="AH267" s="62">
        <v>3462.75</v>
      </c>
      <c r="AI267" s="31"/>
      <c r="AJ267" s="28">
        <f t="shared" si="60"/>
        <v>3010.5</v>
      </c>
      <c r="AK267" s="21">
        <f>+VLOOKUP(C267,'[1]stock au 25-03-25'!A:X,24,FALSE)</f>
        <v>33.5</v>
      </c>
      <c r="AL267" t="s">
        <v>45</v>
      </c>
      <c r="AM267" s="21">
        <f t="shared" si="55"/>
        <v>223</v>
      </c>
      <c r="AN267" t="s">
        <v>45</v>
      </c>
      <c r="AO267" s="63">
        <v>3010.5</v>
      </c>
      <c r="AP267" s="64">
        <f t="shared" si="56"/>
        <v>3010.5</v>
      </c>
      <c r="AQ267" t="s">
        <v>46</v>
      </c>
      <c r="AR267" s="36">
        <f>(AP267-AO267)/AO267</f>
        <v>0</v>
      </c>
      <c r="AS267" s="81"/>
      <c r="AT267" s="81">
        <f>(AO267-J267)/J267</f>
        <v>-0.25666666666666665</v>
      </c>
      <c r="AU267" s="81"/>
      <c r="AV267" s="66">
        <f>(AP267-J267)/J267</f>
        <v>-0.25666666666666665</v>
      </c>
      <c r="BB267" s="56">
        <f>+R267*F267</f>
        <v>4050</v>
      </c>
    </row>
    <row r="268" spans="1:54" ht="18.75" outlineLevel="1" x14ac:dyDescent="0.3">
      <c r="A268">
        <v>11</v>
      </c>
      <c r="B268" t="s">
        <v>318</v>
      </c>
      <c r="C268">
        <v>350001</v>
      </c>
      <c r="D268" t="s">
        <v>330</v>
      </c>
      <c r="E268" t="s">
        <v>87</v>
      </c>
      <c r="F268" s="21">
        <f>+VLOOKUP(C268,'[1]stock au 25-03-25'!A:D,4,FALSE)</f>
        <v>70</v>
      </c>
      <c r="G268" t="s">
        <v>45</v>
      </c>
      <c r="H268" s="22">
        <f>+VLOOKUP(C268,'[1]stock au 25-03-25'!A:F,6,FALSE)</f>
        <v>8.65</v>
      </c>
      <c r="I268" t="s">
        <v>46</v>
      </c>
      <c r="J268" s="56">
        <f>+VLOOKUP(C268,'[1]stock au 25-03-25'!A:H,8,FALSE)</f>
        <v>605.5</v>
      </c>
      <c r="K268" t="s">
        <v>46</v>
      </c>
      <c r="L268" s="23">
        <v>11.6</v>
      </c>
      <c r="M268" t="s">
        <v>46</v>
      </c>
      <c r="N268" s="56">
        <f>+VLOOKUP(C268,'[1]stock au 25-03-25'!A:L,12,FALSE)</f>
        <v>812</v>
      </c>
      <c r="Q268" t="s">
        <v>46</v>
      </c>
      <c r="R268" s="25">
        <f>H268*(1+VLOOKUP(A268,'[1]Variation MP'!$B$3:$D$22,3))</f>
        <v>8.65</v>
      </c>
      <c r="T268" s="26">
        <v>10.08047619047619</v>
      </c>
      <c r="U268" s="58">
        <f t="shared" si="54"/>
        <v>0.1653729699972474</v>
      </c>
      <c r="V268" s="10">
        <v>105</v>
      </c>
      <c r="W268" s="60">
        <f t="shared" si="61"/>
        <v>1058.45</v>
      </c>
      <c r="X268" s="28">
        <v>8.7357142857142858</v>
      </c>
      <c r="Y268" s="59">
        <v>212.39700611111101</v>
      </c>
      <c r="Z268" s="60">
        <f t="shared" si="62"/>
        <v>1855.4395605277768</v>
      </c>
      <c r="AA268" s="60">
        <f t="shared" si="57"/>
        <v>1837.2341028611104</v>
      </c>
      <c r="AB268" s="60">
        <f t="shared" si="58"/>
        <v>18.205457666666462</v>
      </c>
      <c r="AC268" s="60">
        <f t="shared" si="59"/>
        <v>2913.8895605277767</v>
      </c>
      <c r="AD268" s="61">
        <f>+VLOOKUP(C268,'[1]pic au 25-03'!C:R,16,FALSE)</f>
        <v>317.39700611111101</v>
      </c>
      <c r="AE268" s="31"/>
      <c r="AF268" s="62"/>
      <c r="AG268" s="31"/>
      <c r="AH268" s="62">
        <v>3681.805270888889</v>
      </c>
      <c r="AI268" s="31"/>
      <c r="AJ268" s="28">
        <f t="shared" si="60"/>
        <v>2772.6895605277768</v>
      </c>
      <c r="AK268" s="21">
        <f>+VLOOKUP(C268,'[1]stock au 25-03-25'!A:X,24,FALSE)</f>
        <v>0</v>
      </c>
      <c r="AL268" t="s">
        <v>45</v>
      </c>
      <c r="AM268" s="21">
        <f t="shared" si="55"/>
        <v>317.39700611111101</v>
      </c>
      <c r="AN268" t="s">
        <v>45</v>
      </c>
      <c r="AO268" s="63">
        <v>2441.6961028611113</v>
      </c>
      <c r="AP268" s="64">
        <f t="shared" si="56"/>
        <v>2745.4841028611104</v>
      </c>
      <c r="AQ268" t="s">
        <v>46</v>
      </c>
      <c r="AR268" s="36">
        <f>(AP268-AO268)/AO268</f>
        <v>0.1244167935739541</v>
      </c>
      <c r="AS268" s="81"/>
      <c r="AT268" s="81">
        <f>(AO268-J268)/J268</f>
        <v>3.032528658730159</v>
      </c>
      <c r="AU268" s="81"/>
      <c r="AV268" s="66">
        <f>(AP268-J268)/J268</f>
        <v>3.5342429444444434</v>
      </c>
      <c r="BB268" s="56">
        <f>+R268*F268</f>
        <v>605.5</v>
      </c>
    </row>
    <row r="269" spans="1:54" ht="18.75" outlineLevel="1" x14ac:dyDescent="0.3">
      <c r="A269">
        <v>11</v>
      </c>
      <c r="B269" t="s">
        <v>318</v>
      </c>
      <c r="C269">
        <v>338478</v>
      </c>
      <c r="D269" t="s">
        <v>331</v>
      </c>
      <c r="E269" t="s">
        <v>62</v>
      </c>
      <c r="F269" s="21">
        <f>+VLOOKUP(C269,'[1]stock au 25-03-25'!A:D,4,FALSE)</f>
        <v>1</v>
      </c>
      <c r="G269" t="s">
        <v>45</v>
      </c>
      <c r="H269" s="22">
        <f>+VLOOKUP(C269,'[1]stock au 25-03-25'!A:F,6,FALSE)</f>
        <v>1629.6</v>
      </c>
      <c r="I269" t="s">
        <v>46</v>
      </c>
      <c r="J269" s="56">
        <f>+VLOOKUP(C269,'[1]stock au 25-03-25'!A:H,8,FALSE)</f>
        <v>1629.6</v>
      </c>
      <c r="K269" t="s">
        <v>46</v>
      </c>
      <c r="L269" s="23"/>
      <c r="M269" t="s">
        <v>46</v>
      </c>
      <c r="N269" s="56">
        <f>+VLOOKUP(C269,'[1]stock au 25-03-25'!A:L,12,FALSE)</f>
        <v>0</v>
      </c>
      <c r="Q269" t="s">
        <v>46</v>
      </c>
      <c r="R269" s="25">
        <v>1</v>
      </c>
      <c r="T269" s="26" t="s">
        <v>53</v>
      </c>
      <c r="U269" s="58" t="str">
        <f t="shared" si="54"/>
        <v/>
      </c>
      <c r="V269" s="10">
        <v>0</v>
      </c>
      <c r="W269" s="60">
        <f t="shared" si="61"/>
        <v>0</v>
      </c>
      <c r="X269" s="28">
        <v>1</v>
      </c>
      <c r="Y269" s="59">
        <v>0</v>
      </c>
      <c r="Z269" s="60">
        <f t="shared" si="62"/>
        <v>0</v>
      </c>
      <c r="AA269" s="60">
        <f t="shared" si="57"/>
        <v>0</v>
      </c>
      <c r="AB269" s="60">
        <f t="shared" si="58"/>
        <v>0</v>
      </c>
      <c r="AC269" s="60">
        <f t="shared" si="59"/>
        <v>0</v>
      </c>
      <c r="AD269" s="61">
        <v>0</v>
      </c>
      <c r="AE269" s="31"/>
      <c r="AF269" s="62"/>
      <c r="AG269" s="31"/>
      <c r="AH269" s="62"/>
      <c r="AI269" s="31"/>
      <c r="AJ269" s="28">
        <f t="shared" si="60"/>
        <v>0</v>
      </c>
      <c r="AK269" s="21">
        <f>+VLOOKUP(C269,'[1]stock au 25-03-25'!A:X,24,FALSE)</f>
        <v>0</v>
      </c>
      <c r="AL269" t="s">
        <v>45</v>
      </c>
      <c r="AM269" s="21">
        <f t="shared" si="55"/>
        <v>0</v>
      </c>
      <c r="AN269" t="s">
        <v>45</v>
      </c>
      <c r="AO269" s="63"/>
      <c r="AP269" s="64">
        <f t="shared" si="56"/>
        <v>0</v>
      </c>
      <c r="AQ269" t="s">
        <v>46</v>
      </c>
      <c r="AR269" s="36" t="e">
        <f>(AP269-AO269)/AO269</f>
        <v>#DIV/0!</v>
      </c>
      <c r="AS269" s="81"/>
      <c r="AT269" s="81">
        <f>(AO269-J269)/J269</f>
        <v>-1</v>
      </c>
      <c r="AU269" s="81"/>
      <c r="AV269" s="66">
        <f>(AP269-J269)/J269</f>
        <v>-1</v>
      </c>
      <c r="BB269" s="56">
        <f>+R269*F269</f>
        <v>1</v>
      </c>
    </row>
    <row r="270" spans="1:54" ht="18.75" outlineLevel="1" x14ac:dyDescent="0.3">
      <c r="A270">
        <v>11</v>
      </c>
      <c r="B270" t="s">
        <v>318</v>
      </c>
      <c r="C270">
        <v>339498</v>
      </c>
      <c r="D270" t="s">
        <v>332</v>
      </c>
      <c r="E270" t="s">
        <v>62</v>
      </c>
      <c r="F270" s="21">
        <f>+VLOOKUP(C270,'[1]stock au 25-03-25'!A:D,4,FALSE)</f>
        <v>120</v>
      </c>
      <c r="G270" t="s">
        <v>45</v>
      </c>
      <c r="H270" s="22">
        <f>+VLOOKUP(C270,'[1]stock au 25-03-25'!A:F,6,FALSE)</f>
        <v>10.96</v>
      </c>
      <c r="I270" t="s">
        <v>46</v>
      </c>
      <c r="J270" s="56">
        <f>+VLOOKUP(C270,'[1]stock au 25-03-25'!A:H,8,FALSE)</f>
        <v>1315.2</v>
      </c>
      <c r="K270" t="s">
        <v>46</v>
      </c>
      <c r="L270" s="23">
        <v>8.42</v>
      </c>
      <c r="M270" t="s">
        <v>46</v>
      </c>
      <c r="N270" s="56">
        <f>+VLOOKUP(C270,'[1]stock au 25-03-25'!A:L,12,FALSE)</f>
        <v>1010.4</v>
      </c>
      <c r="P270" s="57">
        <v>8.42</v>
      </c>
      <c r="Q270" t="s">
        <v>46</v>
      </c>
      <c r="R270" s="25">
        <v>11.05</v>
      </c>
      <c r="T270" s="26" t="s">
        <v>53</v>
      </c>
      <c r="U270" s="58" t="str">
        <f t="shared" si="54"/>
        <v/>
      </c>
      <c r="V270" s="10">
        <v>0</v>
      </c>
      <c r="W270" s="60">
        <f t="shared" si="61"/>
        <v>0</v>
      </c>
      <c r="X270" s="28">
        <v>11.05</v>
      </c>
      <c r="Y270" s="59">
        <v>-11.002192361111113</v>
      </c>
      <c r="Z270" s="60">
        <f t="shared" si="62"/>
        <v>-121.57422559027781</v>
      </c>
      <c r="AA270" s="60">
        <f t="shared" si="57"/>
        <v>-121.57422559027781</v>
      </c>
      <c r="AB270" s="60">
        <f t="shared" si="58"/>
        <v>0</v>
      </c>
      <c r="AC270" s="60">
        <f t="shared" si="59"/>
        <v>-121.57422559027781</v>
      </c>
      <c r="AD270" s="61">
        <f>+VLOOKUP(C270,'[1]pic au 25-03'!C:R,16,FALSE)</f>
        <v>32.997807638888887</v>
      </c>
      <c r="AE270" s="31"/>
      <c r="AF270" s="62">
        <v>277.84154031944445</v>
      </c>
      <c r="AG270" s="31"/>
      <c r="AH270" s="62">
        <v>277.84154031944445</v>
      </c>
      <c r="AI270" s="31"/>
      <c r="AJ270" s="28">
        <f t="shared" si="60"/>
        <v>0</v>
      </c>
      <c r="AK270" s="21">
        <f>+VLOOKUP(C270,'[1]stock au 25-03-25'!A:X,24,FALSE)</f>
        <v>44</v>
      </c>
      <c r="AL270" t="s">
        <v>45</v>
      </c>
      <c r="AM270" s="21">
        <f t="shared" si="55"/>
        <v>0</v>
      </c>
      <c r="AN270" t="s">
        <v>45</v>
      </c>
      <c r="AO270" s="63">
        <v>0</v>
      </c>
      <c r="AP270" s="64">
        <f t="shared" si="56"/>
        <v>0</v>
      </c>
      <c r="AQ270" t="s">
        <v>46</v>
      </c>
      <c r="AR270" s="36" t="e">
        <f>(AP270-AO270)/AO270</f>
        <v>#DIV/0!</v>
      </c>
      <c r="AS270" s="81"/>
      <c r="AT270" s="81">
        <f>(AO270-J270)/J270</f>
        <v>-1</v>
      </c>
      <c r="AU270" s="81"/>
      <c r="AV270" s="66">
        <f>(AP270-J270)/J270</f>
        <v>-1</v>
      </c>
      <c r="BB270" s="56">
        <f>+R270*F270</f>
        <v>1326</v>
      </c>
    </row>
    <row r="271" spans="1:54" x14ac:dyDescent="0.25">
      <c r="A271" s="67"/>
      <c r="B271" s="67" t="s">
        <v>333</v>
      </c>
      <c r="C271" s="67"/>
      <c r="D271" s="67"/>
      <c r="E271" s="67"/>
      <c r="F271" s="79">
        <f>SUM(F257:F270)</f>
        <v>290892.30800000002</v>
      </c>
      <c r="G271" s="67" t="s">
        <v>45</v>
      </c>
      <c r="H271" s="69"/>
      <c r="I271" s="67"/>
      <c r="J271" s="70">
        <f>SUM(J257:J270)</f>
        <v>1172492.3700000001</v>
      </c>
      <c r="K271" s="67"/>
      <c r="L271" s="69"/>
      <c r="M271" s="67"/>
      <c r="N271" s="70">
        <f>SUM(N257:N270)</f>
        <v>1201889.7611</v>
      </c>
      <c r="O271" s="78"/>
      <c r="P271" s="78">
        <f>SUM(P257:P270)</f>
        <v>98.169999999999987</v>
      </c>
      <c r="Q271" s="78">
        <f>SUM(Q257:Q270)</f>
        <v>0</v>
      </c>
      <c r="R271" s="78"/>
      <c r="S271" s="78"/>
      <c r="T271" s="83"/>
      <c r="U271" s="83"/>
      <c r="V271" s="10">
        <v>0</v>
      </c>
      <c r="W271" s="60">
        <f>SUM(W257:W270)</f>
        <v>577901.38</v>
      </c>
      <c r="X271" s="28">
        <f>SUM(X257:X270)</f>
        <v>128.57754716333727</v>
      </c>
      <c r="Y271" s="59">
        <v>-15969.572869000001</v>
      </c>
      <c r="Z271" s="60">
        <f>SUM(Z257:Z270)</f>
        <v>875919.66402168153</v>
      </c>
      <c r="AA271" s="60">
        <f t="shared" si="57"/>
        <v>0</v>
      </c>
      <c r="AB271" s="60"/>
      <c r="AC271" s="60">
        <f t="shared" si="59"/>
        <v>1453821.0440216814</v>
      </c>
      <c r="AD271" s="74">
        <f>SUM(AD257:AD270)</f>
        <v>332237.04184200306</v>
      </c>
      <c r="AE271" s="75"/>
      <c r="AF271" s="76">
        <f>SUM(AF257:AF270)</f>
        <v>1404620.0208991123</v>
      </c>
      <c r="AG271" s="75"/>
      <c r="AH271" s="76">
        <f>SUM(AH257:AH270)</f>
        <v>1373720.0918773527</v>
      </c>
      <c r="AI271" s="75"/>
      <c r="AJ271" s="28">
        <f>SUM(AJ257:AJ270)</f>
        <v>1461023.7401788463</v>
      </c>
      <c r="AK271" s="77">
        <f>SUM(AK257:AK270)</f>
        <v>15969.572869000001</v>
      </c>
      <c r="AL271" s="78">
        <f>SUM(AL257:AL270)</f>
        <v>0</v>
      </c>
      <c r="AM271" s="79">
        <f>SUM(AM257:AM270)</f>
        <v>316278.4711653642</v>
      </c>
      <c r="AN271" s="78" t="s">
        <v>45</v>
      </c>
      <c r="AO271" s="80">
        <f>SUM(AO257:AO270)</f>
        <v>1304810.8133662138</v>
      </c>
      <c r="AP271" s="80">
        <f>SUM(AP257:AP270)</f>
        <v>1461592.518353146</v>
      </c>
      <c r="AQ271" s="67"/>
      <c r="AR271" s="81">
        <f>(AP271-AO271)/AO271</f>
        <v>0.12015665672057026</v>
      </c>
      <c r="AS271" s="81"/>
      <c r="AT271" s="81">
        <f>(AO271-J271)/J271</f>
        <v>0.11285228522742002</v>
      </c>
      <c r="AU271" s="82">
        <f>AO271-J271</f>
        <v>132318.4433662137</v>
      </c>
      <c r="AV271" s="81">
        <f>(AP271-J271)/J271</f>
        <v>0.24656889524419326</v>
      </c>
      <c r="AW271" s="72">
        <f>AP271-N271</f>
        <v>259702.75725314603</v>
      </c>
      <c r="AX271" s="67"/>
      <c r="AY271" s="67"/>
      <c r="AZ271" s="81">
        <f>(AM271-F271)/F271</f>
        <v>8.726997059463043E-2</v>
      </c>
      <c r="BA271" s="81">
        <f>(AP271-N271)/N271</f>
        <v>0.21607868346882286</v>
      </c>
      <c r="BB271" s="78">
        <f>SUM(BB257:BB270)</f>
        <v>1310931.9963400001</v>
      </c>
    </row>
    <row r="272" spans="1:54" ht="18.75" outlineLevel="1" x14ac:dyDescent="0.3">
      <c r="A272">
        <v>12</v>
      </c>
      <c r="B272" t="s">
        <v>334</v>
      </c>
      <c r="C272">
        <v>347548</v>
      </c>
      <c r="D272" t="s">
        <v>335</v>
      </c>
      <c r="E272" t="s">
        <v>336</v>
      </c>
      <c r="F272" s="21">
        <f>+VLOOKUP(C272,'[1]stock au 25-03-25'!A:D,4,FALSE)</f>
        <v>72000</v>
      </c>
      <c r="G272" t="s">
        <v>65</v>
      </c>
      <c r="H272" s="22">
        <f>+VLOOKUP(C272,'[1]stock au 25-03-25'!A:F,6,FALSE)</f>
        <v>0.80500000000000005</v>
      </c>
      <c r="I272" t="s">
        <v>46</v>
      </c>
      <c r="J272" s="56">
        <f>+VLOOKUP(C272,'[1]stock au 25-03-25'!A:H,8,FALSE)</f>
        <v>57960</v>
      </c>
      <c r="K272" t="s">
        <v>46</v>
      </c>
      <c r="L272" s="23">
        <v>0.81</v>
      </c>
      <c r="M272" t="s">
        <v>46</v>
      </c>
      <c r="N272" s="56">
        <f>+VLOOKUP(C272,'[1]stock au 25-03-25'!A:L,12,FALSE)</f>
        <v>58320.000000000007</v>
      </c>
      <c r="P272" s="57">
        <v>0.81</v>
      </c>
      <c r="Q272" t="s">
        <v>46</v>
      </c>
      <c r="R272" s="25">
        <f>H272*(1+VLOOKUP(A272,'[1]Variation MP'!$B$3:$D$22,3))</f>
        <v>0.80500000000000005</v>
      </c>
      <c r="T272" s="26">
        <v>0.80500000000000005</v>
      </c>
      <c r="U272" s="58">
        <f t="shared" ref="U272:U274" si="63">IFERROR((T272-R272)/R272,"")</f>
        <v>0</v>
      </c>
      <c r="V272" s="10">
        <v>108000</v>
      </c>
      <c r="W272" s="60">
        <f t="shared" si="61"/>
        <v>86940</v>
      </c>
      <c r="X272" s="28">
        <v>0.80500000000000005</v>
      </c>
      <c r="Y272" s="59">
        <v>11232</v>
      </c>
      <c r="Z272" s="60">
        <f t="shared" si="62"/>
        <v>9041.76</v>
      </c>
      <c r="AA272" s="60">
        <f t="shared" si="57"/>
        <v>9041.76</v>
      </c>
      <c r="AB272" s="60">
        <f t="shared" si="58"/>
        <v>0</v>
      </c>
      <c r="AC272" s="60">
        <f t="shared" si="59"/>
        <v>95981.759999999995</v>
      </c>
      <c r="AD272" s="61">
        <f>+VLOOKUP(C272,'[1]pic au 25-03'!C:R,16,FALSE)</f>
        <v>125400</v>
      </c>
      <c r="AE272" s="31"/>
      <c r="AF272" s="62">
        <v>101574</v>
      </c>
      <c r="AG272" s="31"/>
      <c r="AH272" s="62">
        <v>101574</v>
      </c>
      <c r="AI272" s="31"/>
      <c r="AJ272" s="28">
        <f t="shared" si="60"/>
        <v>95981.760000000009</v>
      </c>
      <c r="AK272" s="21">
        <f>+VLOOKUP(C272,'[1]stock au 25-03-25'!A:X,24,FALSE)</f>
        <v>6168</v>
      </c>
      <c r="AL272" t="s">
        <v>65</v>
      </c>
      <c r="AM272" s="21">
        <f>AD272-AK272</f>
        <v>119232</v>
      </c>
      <c r="AN272" t="s">
        <v>65</v>
      </c>
      <c r="AO272" s="63">
        <v>77763</v>
      </c>
      <c r="AP272" s="64">
        <f>IF(AM272&lt;0,0,AM272*R272)</f>
        <v>95981.760000000009</v>
      </c>
      <c r="AQ272" t="s">
        <v>46</v>
      </c>
      <c r="AR272" s="36">
        <f>(AP272-AO272)/AO272</f>
        <v>0.2342857142857144</v>
      </c>
      <c r="AS272" s="81"/>
      <c r="AT272" s="81">
        <f>(AO272-J272)/J272</f>
        <v>0.34166666666666667</v>
      </c>
      <c r="AU272" s="81"/>
      <c r="AV272" s="66">
        <f>(AP272-J272)/J272</f>
        <v>0.65600000000000014</v>
      </c>
      <c r="BB272" s="56">
        <f>+R272*F272</f>
        <v>57960</v>
      </c>
    </row>
    <row r="273" spans="1:54" ht="18.75" outlineLevel="1" x14ac:dyDescent="0.3">
      <c r="A273">
        <v>12</v>
      </c>
      <c r="B273" t="s">
        <v>334</v>
      </c>
      <c r="C273">
        <v>347601</v>
      </c>
      <c r="D273" t="s">
        <v>337</v>
      </c>
      <c r="E273" t="s">
        <v>338</v>
      </c>
      <c r="F273" s="21">
        <f>+VLOOKUP(C273,'[1]stock au 25-03-25'!A:D,4,FALSE)</f>
        <v>19980</v>
      </c>
      <c r="G273" t="s">
        <v>65</v>
      </c>
      <c r="H273" s="22">
        <f>+VLOOKUP(C273,'[1]stock au 25-03-25'!A:F,6,FALSE)</f>
        <v>0.94000000000000006</v>
      </c>
      <c r="I273" t="s">
        <v>46</v>
      </c>
      <c r="J273" s="56">
        <f>+VLOOKUP(C273,'[1]stock au 25-03-25'!A:H,8,FALSE)</f>
        <v>18781.2</v>
      </c>
      <c r="K273" t="s">
        <v>46</v>
      </c>
      <c r="L273" s="23">
        <v>0.75</v>
      </c>
      <c r="M273" t="s">
        <v>46</v>
      </c>
      <c r="N273" s="56">
        <f>+VLOOKUP(C273,'[1]stock au 25-03-25'!A:L,12,FALSE)</f>
        <v>14985</v>
      </c>
      <c r="Q273" t="s">
        <v>46</v>
      </c>
      <c r="R273" s="25">
        <f>H273*(1+VLOOKUP(A273,'[1]Variation MP'!$B$3:$D$22,3))</f>
        <v>0.94000000000000006</v>
      </c>
      <c r="T273" s="26" t="s">
        <v>53</v>
      </c>
      <c r="U273" s="58" t="str">
        <f t="shared" si="63"/>
        <v/>
      </c>
      <c r="V273" s="10">
        <v>0</v>
      </c>
      <c r="W273" s="60">
        <f t="shared" si="61"/>
        <v>0</v>
      </c>
      <c r="X273" s="28">
        <v>0.94000000000000006</v>
      </c>
      <c r="Y273" s="59">
        <v>16500</v>
      </c>
      <c r="Z273" s="60">
        <f t="shared" si="62"/>
        <v>15510.000000000002</v>
      </c>
      <c r="AA273" s="60">
        <f t="shared" si="57"/>
        <v>15510.000000000002</v>
      </c>
      <c r="AB273" s="60">
        <f t="shared" si="58"/>
        <v>0</v>
      </c>
      <c r="AC273" s="60">
        <f t="shared" si="59"/>
        <v>15510.000000000002</v>
      </c>
      <c r="AD273" s="61">
        <f>+VLOOKUP(C273,'[1]pic au 25-03'!C:R,16,FALSE)</f>
        <v>16500</v>
      </c>
      <c r="AE273" s="31"/>
      <c r="AF273" s="62"/>
      <c r="AG273" s="31"/>
      <c r="AH273" s="62">
        <v>12375</v>
      </c>
      <c r="AI273" s="31"/>
      <c r="AJ273" s="28">
        <f t="shared" si="60"/>
        <v>15510.000000000002</v>
      </c>
      <c r="AK273" s="21">
        <f>+VLOOKUP(C273,'[1]stock au 25-03-25'!A:X,24,FALSE)</f>
        <v>0</v>
      </c>
      <c r="AL273" t="s">
        <v>65</v>
      </c>
      <c r="AM273" s="21">
        <f>AD273-AK273</f>
        <v>16500</v>
      </c>
      <c r="AN273" t="s">
        <v>65</v>
      </c>
      <c r="AO273" s="63">
        <v>15510.000000000002</v>
      </c>
      <c r="AP273" s="64">
        <f>IF(AM273&lt;0,0,AM273*R273)</f>
        <v>15510.000000000002</v>
      </c>
      <c r="AQ273" t="s">
        <v>46</v>
      </c>
      <c r="AR273" s="36">
        <f>(AP273-AO273)/AO273</f>
        <v>0</v>
      </c>
      <c r="AS273" s="81"/>
      <c r="AT273" s="81">
        <f>(AO273-J273)/J273</f>
        <v>-0.17417417417417411</v>
      </c>
      <c r="AU273" s="81"/>
      <c r="AV273" s="66">
        <f>(AP273-J273)/J273</f>
        <v>-0.17417417417417411</v>
      </c>
      <c r="BB273" s="56">
        <f>+R273*F273</f>
        <v>18781.2</v>
      </c>
    </row>
    <row r="274" spans="1:54" ht="18.75" outlineLevel="1" x14ac:dyDescent="0.3">
      <c r="A274">
        <v>12</v>
      </c>
      <c r="B274" t="s">
        <v>334</v>
      </c>
      <c r="C274">
        <v>347600</v>
      </c>
      <c r="D274" t="s">
        <v>339</v>
      </c>
      <c r="E274" t="s">
        <v>338</v>
      </c>
      <c r="F274" s="21">
        <f>+VLOOKUP(C274,'[1]stock au 25-03-25'!A:D,4,FALSE)</f>
        <v>19992</v>
      </c>
      <c r="G274" t="s">
        <v>65</v>
      </c>
      <c r="H274" s="22">
        <f>+VLOOKUP(C274,'[1]stock au 25-03-25'!A:F,6,FALSE)</f>
        <v>0.73841986794717884</v>
      </c>
      <c r="I274" t="s">
        <v>46</v>
      </c>
      <c r="J274" s="56">
        <f>+VLOOKUP(C274,'[1]stock au 25-03-25'!A:H,8,FALSE)</f>
        <v>14762.49</v>
      </c>
      <c r="K274" t="s">
        <v>46</v>
      </c>
      <c r="L274" s="23">
        <v>0.75</v>
      </c>
      <c r="M274" t="s">
        <v>46</v>
      </c>
      <c r="N274" s="56">
        <f>+VLOOKUP(C274,'[1]stock au 25-03-25'!A:L,12,FALSE)</f>
        <v>14994</v>
      </c>
      <c r="Q274" t="s">
        <v>46</v>
      </c>
      <c r="R274" s="25">
        <f>H274*(1+VLOOKUP(A274,'[1]Variation MP'!$B$3:$D$22,3))</f>
        <v>0.73841986794717884</v>
      </c>
      <c r="T274" s="26" t="s">
        <v>53</v>
      </c>
      <c r="U274" s="58" t="str">
        <f t="shared" si="63"/>
        <v/>
      </c>
      <c r="V274" s="10">
        <v>0</v>
      </c>
      <c r="W274" s="60">
        <f t="shared" si="61"/>
        <v>0</v>
      </c>
      <c r="X274" s="28">
        <v>0.73841986794717884</v>
      </c>
      <c r="Y274" s="59">
        <v>17100</v>
      </c>
      <c r="Z274" s="60">
        <f t="shared" si="62"/>
        <v>12626.979741896757</v>
      </c>
      <c r="AA274" s="60">
        <f t="shared" si="57"/>
        <v>12626.979741896757</v>
      </c>
      <c r="AB274" s="60">
        <f t="shared" si="58"/>
        <v>0</v>
      </c>
      <c r="AC274" s="60">
        <f t="shared" si="59"/>
        <v>12626.979741896757</v>
      </c>
      <c r="AD274" s="61">
        <f>+VLOOKUP(C274,'[1]pic au 25-03'!C:R,16,FALSE)</f>
        <v>17100</v>
      </c>
      <c r="AE274" s="31"/>
      <c r="AF274" s="62"/>
      <c r="AG274" s="31"/>
      <c r="AH274" s="62">
        <v>12825</v>
      </c>
      <c r="AI274" s="31"/>
      <c r="AJ274" s="28">
        <f t="shared" si="60"/>
        <v>12626.979741896757</v>
      </c>
      <c r="AK274" s="21">
        <f>+VLOOKUP(C274,'[1]stock au 25-03-25'!A:X,24,FALSE)</f>
        <v>0</v>
      </c>
      <c r="AL274" t="s">
        <v>65</v>
      </c>
      <c r="AM274" s="21">
        <f>AD274-AK274</f>
        <v>17100</v>
      </c>
      <c r="AN274" t="s">
        <v>65</v>
      </c>
      <c r="AO274" s="63">
        <v>12626.979741896757</v>
      </c>
      <c r="AP274" s="64">
        <f>IF(AM274&lt;0,0,AM274*R274)</f>
        <v>12626.979741896757</v>
      </c>
      <c r="AQ274" t="s">
        <v>46</v>
      </c>
      <c r="AR274" s="36">
        <f>(AP274-AO274)/AO274</f>
        <v>0</v>
      </c>
      <c r="AS274" s="81"/>
      <c r="AT274" s="81">
        <f>(AO274-J274)/J274</f>
        <v>-0.14465786314525819</v>
      </c>
      <c r="AU274" s="81"/>
      <c r="AV274" s="66">
        <f>(AP274-J274)/J274</f>
        <v>-0.14465786314525819</v>
      </c>
      <c r="BB274" s="56">
        <f>+R274*F274</f>
        <v>14762.49</v>
      </c>
    </row>
    <row r="275" spans="1:54" x14ac:dyDescent="0.25">
      <c r="A275" s="67"/>
      <c r="B275" s="67" t="s">
        <v>340</v>
      </c>
      <c r="C275" s="67"/>
      <c r="D275" s="67"/>
      <c r="E275" s="67"/>
      <c r="F275" s="79">
        <f>SUM(F272:F274)</f>
        <v>111972</v>
      </c>
      <c r="G275" s="67" t="s">
        <v>45</v>
      </c>
      <c r="H275" s="69"/>
      <c r="I275" s="67"/>
      <c r="J275" s="70">
        <f>SUM(J272:J274)</f>
        <v>91503.69</v>
      </c>
      <c r="K275" s="67"/>
      <c r="L275" s="69"/>
      <c r="M275" s="67"/>
      <c r="N275" s="70">
        <f>SUM(N272:N274)</f>
        <v>88299</v>
      </c>
      <c r="O275" s="78"/>
      <c r="P275" s="78">
        <f>SUM(P272:P274)</f>
        <v>0.81</v>
      </c>
      <c r="Q275" s="78">
        <f>SUM(Q272:Q274)</f>
        <v>0</v>
      </c>
      <c r="R275" s="78"/>
      <c r="S275" s="78"/>
      <c r="T275" s="83"/>
      <c r="U275" s="83"/>
      <c r="V275" s="10">
        <v>0</v>
      </c>
      <c r="W275" s="60">
        <f>SUM(W272:W274)</f>
        <v>86940</v>
      </c>
      <c r="X275" s="28">
        <f>SUM(X272:X274)</f>
        <v>2.4834198679471791</v>
      </c>
      <c r="Y275" s="59">
        <v>-6168</v>
      </c>
      <c r="Z275" s="60">
        <f>SUM(Z272:Z274)</f>
        <v>37178.739741896759</v>
      </c>
      <c r="AA275" s="60">
        <f t="shared" si="57"/>
        <v>0</v>
      </c>
      <c r="AB275" s="60"/>
      <c r="AC275" s="60">
        <f t="shared" si="59"/>
        <v>124118.73974189676</v>
      </c>
      <c r="AD275" s="74">
        <f>SUM(AD272:AD274)</f>
        <v>159000</v>
      </c>
      <c r="AE275" s="75"/>
      <c r="AF275" s="76">
        <f>SUM(AF272:AF274)</f>
        <v>101574</v>
      </c>
      <c r="AG275" s="75"/>
      <c r="AH275" s="76">
        <f>SUM(AH272:AH274)</f>
        <v>126774</v>
      </c>
      <c r="AI275" s="75"/>
      <c r="AJ275" s="28">
        <f>SUM(AJ272:AJ274)</f>
        <v>124118.73974189677</v>
      </c>
      <c r="AK275" s="77">
        <f>SUM(AK272:AK274)</f>
        <v>6168</v>
      </c>
      <c r="AL275" s="78">
        <f>SUM(AL272:AL274)</f>
        <v>0</v>
      </c>
      <c r="AM275" s="79">
        <f>SUM(AM272:AM274)</f>
        <v>152832</v>
      </c>
      <c r="AN275" s="78" t="s">
        <v>45</v>
      </c>
      <c r="AO275" s="80">
        <f>SUM(AO272:AO274)</f>
        <v>105899.97974189676</v>
      </c>
      <c r="AP275" s="80">
        <f>SUM(AP272:AP274)</f>
        <v>124118.73974189677</v>
      </c>
      <c r="AQ275" s="67"/>
      <c r="AR275" s="81">
        <f>(AP275-AO275)/AO275</f>
        <v>0.17203742667754446</v>
      </c>
      <c r="AS275" s="81"/>
      <c r="AT275" s="81">
        <f>(AO275-J275)/J275</f>
        <v>0.15733015512157775</v>
      </c>
      <c r="AU275" s="82">
        <f>AO275-J275</f>
        <v>14396.289741896762</v>
      </c>
      <c r="AV275" s="81">
        <f>(AP275-J275)/J275</f>
        <v>0.35643425682501734</v>
      </c>
      <c r="AW275" s="72">
        <f>AP275-N275</f>
        <v>35819.739741896774</v>
      </c>
      <c r="AX275" s="67"/>
      <c r="AY275" s="67"/>
      <c r="AZ275" s="81">
        <f>(AM275-F275)/F275</f>
        <v>0.36491265673561246</v>
      </c>
      <c r="BA275" s="81">
        <f>(AP275-N275)/N275</f>
        <v>0.4056641608840052</v>
      </c>
      <c r="BB275" s="78">
        <f>SUM(BB272:BB274)</f>
        <v>91503.69</v>
      </c>
    </row>
    <row r="276" spans="1:54" ht="18.75" outlineLevel="1" x14ac:dyDescent="0.3">
      <c r="A276">
        <v>13</v>
      </c>
      <c r="B276" t="s">
        <v>341</v>
      </c>
      <c r="C276">
        <v>339421</v>
      </c>
      <c r="D276" t="s">
        <v>342</v>
      </c>
      <c r="E276" t="s">
        <v>343</v>
      </c>
      <c r="F276" s="21">
        <f>+VLOOKUP(C276,'[1]stock au 25-03-25'!A:D,4,FALSE)</f>
        <v>43159.32</v>
      </c>
      <c r="G276" t="s">
        <v>45</v>
      </c>
      <c r="H276" s="22">
        <f>+VLOOKUP(C276,'[1]stock au 25-03-25'!A:F,6,FALSE)</f>
        <v>9.5660441360058499</v>
      </c>
      <c r="I276" t="s">
        <v>46</v>
      </c>
      <c r="J276" s="56">
        <f>+VLOOKUP(C276,'[1]stock au 25-03-25'!A:H,8,FALSE)</f>
        <v>412863.96</v>
      </c>
      <c r="K276" t="s">
        <v>46</v>
      </c>
      <c r="L276" s="23">
        <v>9.65</v>
      </c>
      <c r="M276" t="s">
        <v>46</v>
      </c>
      <c r="N276" s="56">
        <f>+VLOOKUP(C276,'[1]stock au 25-03-25'!A:L,12,FALSE)</f>
        <v>416487.43800000002</v>
      </c>
      <c r="P276" s="57">
        <v>11.07</v>
      </c>
      <c r="Q276" t="s">
        <v>46</v>
      </c>
      <c r="R276" s="25">
        <v>10.8</v>
      </c>
      <c r="T276" s="26">
        <v>10.792961752694362</v>
      </c>
      <c r="U276" s="58">
        <f t="shared" ref="U276:U277" si="64">IFERROR((T276-R276)/R276,"")</f>
        <v>-6.5168956533691975E-4</v>
      </c>
      <c r="V276" s="10">
        <v>18926.928</v>
      </c>
      <c r="W276" s="60">
        <f t="shared" si="61"/>
        <v>204277.61</v>
      </c>
      <c r="X276" s="28">
        <v>10.700000307316911</v>
      </c>
      <c r="Y276" s="59">
        <v>20184.906669856216</v>
      </c>
      <c r="Z276" s="60">
        <f t="shared" si="62"/>
        <v>215978.50757062467</v>
      </c>
      <c r="AA276" s="60">
        <f t="shared" si="57"/>
        <v>217996.99203444715</v>
      </c>
      <c r="AB276" s="60">
        <f t="shared" si="58"/>
        <v>-2018.4844638224749</v>
      </c>
      <c r="AC276" s="60">
        <f t="shared" si="59"/>
        <v>420256.11757062469</v>
      </c>
      <c r="AD276" s="61">
        <f>+VLOOKUP(C276,'[1]pic au 25-03'!C:R,16,FALSE)</f>
        <v>41134.218669856215</v>
      </c>
      <c r="AE276" s="31"/>
      <c r="AF276" s="62">
        <v>459784.47020120826</v>
      </c>
      <c r="AG276" s="31"/>
      <c r="AH276" s="62">
        <v>400805.79380683467</v>
      </c>
      <c r="AI276" s="31"/>
      <c r="AJ276" s="28">
        <f t="shared" si="60"/>
        <v>418496.6429871897</v>
      </c>
      <c r="AK276" s="21">
        <f>+VLOOKUP(C276,'[1]stock au 25-03-25'!A:X,24,FALSE)</f>
        <v>2022.384</v>
      </c>
      <c r="AL276" t="s">
        <v>45</v>
      </c>
      <c r="AM276" s="21">
        <f>AD276-AK276</f>
        <v>39111.834669856216</v>
      </c>
      <c r="AN276" t="s">
        <v>45</v>
      </c>
      <c r="AO276" s="63">
        <v>394112.41721099737</v>
      </c>
      <c r="AP276" s="64">
        <f>IF(AM276&lt;0,0,AM276*R276)</f>
        <v>422407.81443444715</v>
      </c>
      <c r="AQ276" t="s">
        <v>46</v>
      </c>
      <c r="AR276" s="36">
        <f>(AP276-AO276)/AO276</f>
        <v>7.1795244168369271E-2</v>
      </c>
      <c r="AS276" s="81"/>
      <c r="AT276" s="81">
        <f>(AO276-J276)/J276</f>
        <v>-4.5418211822128157E-2</v>
      </c>
      <c r="AU276" s="81"/>
      <c r="AV276" s="66">
        <f>(AP276-J276)/J276</f>
        <v>2.311622073878071E-2</v>
      </c>
      <c r="BB276" s="56">
        <f>+R276*F276</f>
        <v>466120.65600000002</v>
      </c>
    </row>
    <row r="277" spans="1:54" ht="18.75" outlineLevel="1" x14ac:dyDescent="0.3">
      <c r="A277">
        <v>13</v>
      </c>
      <c r="B277" t="s">
        <v>341</v>
      </c>
      <c r="C277">
        <v>361033</v>
      </c>
      <c r="D277" t="s">
        <v>344</v>
      </c>
      <c r="E277" t="s">
        <v>343</v>
      </c>
      <c r="F277" s="21">
        <f>+VLOOKUP(C277,'[1]stock au 25-03-25'!A:D,4,FALSE)</f>
        <v>13652.53</v>
      </c>
      <c r="G277" t="s">
        <v>45</v>
      </c>
      <c r="H277" s="22">
        <f>+VLOOKUP(C277,'[1]stock au 25-03-25'!A:F,6,FALSE)</f>
        <v>12.294656008813018</v>
      </c>
      <c r="I277" t="s">
        <v>46</v>
      </c>
      <c r="J277" s="56">
        <f>+VLOOKUP(C277,'[1]stock au 25-03-25'!A:H,8,FALSE)</f>
        <v>167853.16</v>
      </c>
      <c r="K277" t="s">
        <v>46</v>
      </c>
      <c r="L277" s="23">
        <v>11.37</v>
      </c>
      <c r="M277" t="s">
        <v>46</v>
      </c>
      <c r="N277" s="56">
        <f>+VLOOKUP(C277,'[1]stock au 25-03-25'!A:L,12,FALSE)</f>
        <v>155229.26610000001</v>
      </c>
      <c r="P277" s="57">
        <v>11.37</v>
      </c>
      <c r="Q277" t="s">
        <v>46</v>
      </c>
      <c r="R277" s="25">
        <v>12.8</v>
      </c>
      <c r="T277" s="26">
        <v>13.305966871760804</v>
      </c>
      <c r="U277" s="58">
        <f t="shared" si="64"/>
        <v>3.9528661856312736E-2</v>
      </c>
      <c r="V277" s="10">
        <v>5885.915</v>
      </c>
      <c r="W277" s="60">
        <f t="shared" si="61"/>
        <v>78317.789999999994</v>
      </c>
      <c r="X277" s="28">
        <v>12.85</v>
      </c>
      <c r="Y277" s="59">
        <v>5228.4123326388881</v>
      </c>
      <c r="Z277" s="60">
        <f t="shared" si="62"/>
        <v>67185.098474409708</v>
      </c>
      <c r="AA277" s="60">
        <f t="shared" si="57"/>
        <v>66923.677857777773</v>
      </c>
      <c r="AB277" s="60">
        <f t="shared" si="58"/>
        <v>261.42061663193454</v>
      </c>
      <c r="AC277" s="60">
        <f t="shared" si="59"/>
        <v>145502.8884744097</v>
      </c>
      <c r="AD277" s="61">
        <f>+VLOOKUP(C277,'[1]pic au 25-03'!C:R,16,FALSE)</f>
        <v>13082.327332638888</v>
      </c>
      <c r="AE277" s="31"/>
      <c r="AF277" s="62">
        <v>148746.06177210415</v>
      </c>
      <c r="AG277" s="31"/>
      <c r="AH277" s="62">
        <v>148746.06177210415</v>
      </c>
      <c r="AI277" s="31"/>
      <c r="AJ277" s="28">
        <f t="shared" si="60"/>
        <v>142819.10622440971</v>
      </c>
      <c r="AK277" s="21">
        <f>+VLOOKUP(C277,'[1]stock au 25-03-25'!A:X,24,FALSE)</f>
        <v>1968</v>
      </c>
      <c r="AL277" t="s">
        <v>45</v>
      </c>
      <c r="AM277" s="21">
        <f>AD277-AK277</f>
        <v>11114.327332638888</v>
      </c>
      <c r="AN277" t="s">
        <v>45</v>
      </c>
      <c r="AO277" s="63">
        <v>140680.87183863195</v>
      </c>
      <c r="AP277" s="64">
        <f>IF(AM277&lt;0,0,AM277*R277)</f>
        <v>142263.38985777777</v>
      </c>
      <c r="AQ277" t="s">
        <v>46</v>
      </c>
      <c r="AR277" s="36">
        <f>(AP277-AO277)/AO277</f>
        <v>1.1248992122831369E-2</v>
      </c>
      <c r="AS277" s="81"/>
      <c r="AT277" s="81">
        <f>(AO277-J277)/J277</f>
        <v>-0.16188130245130952</v>
      </c>
      <c r="AU277" s="81"/>
      <c r="AV277" s="66">
        <f>(AP277-J277)/J277</f>
        <v>-0.15245331182458663</v>
      </c>
      <c r="BB277" s="56">
        <f>+R277*F277</f>
        <v>174752.38400000002</v>
      </c>
    </row>
    <row r="278" spans="1:54" x14ac:dyDescent="0.25">
      <c r="A278" s="67"/>
      <c r="B278" s="67" t="s">
        <v>345</v>
      </c>
      <c r="C278" s="67"/>
      <c r="D278" s="67"/>
      <c r="E278" s="67"/>
      <c r="F278" s="79">
        <f>SUM(F276:F277)</f>
        <v>56811.85</v>
      </c>
      <c r="G278" s="67" t="s">
        <v>45</v>
      </c>
      <c r="H278" s="69"/>
      <c r="I278" s="67"/>
      <c r="J278" s="70">
        <f>SUM(J276:J277)</f>
        <v>580717.12</v>
      </c>
      <c r="K278" s="67"/>
      <c r="L278" s="69"/>
      <c r="M278" s="67"/>
      <c r="N278" s="70">
        <f>SUM(N276:N277)</f>
        <v>571716.70409999997</v>
      </c>
      <c r="O278" s="78"/>
      <c r="P278" s="78">
        <f>SUM(P276:P277)</f>
        <v>22.439999999999998</v>
      </c>
      <c r="Q278" s="78">
        <f>SUM(Q276:Q277)</f>
        <v>0</v>
      </c>
      <c r="R278" s="78"/>
      <c r="S278" s="78"/>
      <c r="T278" s="83"/>
      <c r="U278" s="83"/>
      <c r="V278" s="10">
        <v>0</v>
      </c>
      <c r="W278" s="60">
        <f>SUM(W276:W277)</f>
        <v>282595.39999999997</v>
      </c>
      <c r="X278" s="28">
        <f>SUM(X276:X277)</f>
        <v>23.55000030731691</v>
      </c>
      <c r="Y278" s="59">
        <v>-3990.384</v>
      </c>
      <c r="Z278" s="60">
        <f>SUM(Z276:Z277)</f>
        <v>283163.60604503436</v>
      </c>
      <c r="AA278" s="60">
        <f t="shared" si="57"/>
        <v>0</v>
      </c>
      <c r="AB278" s="60"/>
      <c r="AC278" s="60">
        <f t="shared" si="59"/>
        <v>565759.00604503439</v>
      </c>
      <c r="AD278" s="74">
        <f>SUM(AD276:AD277)</f>
        <v>54216.546002495103</v>
      </c>
      <c r="AE278" s="75"/>
      <c r="AF278" s="76">
        <f>SUM(AF276:AF277)</f>
        <v>608530.53197331238</v>
      </c>
      <c r="AG278" s="75"/>
      <c r="AH278" s="76">
        <f>SUM(AH276:AH277)</f>
        <v>549551.85557893885</v>
      </c>
      <c r="AI278" s="75"/>
      <c r="AJ278" s="28">
        <f>SUM(AJ276:AJ277)</f>
        <v>561315.74921159935</v>
      </c>
      <c r="AK278" s="77">
        <f>SUM(AK276:AK277)</f>
        <v>3990.384</v>
      </c>
      <c r="AL278" s="78">
        <f>SUM(AL276:AL277)</f>
        <v>0</v>
      </c>
      <c r="AM278" s="79">
        <f>SUM(AM276:AM277)</f>
        <v>50226.162002495104</v>
      </c>
      <c r="AN278" s="78" t="s">
        <v>45</v>
      </c>
      <c r="AO278" s="80">
        <f>SUM(AO276:AO277)</f>
        <v>534793.28904962935</v>
      </c>
      <c r="AP278" s="80">
        <f>SUM(AP276:AP277)</f>
        <v>564671.20429222495</v>
      </c>
      <c r="AQ278" s="67"/>
      <c r="AR278" s="81">
        <f>(AP278-AO278)/AO278</f>
        <v>5.5868156639906706E-2</v>
      </c>
      <c r="AS278" s="72">
        <f>AP278-AO278</f>
        <v>29877.915242595598</v>
      </c>
      <c r="AT278" s="81">
        <f>(AO278-J278)/J278</f>
        <v>-7.9081241741883967E-2</v>
      </c>
      <c r="AU278" s="82">
        <f>AO278-J278</f>
        <v>-45923.83095037064</v>
      </c>
      <c r="AV278" s="81">
        <f>(AP278-J278)/J278</f>
        <v>-2.7631208302891161E-2</v>
      </c>
      <c r="AW278" s="72">
        <f>AP278-N278</f>
        <v>-7045.4998077750206</v>
      </c>
      <c r="AX278" s="72"/>
      <c r="AY278" s="72"/>
      <c r="AZ278" s="81">
        <f>(AM278-F278)/F278</f>
        <v>-0.11592102699533451</v>
      </c>
      <c r="BA278" s="81">
        <f>(AP278-N278)/N278</f>
        <v>-1.2323410803373484E-2</v>
      </c>
      <c r="BB278" s="78">
        <f>SUM(BB276:BB277)</f>
        <v>640873.04</v>
      </c>
    </row>
    <row r="279" spans="1:54" ht="18.75" outlineLevel="1" x14ac:dyDescent="0.3">
      <c r="A279">
        <v>14</v>
      </c>
      <c r="B279" t="s">
        <v>346</v>
      </c>
      <c r="C279">
        <v>380004</v>
      </c>
      <c r="D279" t="s">
        <v>347</v>
      </c>
      <c r="E279" t="s">
        <v>348</v>
      </c>
      <c r="F279" s="21">
        <f>+VLOOKUP(C279,'[1]stock au 25-03-25'!A:D,4,FALSE)</f>
        <v>49693.65</v>
      </c>
      <c r="G279" t="s">
        <v>45</v>
      </c>
      <c r="H279" s="22">
        <f>+VLOOKUP(C279,'[1]stock au 25-03-25'!A:F,6,FALSE)</f>
        <v>10.904817013843822</v>
      </c>
      <c r="I279" t="s">
        <v>46</v>
      </c>
      <c r="J279" s="56">
        <f>+VLOOKUP(C279,'[1]stock au 25-03-25'!A:H,8,FALSE)</f>
        <v>541900.16</v>
      </c>
      <c r="K279" t="s">
        <v>46</v>
      </c>
      <c r="L279" s="23">
        <v>10.5</v>
      </c>
      <c r="M279" t="s">
        <v>46</v>
      </c>
      <c r="N279" s="56">
        <f>+VLOOKUP(C279,'[1]stock au 25-03-25'!A:L,12,FALSE)</f>
        <v>521783.32500000001</v>
      </c>
      <c r="P279" s="57"/>
      <c r="Q279" t="s">
        <v>46</v>
      </c>
      <c r="R279" s="25">
        <v>10.9</v>
      </c>
      <c r="T279" s="26">
        <v>11.336256458835196</v>
      </c>
      <c r="U279" s="58">
        <f t="shared" ref="U279:U289" si="65">IFERROR((T279-R279)/R279,"")</f>
        <v>4.0023528333504199E-2</v>
      </c>
      <c r="V279" s="10">
        <v>17555.41</v>
      </c>
      <c r="W279" s="60">
        <f t="shared" si="61"/>
        <v>199012.62999999998</v>
      </c>
      <c r="X279" s="28">
        <v>12.5</v>
      </c>
      <c r="Y279" s="59">
        <v>85471.678</v>
      </c>
      <c r="Z279" s="60">
        <f t="shared" si="62"/>
        <v>1068395.9750000001</v>
      </c>
      <c r="AA279" s="60">
        <f>SUM(Y279*R279)</f>
        <v>931641.29020000005</v>
      </c>
      <c r="AB279" s="60">
        <f t="shared" si="58"/>
        <v>136754.68480000005</v>
      </c>
      <c r="AC279" s="60">
        <f t="shared" si="59"/>
        <v>1267408.605</v>
      </c>
      <c r="AD279" s="61">
        <v>111000</v>
      </c>
      <c r="AE279" s="31"/>
      <c r="AF279" s="62"/>
      <c r="AG279" s="31"/>
      <c r="AH279" s="62">
        <v>1250366.8923610083</v>
      </c>
      <c r="AI279" s="31"/>
      <c r="AJ279" s="28">
        <f t="shared" si="60"/>
        <v>1287500</v>
      </c>
      <c r="AK279" s="21">
        <f>+VLOOKUP(C279,'[1]stock au 25-03-25'!A:X,24,FALSE)</f>
        <v>7972.9120000000003</v>
      </c>
      <c r="AL279" t="s">
        <v>45</v>
      </c>
      <c r="AM279" s="21">
        <v>103000</v>
      </c>
      <c r="AN279" t="s">
        <v>45</v>
      </c>
      <c r="AO279" s="63">
        <v>1213638.7119601218</v>
      </c>
      <c r="AP279" s="64">
        <f>IF(AM279&lt;0,0,AM279*R279)</f>
        <v>1122700</v>
      </c>
      <c r="AQ279" t="s">
        <v>46</v>
      </c>
      <c r="AR279" s="36">
        <f>(AP279-AO279)/AO279</f>
        <v>-7.4930628912824149E-2</v>
      </c>
      <c r="AS279" s="81"/>
      <c r="AT279" s="81">
        <f>(AO279-J279)/J279</f>
        <v>1.2395983643188473</v>
      </c>
      <c r="AU279" s="81"/>
      <c r="AV279" s="66">
        <f>(AP279-J279)/J279</f>
        <v>1.0717838503683039</v>
      </c>
      <c r="BB279" s="56">
        <f>+R279*F279</f>
        <v>541660.78500000003</v>
      </c>
    </row>
    <row r="280" spans="1:54" ht="18.75" outlineLevel="1" x14ac:dyDescent="0.3">
      <c r="A280">
        <v>14</v>
      </c>
      <c r="B280" t="s">
        <v>346</v>
      </c>
      <c r="C280">
        <v>380002</v>
      </c>
      <c r="D280" t="s">
        <v>349</v>
      </c>
      <c r="E280" t="s">
        <v>348</v>
      </c>
      <c r="F280" s="21">
        <f>+VLOOKUP(C280,'[1]stock au 25-03-25'!A:D,4,FALSE)</f>
        <v>77955.490000000005</v>
      </c>
      <c r="G280" t="s">
        <v>45</v>
      </c>
      <c r="H280" s="22">
        <f>+VLOOKUP(C280,'[1]stock au 25-03-25'!A:F,6,FALSE)</f>
        <v>9.8152913925626013</v>
      </c>
      <c r="I280" t="s">
        <v>46</v>
      </c>
      <c r="J280" s="56">
        <f>+VLOOKUP(C280,'[1]stock au 25-03-25'!A:H,8,FALSE)</f>
        <v>765155.85</v>
      </c>
      <c r="K280" t="s">
        <v>46</v>
      </c>
      <c r="L280" s="23">
        <v>10.5</v>
      </c>
      <c r="M280" t="s">
        <v>46</v>
      </c>
      <c r="N280" s="56">
        <f>+VLOOKUP(C280,'[1]stock au 25-03-25'!A:L,12,FALSE)</f>
        <v>818532.64500000002</v>
      </c>
      <c r="P280" s="57">
        <v>11.17</v>
      </c>
      <c r="Q280" t="s">
        <v>46</v>
      </c>
      <c r="R280" s="25">
        <v>12.8</v>
      </c>
      <c r="T280" s="26">
        <v>11.609973816843262</v>
      </c>
      <c r="U280" s="58">
        <f t="shared" si="65"/>
        <v>-9.2970795559120245E-2</v>
      </c>
      <c r="V280" s="10">
        <v>35098.9</v>
      </c>
      <c r="W280" s="60">
        <f t="shared" si="61"/>
        <v>407497.31</v>
      </c>
      <c r="X280" s="28">
        <v>13.5</v>
      </c>
      <c r="Y280" s="59">
        <v>33358.481549884622</v>
      </c>
      <c r="Z280" s="60">
        <f t="shared" si="62"/>
        <v>450339.50092344242</v>
      </c>
      <c r="AA280" s="60">
        <f t="shared" ref="AA280:AA343" si="66">SUM(Y280*R280)</f>
        <v>426988.56383852317</v>
      </c>
      <c r="AB280" s="60">
        <f t="shared" si="58"/>
        <v>23350.937084919249</v>
      </c>
      <c r="AC280" s="60">
        <f t="shared" si="59"/>
        <v>857836.81092344248</v>
      </c>
      <c r="AD280" s="61">
        <f>+VLOOKUP(C280,'[1]pic au 25-03'!C:R,16,FALSE)</f>
        <v>73172.941549884621</v>
      </c>
      <c r="AE280" s="31"/>
      <c r="AF280" s="62">
        <v>817341.7571122112</v>
      </c>
      <c r="AG280" s="31"/>
      <c r="AH280" s="62">
        <v>768315.88627378852</v>
      </c>
      <c r="AI280" s="31"/>
      <c r="AJ280" s="28">
        <f t="shared" si="60"/>
        <v>924174.65092344244</v>
      </c>
      <c r="AK280" s="21">
        <f>+VLOOKUP(C280,'[1]stock au 25-03-25'!A:X,24,FALSE)</f>
        <v>4715.5600000000004</v>
      </c>
      <c r="AL280" t="s">
        <v>45</v>
      </c>
      <c r="AM280" s="21">
        <f t="shared" ref="AM280:AM288" si="67">IF(AD280-AK280&lt;0,0,AD280-AK280)</f>
        <v>68457.381549884623</v>
      </c>
      <c r="AN280" t="s">
        <v>45</v>
      </c>
      <c r="AO280" s="63">
        <v>695264.39295574115</v>
      </c>
      <c r="AP280" s="64">
        <f>IF(AM280&lt;0,0,AM280*R280)</f>
        <v>876254.48383852327</v>
      </c>
      <c r="AQ280" t="s">
        <v>46</v>
      </c>
      <c r="AR280" s="36">
        <f>(AP280-AO280)/AO280</f>
        <v>0.26031836624531918</v>
      </c>
      <c r="AS280" s="81"/>
      <c r="AT280" s="81">
        <f>(AO280-J280)/J280</f>
        <v>-9.1342772906014946E-2</v>
      </c>
      <c r="AU280" s="81"/>
      <c r="AV280" s="66">
        <f>(AP280-J280)/J280</f>
        <v>0.14519739192809322</v>
      </c>
      <c r="BB280" s="56">
        <f>+R280*F280</f>
        <v>997830.27200000011</v>
      </c>
    </row>
    <row r="281" spans="1:54" ht="18.75" outlineLevel="1" x14ac:dyDescent="0.3">
      <c r="A281">
        <v>14</v>
      </c>
      <c r="B281" t="s">
        <v>346</v>
      </c>
      <c r="C281">
        <v>339426</v>
      </c>
      <c r="D281" t="s">
        <v>350</v>
      </c>
      <c r="E281" t="s">
        <v>348</v>
      </c>
      <c r="F281" s="21">
        <f>+VLOOKUP(C281,'[1]stock au 25-03-25'!A:D,4,FALSE)</f>
        <v>36051.644999999997</v>
      </c>
      <c r="G281" t="s">
        <v>45</v>
      </c>
      <c r="H281" s="22">
        <f>+VLOOKUP(C281,'[1]stock au 25-03-25'!A:F,6,FALSE)</f>
        <v>7.4856431655199094</v>
      </c>
      <c r="I281" t="s">
        <v>46</v>
      </c>
      <c r="J281" s="56">
        <f>+VLOOKUP(C281,'[1]stock au 25-03-25'!A:H,8,FALSE)</f>
        <v>269869.75</v>
      </c>
      <c r="K281" t="s">
        <v>46</v>
      </c>
      <c r="L281" s="23">
        <v>7.45</v>
      </c>
      <c r="M281" t="s">
        <v>46</v>
      </c>
      <c r="N281" s="56">
        <f>+VLOOKUP(C281,'[1]stock au 25-03-25'!A:L,12,FALSE)</f>
        <v>268584.75524999999</v>
      </c>
      <c r="P281" s="57">
        <v>7.73</v>
      </c>
      <c r="Q281" t="s">
        <v>46</v>
      </c>
      <c r="R281" s="25">
        <v>7.45</v>
      </c>
      <c r="T281" s="26">
        <v>10.7026474091838</v>
      </c>
      <c r="U281" s="58">
        <f t="shared" si="65"/>
        <v>0.43659696767567785</v>
      </c>
      <c r="V281" s="10">
        <v>17855.57</v>
      </c>
      <c r="W281" s="60">
        <f t="shared" si="61"/>
        <v>191101.87</v>
      </c>
      <c r="X281" s="28">
        <v>11.207046770426489</v>
      </c>
      <c r="Y281" s="59">
        <v>17700.831026873926</v>
      </c>
      <c r="Z281" s="60">
        <f t="shared" si="62"/>
        <v>198374.04119359242</v>
      </c>
      <c r="AA281" s="60">
        <f t="shared" si="66"/>
        <v>131871.19115021074</v>
      </c>
      <c r="AB281" s="60">
        <f t="shared" si="58"/>
        <v>66502.850043381681</v>
      </c>
      <c r="AC281" s="60">
        <f t="shared" si="59"/>
        <v>389475.91119359242</v>
      </c>
      <c r="AD281" s="61">
        <f>+VLOOKUP(C281,'[1]pic au 25-03'!C:R,16,FALSE)</f>
        <v>38439.237026873925</v>
      </c>
      <c r="AE281" s="31"/>
      <c r="AF281" s="62">
        <v>304088.1779707133</v>
      </c>
      <c r="AG281" s="31"/>
      <c r="AH281" s="62">
        <v>293073.34099376632</v>
      </c>
      <c r="AI281" s="31"/>
      <c r="AJ281" s="28">
        <f t="shared" si="60"/>
        <v>398482.24929621647</v>
      </c>
      <c r="AK281" s="21">
        <f>+VLOOKUP(C281,'[1]stock au 25-03-25'!A:X,24,FALSE)</f>
        <v>2882.8359999999998</v>
      </c>
      <c r="AL281" t="s">
        <v>45</v>
      </c>
      <c r="AM281" s="21">
        <f t="shared" si="67"/>
        <v>35556.401026873922</v>
      </c>
      <c r="AN281" t="s">
        <v>45</v>
      </c>
      <c r="AO281" s="63">
        <v>257854.4967799001</v>
      </c>
      <c r="AP281" s="64">
        <f>IF(AM281&lt;0,0,AM281*R281)</f>
        <v>264895.18765021075</v>
      </c>
      <c r="AQ281" t="s">
        <v>46</v>
      </c>
      <c r="AR281" s="36">
        <f>(AP281-AO281)/AO281</f>
        <v>2.7304898530896869E-2</v>
      </c>
      <c r="AS281" s="81"/>
      <c r="AT281" s="81">
        <f>(AO281-J281)/J281</f>
        <v>-4.4522415795397216E-2</v>
      </c>
      <c r="AU281" s="81"/>
      <c r="AV281" s="66">
        <f>(AP281-J281)/J281</f>
        <v>-1.8433197310144069E-2</v>
      </c>
      <c r="BB281" s="56">
        <f>+R281*F281</f>
        <v>268584.75524999999</v>
      </c>
    </row>
    <row r="282" spans="1:54" ht="18.75" outlineLevel="1" x14ac:dyDescent="0.3">
      <c r="A282">
        <v>14</v>
      </c>
      <c r="B282" t="s">
        <v>346</v>
      </c>
      <c r="C282">
        <v>347213</v>
      </c>
      <c r="D282" t="s">
        <v>351</v>
      </c>
      <c r="E282" t="s">
        <v>348</v>
      </c>
      <c r="F282" s="21">
        <f>+VLOOKUP(C282,'[1]stock au 25-03-25'!A:D,4,FALSE)</f>
        <v>30028.68</v>
      </c>
      <c r="G282" t="s">
        <v>45</v>
      </c>
      <c r="H282" s="22">
        <f>+VLOOKUP(C282,'[1]stock au 25-03-25'!A:F,6,FALSE)</f>
        <v>9.3268158973354804</v>
      </c>
      <c r="I282" t="s">
        <v>46</v>
      </c>
      <c r="J282" s="56">
        <f>+VLOOKUP(C282,'[1]stock au 25-03-25'!A:H,8,FALSE)</f>
        <v>280071.96999999997</v>
      </c>
      <c r="K282" t="s">
        <v>46</v>
      </c>
      <c r="L282" s="23">
        <v>8.91</v>
      </c>
      <c r="M282" t="s">
        <v>46</v>
      </c>
      <c r="N282" s="56">
        <f>+VLOOKUP(C282,'[1]stock au 25-03-25'!A:L,12,FALSE)</f>
        <v>267555.53879999998</v>
      </c>
      <c r="P282" s="57">
        <v>9.0399999999999991</v>
      </c>
      <c r="Q282" t="s">
        <v>46</v>
      </c>
      <c r="R282" s="25">
        <v>10</v>
      </c>
      <c r="T282" s="26">
        <v>11.89212013956921</v>
      </c>
      <c r="U282" s="58">
        <f t="shared" si="65"/>
        <v>0.18921201395692097</v>
      </c>
      <c r="V282" s="10">
        <v>10758.82</v>
      </c>
      <c r="W282" s="60">
        <f>IFERROR(V282*T282,0)</f>
        <v>127945.18000000001</v>
      </c>
      <c r="X282" s="28">
        <v>16</v>
      </c>
      <c r="Y282" s="59">
        <v>14896.490984052991</v>
      </c>
      <c r="Z282" s="60">
        <f t="shared" si="62"/>
        <v>238343.85574484785</v>
      </c>
      <c r="AA282" s="60">
        <f t="shared" si="66"/>
        <v>148964.9098405299</v>
      </c>
      <c r="AB282" s="60">
        <f t="shared" si="58"/>
        <v>89378.945904317952</v>
      </c>
      <c r="AC282" s="60">
        <f t="shared" si="59"/>
        <v>366289.03574484785</v>
      </c>
      <c r="AD282" s="61">
        <f>+VLOOKUP(C282,'[1]pic au 25-03'!C:R,16,FALSE)</f>
        <v>26410.902984052991</v>
      </c>
      <c r="AE282" s="31"/>
      <c r="AF282" s="62">
        <v>238754.56297583901</v>
      </c>
      <c r="AG282" s="31"/>
      <c r="AH282" s="62">
        <v>235321.14558791215</v>
      </c>
      <c r="AI282" s="31"/>
      <c r="AJ282" s="28">
        <f t="shared" si="60"/>
        <v>410484.97574484785</v>
      </c>
      <c r="AK282" s="21">
        <f>+VLOOKUP(C282,'[1]stock au 25-03-25'!A:X,24,FALSE)</f>
        <v>755.59199999999998</v>
      </c>
      <c r="AL282" t="s">
        <v>45</v>
      </c>
      <c r="AM282" s="21">
        <f t="shared" si="67"/>
        <v>25655.310984052991</v>
      </c>
      <c r="AN282" t="s">
        <v>45</v>
      </c>
      <c r="AO282" s="63">
        <v>233065.57389913412</v>
      </c>
      <c r="AP282" s="64">
        <f>IF(AM282&lt;0,0,AM282*R282)</f>
        <v>256553.10984052991</v>
      </c>
      <c r="AQ282" t="s">
        <v>46</v>
      </c>
      <c r="AR282" s="36">
        <f>(AP282-AO282)/AO282</f>
        <v>0.1007765134440692</v>
      </c>
      <c r="AS282" s="81"/>
      <c r="AT282" s="81">
        <f>(AO282-J282)/J282</f>
        <v>-0.16783684601092302</v>
      </c>
      <c r="AU282" s="81"/>
      <c r="AV282" s="66">
        <f>(AP282-J282)/J282</f>
        <v>-8.3974344735283799E-2</v>
      </c>
      <c r="BB282" s="56">
        <f>+R282*F282</f>
        <v>300286.8</v>
      </c>
    </row>
    <row r="283" spans="1:54" ht="18.75" outlineLevel="1" x14ac:dyDescent="0.3">
      <c r="A283">
        <v>14</v>
      </c>
      <c r="B283" t="s">
        <v>346</v>
      </c>
      <c r="C283">
        <v>340529</v>
      </c>
      <c r="D283" t="s">
        <v>352</v>
      </c>
      <c r="E283" t="s">
        <v>348</v>
      </c>
      <c r="F283" s="21">
        <f>+VLOOKUP(C283,'[1]stock au 25-03-25'!A:D,4,FALSE)</f>
        <v>18062</v>
      </c>
      <c r="G283" t="s">
        <v>45</v>
      </c>
      <c r="H283" s="22">
        <f>+VLOOKUP(C283,'[1]stock au 25-03-25'!A:F,6,FALSE)</f>
        <v>11.382943195659395</v>
      </c>
      <c r="I283" t="s">
        <v>46</v>
      </c>
      <c r="J283" s="56">
        <f>+VLOOKUP(C283,'[1]stock au 25-03-25'!A:H,8,FALSE)</f>
        <v>205598.72</v>
      </c>
      <c r="K283" t="s">
        <v>46</v>
      </c>
      <c r="L283" s="23">
        <v>11.3</v>
      </c>
      <c r="M283" t="s">
        <v>46</v>
      </c>
      <c r="N283" s="56">
        <f>+VLOOKUP(C283,'[1]stock au 25-03-25'!A:L,12,FALSE)</f>
        <v>204100.6</v>
      </c>
      <c r="P283" s="57">
        <v>10.9</v>
      </c>
      <c r="Q283" t="s">
        <v>46</v>
      </c>
      <c r="R283" s="25">
        <v>13.95</v>
      </c>
      <c r="T283" s="26">
        <v>13.668225954198475</v>
      </c>
      <c r="U283" s="58">
        <f t="shared" si="65"/>
        <v>-2.0198856329858406E-2</v>
      </c>
      <c r="V283" s="10">
        <v>9825</v>
      </c>
      <c r="W283" s="60">
        <f t="shared" si="61"/>
        <v>134290.32</v>
      </c>
      <c r="X283" s="28">
        <v>18</v>
      </c>
      <c r="Y283" s="59">
        <v>9589.195372840215</v>
      </c>
      <c r="Z283" s="60">
        <f>Y283*X283</f>
        <v>172605.51671112387</v>
      </c>
      <c r="AA283" s="60">
        <f t="shared" si="66"/>
        <v>133769.27545112098</v>
      </c>
      <c r="AB283" s="60">
        <f t="shared" si="58"/>
        <v>38836.241260002891</v>
      </c>
      <c r="AC283" s="60">
        <f t="shared" si="59"/>
        <v>306895.83671112388</v>
      </c>
      <c r="AD283" s="61">
        <f>+VLOOKUP(C283,'[1]pic au 25-03'!C:R,16,FALSE)</f>
        <v>19899.195372840215</v>
      </c>
      <c r="AE283" s="31"/>
      <c r="AF283" s="62">
        <v>216901.22956395839</v>
      </c>
      <c r="AG283" s="31"/>
      <c r="AH283" s="62">
        <v>224860.90771309449</v>
      </c>
      <c r="AI283" s="31"/>
      <c r="AJ283" s="28">
        <f t="shared" si="60"/>
        <v>349455.51671112387</v>
      </c>
      <c r="AK283" s="21">
        <f>+VLOOKUP(C283,'[1]stock au 25-03-25'!A:X,24,FALSE)</f>
        <v>485</v>
      </c>
      <c r="AL283" t="s">
        <v>45</v>
      </c>
      <c r="AM283" s="21">
        <f t="shared" si="67"/>
        <v>19414.195372840215</v>
      </c>
      <c r="AN283" t="s">
        <v>45</v>
      </c>
      <c r="AO283" s="63">
        <v>206272.53756648608</v>
      </c>
      <c r="AP283" s="64">
        <f>IF(AM283&lt;0,0,AM283*R283)</f>
        <v>270828.02545112098</v>
      </c>
      <c r="AQ283" t="s">
        <v>46</v>
      </c>
      <c r="AR283" s="36">
        <f>(AP283-AO283)/AO283</f>
        <v>0.312962106571396</v>
      </c>
      <c r="AS283" s="81"/>
      <c r="AT283" s="81">
        <f>(AO283-J283)/J283</f>
        <v>3.2773431978860351E-3</v>
      </c>
      <c r="AU283" s="81"/>
      <c r="AV283" s="66">
        <f>(AP283-J283)/J283</f>
        <v>0.31726513400044987</v>
      </c>
      <c r="BB283" s="56">
        <f>+R283*F283</f>
        <v>251964.9</v>
      </c>
    </row>
    <row r="284" spans="1:54" ht="18.75" outlineLevel="1" x14ac:dyDescent="0.3">
      <c r="A284">
        <v>14</v>
      </c>
      <c r="B284" t="s">
        <v>346</v>
      </c>
      <c r="C284">
        <v>339418</v>
      </c>
      <c r="D284" t="s">
        <v>353</v>
      </c>
      <c r="E284" t="s">
        <v>348</v>
      </c>
      <c r="F284" s="21">
        <f>+VLOOKUP(C284,'[1]stock au 25-03-25'!A:D,4,FALSE)</f>
        <v>28080</v>
      </c>
      <c r="G284" t="s">
        <v>45</v>
      </c>
      <c r="H284" s="22">
        <f>+VLOOKUP(C284,'[1]stock au 25-03-25'!A:F,6,FALSE)</f>
        <v>7.8055555555555554</v>
      </c>
      <c r="I284" t="s">
        <v>46</v>
      </c>
      <c r="J284" s="56">
        <f>+VLOOKUP(C284,'[1]stock au 25-03-25'!A:H,8,FALSE)</f>
        <v>219180</v>
      </c>
      <c r="K284" t="s">
        <v>46</v>
      </c>
      <c r="L284" s="23">
        <v>8.5</v>
      </c>
      <c r="M284" t="s">
        <v>46</v>
      </c>
      <c r="N284" s="56">
        <f>+VLOOKUP(C284,'[1]stock au 25-03-25'!A:L,12,FALSE)</f>
        <v>238680</v>
      </c>
      <c r="P284" s="57">
        <v>8</v>
      </c>
      <c r="Q284" t="s">
        <v>46</v>
      </c>
      <c r="R284" s="25">
        <v>10.25</v>
      </c>
      <c r="T284" s="26">
        <v>9.0776786833855798</v>
      </c>
      <c r="U284" s="58">
        <f t="shared" si="65"/>
        <v>-0.1143728113770166</v>
      </c>
      <c r="V284" s="10">
        <v>12760</v>
      </c>
      <c r="W284" s="60">
        <f t="shared" si="61"/>
        <v>115831.18</v>
      </c>
      <c r="X284" s="28">
        <v>12</v>
      </c>
      <c r="Y284" s="59">
        <v>10445.361091696832</v>
      </c>
      <c r="Z284" s="60">
        <f t="shared" si="62"/>
        <v>125344.33310036198</v>
      </c>
      <c r="AA284" s="60">
        <f t="shared" si="66"/>
        <v>107064.95118989253</v>
      </c>
      <c r="AB284" s="60">
        <f t="shared" si="58"/>
        <v>18279.381910469456</v>
      </c>
      <c r="AC284" s="60">
        <f t="shared" si="59"/>
        <v>241175.51310036198</v>
      </c>
      <c r="AD284" s="61">
        <f>+VLOOKUP(C284,'[1]pic au 25-03'!C:R,16,FALSE)</f>
        <v>25640.321091696831</v>
      </c>
      <c r="AE284" s="31"/>
      <c r="AF284" s="62">
        <v>205122.56873357465</v>
      </c>
      <c r="AG284" s="31"/>
      <c r="AH284" s="62">
        <v>217942.72927942299</v>
      </c>
      <c r="AI284" s="31"/>
      <c r="AJ284" s="28">
        <f t="shared" si="60"/>
        <v>278464.33310036198</v>
      </c>
      <c r="AK284" s="21">
        <f>+VLOOKUP(C284,'[1]stock au 25-03-25'!A:X,24,FALSE)</f>
        <v>2434.96</v>
      </c>
      <c r="AL284" t="s">
        <v>45</v>
      </c>
      <c r="AM284" s="21">
        <f t="shared" si="67"/>
        <v>23205.361091696832</v>
      </c>
      <c r="AN284" t="s">
        <v>45</v>
      </c>
      <c r="AO284" s="63">
        <f>AM284*H284</f>
        <v>181130.73518796693</v>
      </c>
      <c r="AP284" s="64">
        <f>AM284*R284</f>
        <v>237854.95118989254</v>
      </c>
      <c r="AQ284" t="s">
        <v>46</v>
      </c>
      <c r="AR284" s="36">
        <f>(AP284-AO284)/AO284</f>
        <v>0.31316725978647703</v>
      </c>
      <c r="AS284" s="81"/>
      <c r="AT284" s="81">
        <f>(AO284-J284)/J284</f>
        <v>-0.17359825172019833</v>
      </c>
      <c r="AU284" s="81"/>
      <c r="AV284" s="66">
        <f>(AP284-J284)/J284</f>
        <v>8.52037192713411E-2</v>
      </c>
      <c r="BB284" s="56">
        <f>+R284*F284</f>
        <v>287820</v>
      </c>
    </row>
    <row r="285" spans="1:54" ht="18.75" outlineLevel="1" x14ac:dyDescent="0.3">
      <c r="A285">
        <v>14</v>
      </c>
      <c r="B285" t="s">
        <v>346</v>
      </c>
      <c r="C285">
        <v>339427</v>
      </c>
      <c r="D285" t="s">
        <v>354</v>
      </c>
      <c r="E285" t="s">
        <v>348</v>
      </c>
      <c r="F285" s="21">
        <f>+VLOOKUP(C285,'[1]stock au 25-03-25'!A:D,4,FALSE)</f>
        <v>14957.955</v>
      </c>
      <c r="G285" t="s">
        <v>45</v>
      </c>
      <c r="H285" s="22">
        <f>+VLOOKUP(C285,'[1]stock au 25-03-25'!A:F,6,FALSE)</f>
        <v>7.7881301287508888</v>
      </c>
      <c r="I285" t="s">
        <v>46</v>
      </c>
      <c r="J285" s="56">
        <f>+VLOOKUP(C285,'[1]stock au 25-03-25'!A:H,8,FALSE)</f>
        <v>116494.5</v>
      </c>
      <c r="K285" t="s">
        <v>46</v>
      </c>
      <c r="L285" s="23">
        <v>7.86</v>
      </c>
      <c r="M285" t="s">
        <v>46</v>
      </c>
      <c r="N285" s="56">
        <f>+VLOOKUP(C285,'[1]stock au 25-03-25'!A:L,12,FALSE)</f>
        <v>117569.5263</v>
      </c>
      <c r="P285" s="57">
        <v>8.1</v>
      </c>
      <c r="Q285" t="s">
        <v>46</v>
      </c>
      <c r="R285" s="25">
        <v>8.5</v>
      </c>
      <c r="T285" s="26">
        <v>10.756971108805509</v>
      </c>
      <c r="U285" s="58">
        <f t="shared" si="65"/>
        <v>0.26552601280064808</v>
      </c>
      <c r="V285" s="10">
        <v>7151.66</v>
      </c>
      <c r="W285" s="60">
        <f t="shared" si="61"/>
        <v>76930.2</v>
      </c>
      <c r="X285" s="28">
        <v>14</v>
      </c>
      <c r="Y285" s="59">
        <v>7683.5292415620925</v>
      </c>
      <c r="Z285" s="60">
        <f t="shared" si="62"/>
        <v>107569.40938186929</v>
      </c>
      <c r="AA285" s="60">
        <f t="shared" si="66"/>
        <v>65309.998553277786</v>
      </c>
      <c r="AB285" s="60">
        <f t="shared" si="58"/>
        <v>42259.410828591506</v>
      </c>
      <c r="AC285" s="60">
        <f t="shared" si="59"/>
        <v>184499.60938186929</v>
      </c>
      <c r="AD285" s="61">
        <f>+VLOOKUP(C285,'[1]pic au 25-03'!C:R,16,FALSE)</f>
        <v>14935.273241562092</v>
      </c>
      <c r="AE285" s="31"/>
      <c r="AF285" s="62">
        <v>122797.13284265294</v>
      </c>
      <c r="AG285" s="31"/>
      <c r="AH285" s="62">
        <v>119158.69927694471</v>
      </c>
      <c r="AI285" s="31"/>
      <c r="AJ285" s="28">
        <f t="shared" si="60"/>
        <v>207692.64938186927</v>
      </c>
      <c r="AK285" s="21">
        <f>+VLOOKUP(C285,'[1]stock au 25-03-25'!A:X,24,FALSE)</f>
        <v>100.084</v>
      </c>
      <c r="AL285" t="s">
        <v>45</v>
      </c>
      <c r="AM285" s="21">
        <f t="shared" si="67"/>
        <v>14835.189241562091</v>
      </c>
      <c r="AN285" t="s">
        <v>45</v>
      </c>
      <c r="AO285" s="63">
        <v>112202.45456324964</v>
      </c>
      <c r="AP285" s="64">
        <f>IF(AM285&lt;0,0,AM285*R285)</f>
        <v>126099.10855327778</v>
      </c>
      <c r="AQ285" t="s">
        <v>46</v>
      </c>
      <c r="AR285" s="36">
        <f>(AP285-AO285)/AO285</f>
        <v>0.1238533866671736</v>
      </c>
      <c r="AS285" s="81"/>
      <c r="AT285" s="81">
        <f>(AO285-J285)/J285</f>
        <v>-3.684333111649353E-2</v>
      </c>
      <c r="AU285" s="81"/>
      <c r="AV285" s="66">
        <f>(AP285-J285)/J285</f>
        <v>8.2446884215802291E-2</v>
      </c>
      <c r="BB285" s="56">
        <f>+R285*F285</f>
        <v>127142.61749999999</v>
      </c>
    </row>
    <row r="286" spans="1:54" ht="18.75" outlineLevel="1" x14ac:dyDescent="0.3">
      <c r="A286">
        <v>14</v>
      </c>
      <c r="B286" t="s">
        <v>346</v>
      </c>
      <c r="C286">
        <v>361001</v>
      </c>
      <c r="D286" t="s">
        <v>355</v>
      </c>
      <c r="E286" t="s">
        <v>348</v>
      </c>
      <c r="F286" s="21">
        <f>+VLOOKUP(C286,'[1]stock au 25-03-25'!A:D,4,FALSE)</f>
        <v>5535.54</v>
      </c>
      <c r="G286" t="s">
        <v>45</v>
      </c>
      <c r="H286" s="22">
        <f>+VLOOKUP(C286,'[1]stock au 25-03-25'!A:F,6,FALSE)</f>
        <v>7.6615795387622532</v>
      </c>
      <c r="I286" t="s">
        <v>46</v>
      </c>
      <c r="J286" s="56">
        <f>+VLOOKUP(C286,'[1]stock au 25-03-25'!A:H,8,FALSE)</f>
        <v>42410.98</v>
      </c>
      <c r="K286" t="s">
        <v>46</v>
      </c>
      <c r="L286" s="23">
        <v>8.9499999999999993</v>
      </c>
      <c r="M286" t="s">
        <v>46</v>
      </c>
      <c r="N286" s="56">
        <f>+VLOOKUP(C286,'[1]stock au 25-03-25'!A:L,12,FALSE)</f>
        <v>49543.082999999999</v>
      </c>
      <c r="P286" s="57">
        <v>8.56</v>
      </c>
      <c r="Q286" t="s">
        <v>46</v>
      </c>
      <c r="R286" s="25">
        <v>11</v>
      </c>
      <c r="T286" s="26">
        <v>10.43328452961714</v>
      </c>
      <c r="U286" s="58">
        <f t="shared" si="65"/>
        <v>-5.1519588216623641E-2</v>
      </c>
      <c r="V286" s="10">
        <v>4217.5749999999998</v>
      </c>
      <c r="W286" s="60">
        <f t="shared" si="61"/>
        <v>44003.16</v>
      </c>
      <c r="X286" s="28">
        <v>11</v>
      </c>
      <c r="Y286" s="59">
        <v>3983.2170292341116</v>
      </c>
      <c r="Z286" s="60">
        <f t="shared" si="62"/>
        <v>43815.387321575225</v>
      </c>
      <c r="AA286" s="60">
        <f t="shared" si="66"/>
        <v>43815.387321575225</v>
      </c>
      <c r="AB286" s="60">
        <f t="shared" si="58"/>
        <v>0</v>
      </c>
      <c r="AC286" s="60">
        <f t="shared" si="59"/>
        <v>87818.547321575228</v>
      </c>
      <c r="AD286" s="61">
        <f>+VLOOKUP(C286,'[1]pic au 25-03'!C:R,16,FALSE)</f>
        <v>8718.0240292341114</v>
      </c>
      <c r="AE286" s="31"/>
      <c r="AF286" s="62">
        <v>74626.285690243982</v>
      </c>
      <c r="AG286" s="31"/>
      <c r="AH286" s="62">
        <v>78026.315061645277</v>
      </c>
      <c r="AI286" s="31"/>
      <c r="AJ286" s="28">
        <f t="shared" si="60"/>
        <v>90208.712321575222</v>
      </c>
      <c r="AK286" s="21">
        <f>+VLOOKUP(C286,'[1]stock au 25-03-25'!A:X,24,FALSE)</f>
        <v>517.23199999999997</v>
      </c>
      <c r="AL286" t="s">
        <v>45</v>
      </c>
      <c r="AM286" s="21">
        <f t="shared" si="67"/>
        <v>8200.7920292341114</v>
      </c>
      <c r="AN286" t="s">
        <v>45</v>
      </c>
      <c r="AO286" s="63">
        <v>61011.223130072176</v>
      </c>
      <c r="AP286" s="64">
        <f>IF(AM286&lt;0,0,AM286*R286)</f>
        <v>90208.712321575222</v>
      </c>
      <c r="AQ286" t="s">
        <v>46</v>
      </c>
      <c r="AR286" s="36">
        <f>(AP286-AO286)/AO286</f>
        <v>0.47855931570582994</v>
      </c>
      <c r="AS286" s="81"/>
      <c r="AT286" s="81">
        <f>(AO286-J286)/J286</f>
        <v>0.43857140603853462</v>
      </c>
      <c r="AU286" s="81"/>
      <c r="AV286" s="66">
        <f>(AP286-J286)/J286</f>
        <v>1.1270131537063095</v>
      </c>
      <c r="BB286" s="56">
        <f>+R286*F286</f>
        <v>60890.94</v>
      </c>
    </row>
    <row r="287" spans="1:54" ht="18.75" outlineLevel="1" x14ac:dyDescent="0.3">
      <c r="A287">
        <v>14</v>
      </c>
      <c r="B287" t="s">
        <v>346</v>
      </c>
      <c r="C287">
        <v>347198</v>
      </c>
      <c r="D287" t="s">
        <v>356</v>
      </c>
      <c r="E287" t="s">
        <v>348</v>
      </c>
      <c r="F287" s="21">
        <f>+VLOOKUP(C287,'[1]stock au 25-03-25'!A:D,4,FALSE)</f>
        <v>5917.1850000000004</v>
      </c>
      <c r="G287" t="s">
        <v>45</v>
      </c>
      <c r="H287" s="22">
        <f>+VLOOKUP(C287,'[1]stock au 25-03-25'!A:F,6,FALSE)</f>
        <v>8.8969991642985633</v>
      </c>
      <c r="I287" t="s">
        <v>46</v>
      </c>
      <c r="J287" s="56">
        <f>+VLOOKUP(C287,'[1]stock au 25-03-25'!A:H,8,FALSE)</f>
        <v>52645.19</v>
      </c>
      <c r="K287" t="s">
        <v>46</v>
      </c>
      <c r="L287" s="23">
        <v>8.91</v>
      </c>
      <c r="M287" t="s">
        <v>46</v>
      </c>
      <c r="N287" s="56">
        <f>+VLOOKUP(C287,'[1]stock au 25-03-25'!A:L,12,FALSE)</f>
        <v>52722.118350000004</v>
      </c>
      <c r="P287" s="57">
        <v>9.1999999999999993</v>
      </c>
      <c r="Q287" t="s">
        <v>46</v>
      </c>
      <c r="R287" s="25">
        <v>9.5</v>
      </c>
      <c r="T287" s="26">
        <v>7.6029977232481665</v>
      </c>
      <c r="U287" s="58">
        <f t="shared" si="65"/>
        <v>-0.19968445018440353</v>
      </c>
      <c r="V287" s="10">
        <v>790.6</v>
      </c>
      <c r="W287" s="60">
        <f t="shared" si="61"/>
        <v>6010.93</v>
      </c>
      <c r="X287" s="28">
        <v>16</v>
      </c>
      <c r="Y287" s="59">
        <v>3395.5853845359479</v>
      </c>
      <c r="Z287" s="60">
        <f t="shared" si="62"/>
        <v>54329.366152575167</v>
      </c>
      <c r="AA287" s="60">
        <f t="shared" si="66"/>
        <v>32258.061153091505</v>
      </c>
      <c r="AB287" s="60">
        <f t="shared" si="58"/>
        <v>22071.304999483662</v>
      </c>
      <c r="AC287" s="60">
        <f t="shared" si="59"/>
        <v>60340.296152575167</v>
      </c>
      <c r="AD287" s="61">
        <f>+VLOOKUP(C287,'[1]pic au 25-03'!C:R,16,FALSE)</f>
        <v>5006.1003845359483</v>
      </c>
      <c r="AE287" s="31"/>
      <c r="AF287" s="62">
        <v>46056.123537730709</v>
      </c>
      <c r="AG287" s="31"/>
      <c r="AH287" s="62">
        <v>44604.354426215294</v>
      </c>
      <c r="AI287" s="31"/>
      <c r="AJ287" s="28">
        <f t="shared" si="60"/>
        <v>66978.966152575173</v>
      </c>
      <c r="AK287" s="21">
        <f>+VLOOKUP(C287,'[1]stock au 25-03-25'!A:X,24,FALSE)</f>
        <v>819.91499999999996</v>
      </c>
      <c r="AL287" t="s">
        <v>45</v>
      </c>
      <c r="AM287" s="21">
        <f t="shared" si="67"/>
        <v>4186.1853845359483</v>
      </c>
      <c r="AN287" t="s">
        <v>45</v>
      </c>
      <c r="AO287" s="63">
        <v>37244.487867815187</v>
      </c>
      <c r="AP287" s="64">
        <f>IF(AM287&lt;0,0,AM287*R287)</f>
        <v>39768.761153091509</v>
      </c>
      <c r="AQ287" t="s">
        <v>46</v>
      </c>
      <c r="AR287" s="36">
        <f>(AP287-AO287)/AO287</f>
        <v>6.7775755011996605E-2</v>
      </c>
      <c r="AS287" s="81"/>
      <c r="AT287" s="81">
        <f>(AO287-J287)/J287</f>
        <v>-0.29253768734018842</v>
      </c>
      <c r="AU287" s="81"/>
      <c r="AV287" s="66">
        <f>(AP287-J287)/J287</f>
        <v>-0.24458889495713648</v>
      </c>
      <c r="BB287" s="56">
        <f>+R287*F287</f>
        <v>56213.257500000007</v>
      </c>
    </row>
    <row r="288" spans="1:54" ht="18.75" outlineLevel="1" x14ac:dyDescent="0.3">
      <c r="A288">
        <v>14</v>
      </c>
      <c r="B288" t="s">
        <v>346</v>
      </c>
      <c r="C288">
        <v>339417</v>
      </c>
      <c r="D288" t="s">
        <v>357</v>
      </c>
      <c r="E288" t="s">
        <v>348</v>
      </c>
      <c r="F288" s="21">
        <f>+VLOOKUP(C288,'[1]stock au 25-03-25'!A:D,4,FALSE)</f>
        <v>2875</v>
      </c>
      <c r="G288" t="s">
        <v>45</v>
      </c>
      <c r="H288" s="22">
        <f>+VLOOKUP(C288,'[1]stock au 25-03-25'!A:F,6,FALSE)</f>
        <v>7.6</v>
      </c>
      <c r="I288" t="s">
        <v>46</v>
      </c>
      <c r="J288" s="56">
        <f>+VLOOKUP(C288,'[1]stock au 25-03-25'!A:H,8,FALSE)</f>
        <v>21850</v>
      </c>
      <c r="K288" t="s">
        <v>46</v>
      </c>
      <c r="L288" s="23">
        <v>7.6</v>
      </c>
      <c r="M288" t="s">
        <v>46</v>
      </c>
      <c r="N288" s="56">
        <f>+VLOOKUP(C288,'[1]stock au 25-03-25'!A:L,12,FALSE)</f>
        <v>21850</v>
      </c>
      <c r="P288" s="57"/>
      <c r="Q288" t="s">
        <v>46</v>
      </c>
      <c r="R288" s="25">
        <f>H288*(1+VLOOKUP(A288,'[1]Variation MP'!$B$3:$D$22,3))</f>
        <v>8.8919999999999995</v>
      </c>
      <c r="T288" s="26" t="s">
        <v>53</v>
      </c>
      <c r="U288" s="58" t="str">
        <f t="shared" si="65"/>
        <v/>
      </c>
      <c r="V288" s="10">
        <v>0</v>
      </c>
      <c r="W288" s="60">
        <f t="shared" si="61"/>
        <v>0</v>
      </c>
      <c r="X288" s="28">
        <v>11</v>
      </c>
      <c r="Y288" s="59">
        <v>0</v>
      </c>
      <c r="Z288" s="60">
        <f t="shared" si="62"/>
        <v>0</v>
      </c>
      <c r="AA288" s="60">
        <f t="shared" si="66"/>
        <v>0</v>
      </c>
      <c r="AB288" s="60">
        <f t="shared" si="58"/>
        <v>0</v>
      </c>
      <c r="AC288" s="60">
        <f t="shared" si="59"/>
        <v>0</v>
      </c>
      <c r="AD288" s="61">
        <v>0</v>
      </c>
      <c r="AE288" s="31"/>
      <c r="AF288" s="62"/>
      <c r="AG288" s="31"/>
      <c r="AH288" s="62"/>
      <c r="AI288" s="31"/>
      <c r="AJ288" s="28">
        <f t="shared" si="60"/>
        <v>0</v>
      </c>
      <c r="AK288" s="21">
        <f>+VLOOKUP(C288,'[1]stock au 25-03-25'!A:X,24,FALSE)</f>
        <v>0</v>
      </c>
      <c r="AL288" t="s">
        <v>45</v>
      </c>
      <c r="AM288" s="21">
        <f t="shared" si="67"/>
        <v>0</v>
      </c>
      <c r="AN288" t="s">
        <v>45</v>
      </c>
      <c r="AO288" s="63">
        <f>AM288*H288</f>
        <v>0</v>
      </c>
      <c r="AP288" s="64">
        <f>AM288*R288</f>
        <v>0</v>
      </c>
      <c r="AQ288" t="s">
        <v>46</v>
      </c>
      <c r="AR288" s="36" t="e">
        <f>(AP288-AO288)/AO288</f>
        <v>#DIV/0!</v>
      </c>
      <c r="AS288" s="81"/>
      <c r="AT288" s="81">
        <f>(AO288-J288)/J288</f>
        <v>-1</v>
      </c>
      <c r="AU288" s="81"/>
      <c r="AV288" s="66">
        <f>(AP288-J288)/J288</f>
        <v>-1</v>
      </c>
      <c r="BB288" s="56">
        <f>+R288*F288</f>
        <v>25564.5</v>
      </c>
    </row>
    <row r="289" spans="1:54" ht="18.75" outlineLevel="1" x14ac:dyDescent="0.3">
      <c r="A289">
        <v>14</v>
      </c>
      <c r="B289" t="s">
        <v>346</v>
      </c>
      <c r="C289">
        <v>339424</v>
      </c>
      <c r="D289" t="s">
        <v>358</v>
      </c>
      <c r="E289" t="s">
        <v>348</v>
      </c>
      <c r="F289" s="21">
        <f>+VLOOKUP(C289,'[1]stock au 25-03-25'!A:D,4,FALSE)</f>
        <v>70918.315000000002</v>
      </c>
      <c r="G289" t="s">
        <v>45</v>
      </c>
      <c r="H289" s="22">
        <f>+VLOOKUP(C289,'[1]stock au 25-03-25'!A:F,6,FALSE)</f>
        <v>6.7234143958440065</v>
      </c>
      <c r="I289" t="s">
        <v>46</v>
      </c>
      <c r="J289" s="56">
        <f>+VLOOKUP(C289,'[1]stock au 25-03-25'!A:H,8,FALSE)</f>
        <v>476813.22</v>
      </c>
      <c r="K289" t="s">
        <v>46</v>
      </c>
      <c r="L289" s="23">
        <v>8.4</v>
      </c>
      <c r="M289" t="s">
        <v>46</v>
      </c>
      <c r="N289" s="56">
        <f>+VLOOKUP(C289,'[1]stock au 25-03-25'!A:L,12,FALSE)</f>
        <v>595713.84600000002</v>
      </c>
      <c r="P289" s="57"/>
      <c r="Q289" t="s">
        <v>46</v>
      </c>
      <c r="R289" s="25">
        <v>6.8</v>
      </c>
      <c r="T289" s="26">
        <v>6.3999999017786893</v>
      </c>
      <c r="U289" s="58">
        <f t="shared" si="65"/>
        <v>-5.8823543856075085E-2</v>
      </c>
      <c r="V289" s="10">
        <v>20362.18</v>
      </c>
      <c r="W289" s="60">
        <f t="shared" si="61"/>
        <v>130317.95</v>
      </c>
      <c r="X289" s="28">
        <v>6.3999998884754001</v>
      </c>
      <c r="Y289" s="59">
        <v>-39021.040000000001</v>
      </c>
      <c r="Z289" s="60">
        <f t="shared" si="62"/>
        <v>-249734.65164819412</v>
      </c>
      <c r="AA289" s="60">
        <f t="shared" si="66"/>
        <v>-265343.07199999999</v>
      </c>
      <c r="AB289" s="60">
        <f t="shared" si="58"/>
        <v>15608.420351805864</v>
      </c>
      <c r="AC289" s="60">
        <f t="shared" si="59"/>
        <v>-119416.70164819412</v>
      </c>
      <c r="AD289" s="61">
        <v>4</v>
      </c>
      <c r="AE289" s="31"/>
      <c r="AF289" s="62"/>
      <c r="AG289" s="31"/>
      <c r="AH289" s="62"/>
      <c r="AI289" s="31"/>
      <c r="AJ289" s="28">
        <f t="shared" si="60"/>
        <v>0</v>
      </c>
      <c r="AK289" s="21">
        <f>+VLOOKUP(C289,'[1]stock au 25-03-25'!A:X,24,FALSE)</f>
        <v>18662.86</v>
      </c>
      <c r="AL289" t="s">
        <v>45</v>
      </c>
      <c r="AM289" s="21">
        <v>0</v>
      </c>
      <c r="AN289" t="s">
        <v>45</v>
      </c>
      <c r="AO289" s="63"/>
      <c r="AP289" s="64">
        <f>IF(AM289&lt;0,0,AM289*R289)</f>
        <v>0</v>
      </c>
      <c r="AQ289" t="s">
        <v>46</v>
      </c>
      <c r="AR289" s="36" t="e">
        <f>(AP289-AO289)/AO289</f>
        <v>#DIV/0!</v>
      </c>
      <c r="AS289" s="81"/>
      <c r="AT289" s="81">
        <f>(AO289-J289)/J289</f>
        <v>-1</v>
      </c>
      <c r="AU289" s="81"/>
      <c r="AV289" s="66">
        <f>(AP289-J289)/J289</f>
        <v>-1</v>
      </c>
      <c r="BB289" s="56">
        <f>+R289*F289</f>
        <v>482244.54200000002</v>
      </c>
    </row>
    <row r="290" spans="1:54" x14ac:dyDescent="0.25">
      <c r="A290" s="67"/>
      <c r="B290" s="67" t="s">
        <v>359</v>
      </c>
      <c r="C290" s="67"/>
      <c r="D290" s="67"/>
      <c r="E290" s="67"/>
      <c r="F290" s="79">
        <f>SUM(F279:F289)</f>
        <v>340075.46</v>
      </c>
      <c r="G290" s="67" t="s">
        <v>45</v>
      </c>
      <c r="H290" s="69"/>
      <c r="I290" s="67"/>
      <c r="J290" s="70">
        <f>SUM(J279:J289)</f>
        <v>2991990.34</v>
      </c>
      <c r="K290" s="67"/>
      <c r="L290" s="69"/>
      <c r="M290" s="67"/>
      <c r="N290" s="70">
        <f>SUM(N279:N289)</f>
        <v>3156635.4377000001</v>
      </c>
      <c r="O290" s="78"/>
      <c r="P290" s="78">
        <f>SUM(P279:P289)</f>
        <v>72.7</v>
      </c>
      <c r="Q290" s="78">
        <f>SUM(Q279:Q289)</f>
        <v>0</v>
      </c>
      <c r="R290" s="78"/>
      <c r="S290" s="78"/>
      <c r="T290" s="83"/>
      <c r="U290" s="83"/>
      <c r="V290" s="10">
        <v>0</v>
      </c>
      <c r="W290" s="60">
        <f>SUM(W279:W289)</f>
        <v>1432940.7299999997</v>
      </c>
      <c r="X290" s="28">
        <f>SUM(X279:X289)</f>
        <v>141.60704665890188</v>
      </c>
      <c r="Y290" s="59">
        <v>-39346.951000000001</v>
      </c>
      <c r="Z290" s="60">
        <f>SUM(Z279:Z289)</f>
        <v>2209382.7338811941</v>
      </c>
      <c r="AA290" s="60">
        <f t="shared" si="66"/>
        <v>0</v>
      </c>
      <c r="AB290" s="60"/>
      <c r="AC290" s="60">
        <f t="shared" si="59"/>
        <v>3642323.4638811937</v>
      </c>
      <c r="AD290" s="74">
        <f>SUM(AD279:AD289)</f>
        <v>323225.99568068079</v>
      </c>
      <c r="AE290" s="75"/>
      <c r="AF290" s="76">
        <f>SUM(AF279:AF289)</f>
        <v>2025687.8384269243</v>
      </c>
      <c r="AG290" s="75"/>
      <c r="AH290" s="76">
        <f>SUM(AH279:AH289)</f>
        <v>3231670.2709737984</v>
      </c>
      <c r="AI290" s="75"/>
      <c r="AJ290" s="28">
        <f>SUM(AJ279:AJ289)</f>
        <v>4013442.0536320126</v>
      </c>
      <c r="AK290" s="77">
        <f>SUM(AK279:AK289)</f>
        <v>39346.951000000001</v>
      </c>
      <c r="AL290" s="78">
        <f>SUM(AL279:AL289)</f>
        <v>0</v>
      </c>
      <c r="AM290" s="79">
        <f>SUM(AM279:AM289)</f>
        <v>302510.81668068067</v>
      </c>
      <c r="AN290" s="78" t="s">
        <v>45</v>
      </c>
      <c r="AO290" s="80">
        <f>SUM(AO279:AO289)</f>
        <v>2997684.6139104869</v>
      </c>
      <c r="AP290" s="80">
        <f>SUM(AP279:AP289)</f>
        <v>3285162.339998222</v>
      </c>
      <c r="AQ290" s="67"/>
      <c r="AR290" s="81">
        <f>(AP290-AO290)/AO290</f>
        <v>9.5899923812438573E-2</v>
      </c>
      <c r="AS290" s="72">
        <f>AP290-AO290</f>
        <v>287477.72608773503</v>
      </c>
      <c r="AT290" s="81">
        <f>(AO290-J290)/J290</f>
        <v>1.9031725585340865E-3</v>
      </c>
      <c r="AU290" s="82">
        <f>AO290-J290</f>
        <v>5694.2739104870707</v>
      </c>
      <c r="AV290" s="81">
        <f>(AP290-J290)/J290</f>
        <v>9.7985610474338E-2</v>
      </c>
      <c r="AW290" s="72">
        <f>AP290-N290</f>
        <v>128526.90229822183</v>
      </c>
      <c r="AX290" s="67"/>
      <c r="AY290" s="67"/>
      <c r="AZ290" s="81">
        <f>(AM290-F290)/F290</f>
        <v>-0.11045972949450499</v>
      </c>
      <c r="BA290" s="81">
        <f>(AP290-N290)/N290</f>
        <v>4.0716422543830275E-2</v>
      </c>
      <c r="BB290" s="78">
        <f>SUM(BB279:BB289)</f>
        <v>3400203.3692499995</v>
      </c>
    </row>
    <row r="291" spans="1:54" ht="18.75" outlineLevel="1" x14ac:dyDescent="0.3">
      <c r="A291">
        <v>15</v>
      </c>
      <c r="B291" t="s">
        <v>360</v>
      </c>
      <c r="C291">
        <v>360468</v>
      </c>
      <c r="D291" t="s">
        <v>361</v>
      </c>
      <c r="E291" t="s">
        <v>362</v>
      </c>
      <c r="F291" s="21">
        <f>+VLOOKUP(C291,'[1]stock au 25-03-25'!A:D,4,FALSE)</f>
        <v>29990</v>
      </c>
      <c r="G291" t="s">
        <v>45</v>
      </c>
      <c r="H291" s="22">
        <f>+VLOOKUP(C291,'[1]stock au 25-03-25'!A:F,6,FALSE)</f>
        <v>6.8153767922640878</v>
      </c>
      <c r="I291" t="s">
        <v>46</v>
      </c>
      <c r="J291" s="56">
        <f>+VLOOKUP(C291,'[1]stock au 25-03-25'!A:H,8,FALSE)</f>
        <v>204393.15</v>
      </c>
      <c r="K291" t="s">
        <v>46</v>
      </c>
      <c r="L291" s="23">
        <v>6.8</v>
      </c>
      <c r="M291" t="s">
        <v>46</v>
      </c>
      <c r="N291" s="56">
        <f>+VLOOKUP(C291,'[1]stock au 25-03-25'!A:L,12,FALSE)</f>
        <v>203932</v>
      </c>
      <c r="P291" s="57">
        <v>6.78</v>
      </c>
      <c r="Q291" t="s">
        <v>46</v>
      </c>
      <c r="R291" s="25">
        <f>H291*(1+VLOOKUP(A291,'[1]Variation MP'!$B$3:$D$22,3))</f>
        <v>6.8153767922640878</v>
      </c>
      <c r="T291" s="26">
        <v>6.7399999999999993</v>
      </c>
      <c r="U291" s="58">
        <f t="shared" ref="U291:U306" si="68">IFERROR((T291-R291)/R291,"")</f>
        <v>-1.1059812914473957E-2</v>
      </c>
      <c r="V291" s="10">
        <v>29420</v>
      </c>
      <c r="W291" s="60">
        <f t="shared" si="61"/>
        <v>198290.8</v>
      </c>
      <c r="X291" s="28">
        <v>6.78</v>
      </c>
      <c r="Y291" s="59">
        <v>51719.846724422139</v>
      </c>
      <c r="Z291" s="60">
        <f t="shared" si="62"/>
        <v>350660.5607915821</v>
      </c>
      <c r="AA291" s="60">
        <f t="shared" si="66"/>
        <v>352490.24306508247</v>
      </c>
      <c r="AB291" s="60">
        <f t="shared" si="58"/>
        <v>-1829.6822735003661</v>
      </c>
      <c r="AC291" s="60">
        <f t="shared" si="59"/>
        <v>548951.36079158215</v>
      </c>
      <c r="AD291" s="61">
        <f>+VLOOKUP(C291,'[1]pic au 25-03'!C:R,16,FALSE)</f>
        <v>85094.846724422139</v>
      </c>
      <c r="AE291" s="31"/>
      <c r="AF291" s="62">
        <v>576943.06079158199</v>
      </c>
      <c r="AG291" s="31"/>
      <c r="AH291" s="62">
        <v>578644.95772607042</v>
      </c>
      <c r="AI291" s="31"/>
      <c r="AJ291" s="28">
        <f t="shared" si="60"/>
        <v>550128.16079158208</v>
      </c>
      <c r="AK291" s="21">
        <f>+VLOOKUP(C291,'[1]stock au 25-03-25'!A:X,24,FALSE)</f>
        <v>3955</v>
      </c>
      <c r="AL291" t="s">
        <v>45</v>
      </c>
      <c r="AM291" s="21">
        <f t="shared" ref="AM291:AM306" si="69">IF(AD291-AK291&lt;0,0,AD291-AK291)</f>
        <v>81139.846724422139</v>
      </c>
      <c r="AN291" t="s">
        <v>45</v>
      </c>
      <c r="AO291" s="63">
        <v>545127.18110875424</v>
      </c>
      <c r="AP291" s="64">
        <f t="shared" ref="AP291:AP306" si="70">IF(AM291&lt;0,0,AM291*R291)</f>
        <v>552998.6282934919</v>
      </c>
      <c r="AQ291" t="s">
        <v>46</v>
      </c>
      <c r="AR291" s="36">
        <f>(AP291-AO291)/AO291</f>
        <v>1.4439652722375041E-2</v>
      </c>
      <c r="AS291" s="81"/>
      <c r="AT291" s="81">
        <f>(AO291-J291)/J291</f>
        <v>1.6670521057518524</v>
      </c>
      <c r="AU291" s="81"/>
      <c r="AV291" s="66">
        <f>(AP291-J291)/J291</f>
        <v>1.7055634119513883</v>
      </c>
      <c r="BB291" s="56">
        <f>+R291*F291</f>
        <v>204393.15</v>
      </c>
    </row>
    <row r="292" spans="1:54" ht="18.75" outlineLevel="1" x14ac:dyDescent="0.3">
      <c r="A292">
        <v>15</v>
      </c>
      <c r="B292" t="s">
        <v>360</v>
      </c>
      <c r="C292">
        <v>346161</v>
      </c>
      <c r="D292" t="s">
        <v>363</v>
      </c>
      <c r="E292" t="s">
        <v>348</v>
      </c>
      <c r="F292" s="21">
        <f>+VLOOKUP(C292,'[1]stock au 25-03-25'!A:D,4,FALSE)</f>
        <v>34151.836000000003</v>
      </c>
      <c r="G292" t="s">
        <v>45</v>
      </c>
      <c r="H292" s="22">
        <f>+VLOOKUP(C292,'[1]stock au 25-03-25'!A:F,6,FALSE)</f>
        <v>6.8519683685527175</v>
      </c>
      <c r="I292" t="s">
        <v>46</v>
      </c>
      <c r="J292" s="56">
        <f>+VLOOKUP(C292,'[1]stock au 25-03-25'!A:H,8,FALSE)</f>
        <v>234007.3</v>
      </c>
      <c r="K292" t="s">
        <v>46</v>
      </c>
      <c r="L292" s="23">
        <v>7</v>
      </c>
      <c r="M292" t="s">
        <v>46</v>
      </c>
      <c r="N292" s="56">
        <f>+VLOOKUP(C292,'[1]stock au 25-03-25'!A:L,12,FALSE)</f>
        <v>239062.85200000001</v>
      </c>
      <c r="P292" s="57">
        <v>7</v>
      </c>
      <c r="Q292" t="s">
        <v>46</v>
      </c>
      <c r="R292" s="25">
        <v>8.3000000000000007</v>
      </c>
      <c r="T292" s="26">
        <v>8.1347942864119158</v>
      </c>
      <c r="U292" s="58">
        <f t="shared" si="68"/>
        <v>-1.9904302841937938E-2</v>
      </c>
      <c r="V292" s="10">
        <v>16382</v>
      </c>
      <c r="W292" s="60">
        <f t="shared" si="61"/>
        <v>133264.20000000001</v>
      </c>
      <c r="X292" s="28">
        <v>8.9</v>
      </c>
      <c r="Y292" s="59">
        <v>35833.834102946086</v>
      </c>
      <c r="Z292" s="60">
        <f t="shared" si="62"/>
        <v>318921.12351622019</v>
      </c>
      <c r="AA292" s="60">
        <f t="shared" si="66"/>
        <v>297420.82305445254</v>
      </c>
      <c r="AB292" s="60">
        <f t="shared" si="58"/>
        <v>21500.300461767649</v>
      </c>
      <c r="AC292" s="60">
        <f t="shared" si="59"/>
        <v>452185.3235162202</v>
      </c>
      <c r="AD292" s="61">
        <f>+VLOOKUP(C292,'[1]pic au 25-03'!C:R,16,FALSE)</f>
        <v>52459.834102946086</v>
      </c>
      <c r="AE292" s="31"/>
      <c r="AF292" s="62">
        <v>367218.83872062247</v>
      </c>
      <c r="AG292" s="31"/>
      <c r="AH292" s="62">
        <v>367218.83872062247</v>
      </c>
      <c r="AI292" s="31"/>
      <c r="AJ292" s="28">
        <f t="shared" si="60"/>
        <v>464720.92351622018</v>
      </c>
      <c r="AK292" s="21">
        <f>+VLOOKUP(C292,'[1]stock au 25-03-25'!A:X,24,FALSE)</f>
        <v>244</v>
      </c>
      <c r="AL292" t="s">
        <v>45</v>
      </c>
      <c r="AM292" s="21">
        <f t="shared" si="69"/>
        <v>52215.834102946086</v>
      </c>
      <c r="AN292" t="s">
        <v>45</v>
      </c>
      <c r="AO292" s="63">
        <v>357828.07085580775</v>
      </c>
      <c r="AP292" s="64">
        <f t="shared" si="70"/>
        <v>433391.42305445258</v>
      </c>
      <c r="AQ292" t="s">
        <v>46</v>
      </c>
      <c r="AR292" s="36">
        <f>(AP292-AO292)/AO292</f>
        <v>0.21117223145160746</v>
      </c>
      <c r="AS292" s="81"/>
      <c r="AT292" s="81">
        <f>(AO292-J292)/J292</f>
        <v>0.52913208628879427</v>
      </c>
      <c r="AU292" s="81"/>
      <c r="AV292" s="66">
        <f>(AP292-J292)/J292</f>
        <v>0.85204232113465095</v>
      </c>
      <c r="BB292" s="56">
        <f>+R292*F292</f>
        <v>283460.23880000005</v>
      </c>
    </row>
    <row r="293" spans="1:54" ht="18.75" outlineLevel="1" x14ac:dyDescent="0.3">
      <c r="A293">
        <v>15</v>
      </c>
      <c r="B293" t="s">
        <v>360</v>
      </c>
      <c r="C293">
        <v>346951</v>
      </c>
      <c r="D293" t="s">
        <v>364</v>
      </c>
      <c r="E293" t="s">
        <v>362</v>
      </c>
      <c r="F293" s="21">
        <f>+VLOOKUP(C293,'[1]stock au 25-03-25'!A:D,4,FALSE)</f>
        <v>16303</v>
      </c>
      <c r="G293" t="s">
        <v>45</v>
      </c>
      <c r="H293" s="22">
        <f>+VLOOKUP(C293,'[1]stock au 25-03-25'!A:F,6,FALSE)</f>
        <v>6.8637244678893454</v>
      </c>
      <c r="I293" t="s">
        <v>46</v>
      </c>
      <c r="J293" s="56">
        <f>+VLOOKUP(C293,'[1]stock au 25-03-25'!A:H,8,FALSE)</f>
        <v>111899.3</v>
      </c>
      <c r="K293" t="s">
        <v>46</v>
      </c>
      <c r="L293" s="23">
        <v>7.23</v>
      </c>
      <c r="M293" t="s">
        <v>46</v>
      </c>
      <c r="N293" s="56">
        <f>+VLOOKUP(C293,'[1]stock au 25-03-25'!A:L,12,FALSE)</f>
        <v>117870.69</v>
      </c>
      <c r="P293" s="57">
        <v>7.23</v>
      </c>
      <c r="Q293" t="s">
        <v>46</v>
      </c>
      <c r="R293" s="25">
        <v>7.1</v>
      </c>
      <c r="T293" s="26">
        <v>7.0773986261910036</v>
      </c>
      <c r="U293" s="58">
        <f t="shared" si="68"/>
        <v>-3.1832920857740948E-3</v>
      </c>
      <c r="V293" s="10">
        <v>9026</v>
      </c>
      <c r="W293" s="60">
        <f t="shared" si="61"/>
        <v>63880.6</v>
      </c>
      <c r="X293" s="28">
        <v>7.0562395309882744</v>
      </c>
      <c r="Y293" s="59">
        <v>8009.5830377069724</v>
      </c>
      <c r="Z293" s="60">
        <f t="shared" si="62"/>
        <v>56517.536457401082</v>
      </c>
      <c r="AA293" s="60">
        <f t="shared" si="66"/>
        <v>56868.039567719505</v>
      </c>
      <c r="AB293" s="60">
        <f t="shared" si="58"/>
        <v>-350.50311031842284</v>
      </c>
      <c r="AC293" s="60">
        <f t="shared" si="59"/>
        <v>120398.13645740108</v>
      </c>
      <c r="AD293" s="61">
        <f>+VLOOKUP(C293,'[1]pic au 25-03'!C:R,16,FALSE)</f>
        <v>17547.385037706972</v>
      </c>
      <c r="AE293" s="31"/>
      <c r="AF293" s="62">
        <v>128606.55658775475</v>
      </c>
      <c r="AG293" s="31"/>
      <c r="AH293" s="62">
        <v>128606.55658775475</v>
      </c>
      <c r="AI293" s="31"/>
      <c r="AJ293" s="28">
        <f t="shared" si="60"/>
        <v>120207.15446410124</v>
      </c>
      <c r="AK293" s="21">
        <f>+VLOOKUP(C293,'[1]stock au 25-03-25'!A:X,24,FALSE)</f>
        <v>511.80200000000002</v>
      </c>
      <c r="AL293" t="s">
        <v>45</v>
      </c>
      <c r="AM293" s="21">
        <f t="shared" si="69"/>
        <v>17035.583037706972</v>
      </c>
      <c r="AN293" t="s">
        <v>45</v>
      </c>
      <c r="AO293" s="63">
        <v>119746.91578084478</v>
      </c>
      <c r="AP293" s="64">
        <f t="shared" si="70"/>
        <v>120952.6395677195</v>
      </c>
      <c r="AQ293" t="s">
        <v>46</v>
      </c>
      <c r="AR293" s="36">
        <f>(AP293-AO293)/AO293</f>
        <v>1.0068933959696944E-2</v>
      </c>
      <c r="AS293" s="81"/>
      <c r="AT293" s="81">
        <f>(AO293-J293)/J293</f>
        <v>7.0131053374281827E-2</v>
      </c>
      <c r="AU293" s="81"/>
      <c r="AV293" s="66">
        <f>(AP293-J293)/J293</f>
        <v>8.09061322789284E-2</v>
      </c>
      <c r="BB293" s="56">
        <f>+R293*F293</f>
        <v>115751.29999999999</v>
      </c>
    </row>
    <row r="294" spans="1:54" ht="18.75" outlineLevel="1" x14ac:dyDescent="0.3">
      <c r="A294">
        <v>15</v>
      </c>
      <c r="B294" t="s">
        <v>360</v>
      </c>
      <c r="C294">
        <v>338856</v>
      </c>
      <c r="D294" t="s">
        <v>365</v>
      </c>
      <c r="E294" t="s">
        <v>366</v>
      </c>
      <c r="F294" s="21">
        <f>+VLOOKUP(C294,'[1]stock au 25-03-25'!A:D,4,FALSE)</f>
        <v>15345</v>
      </c>
      <c r="G294" t="s">
        <v>45</v>
      </c>
      <c r="H294" s="22">
        <f>+VLOOKUP(C294,'[1]stock au 25-03-25'!A:F,6,FALSE)</f>
        <v>6.75</v>
      </c>
      <c r="I294" t="s">
        <v>46</v>
      </c>
      <c r="J294" s="56">
        <f>+VLOOKUP(C294,'[1]stock au 25-03-25'!A:H,8,FALSE)</f>
        <v>103578.75</v>
      </c>
      <c r="K294" t="s">
        <v>46</v>
      </c>
      <c r="L294" s="23">
        <v>6.75</v>
      </c>
      <c r="M294" t="s">
        <v>46</v>
      </c>
      <c r="N294" s="56">
        <f>+VLOOKUP(C294,'[1]stock au 25-03-25'!A:L,12,FALSE)</f>
        <v>103578.75</v>
      </c>
      <c r="P294" s="57">
        <v>6.75</v>
      </c>
      <c r="Q294" t="s">
        <v>46</v>
      </c>
      <c r="R294" s="25">
        <v>6.9</v>
      </c>
      <c r="T294" s="26">
        <v>6.9207801418439718</v>
      </c>
      <c r="U294" s="58">
        <f t="shared" si="68"/>
        <v>3.0116147599958663E-3</v>
      </c>
      <c r="V294" s="10">
        <v>7755</v>
      </c>
      <c r="W294" s="60">
        <f t="shared" si="61"/>
        <v>53670.65</v>
      </c>
      <c r="X294" s="28">
        <v>7.03</v>
      </c>
      <c r="Y294" s="59">
        <v>5933.1907914663816</v>
      </c>
      <c r="Z294" s="60">
        <f t="shared" si="62"/>
        <v>41710.331264008666</v>
      </c>
      <c r="AA294" s="60">
        <f t="shared" si="66"/>
        <v>40939.016461118037</v>
      </c>
      <c r="AB294" s="60">
        <f t="shared" si="58"/>
        <v>771.31480289062893</v>
      </c>
      <c r="AC294" s="60">
        <f t="shared" si="59"/>
        <v>95380.981264008675</v>
      </c>
      <c r="AD294" s="61">
        <f>+VLOOKUP(C294,'[1]pic au 25-03'!C:R,16,FALSE)</f>
        <v>14262.390791466381</v>
      </c>
      <c r="AE294" s="31"/>
      <c r="AF294" s="62">
        <v>96271.137842398093</v>
      </c>
      <c r="AG294" s="31"/>
      <c r="AH294" s="62">
        <v>96271.137842398093</v>
      </c>
      <c r="AI294" s="31"/>
      <c r="AJ294" s="28">
        <f t="shared" si="60"/>
        <v>96227.98126400866</v>
      </c>
      <c r="AK294" s="21">
        <f>+VLOOKUP(C294,'[1]stock au 25-03-25'!A:X,24,FALSE)</f>
        <v>574.20000000000005</v>
      </c>
      <c r="AL294" t="s">
        <v>45</v>
      </c>
      <c r="AM294" s="21">
        <f t="shared" si="69"/>
        <v>13688.190791466381</v>
      </c>
      <c r="AN294" t="s">
        <v>45</v>
      </c>
      <c r="AO294" s="63">
        <v>91314.612842398084</v>
      </c>
      <c r="AP294" s="64">
        <f t="shared" si="70"/>
        <v>94448.516461118037</v>
      </c>
      <c r="AQ294" t="s">
        <v>46</v>
      </c>
      <c r="AR294" s="36">
        <f>(AP294-AO294)/AO294</f>
        <v>3.4319847844384188E-2</v>
      </c>
      <c r="AS294" s="81"/>
      <c r="AT294" s="81">
        <f>(AO294-J294)/J294</f>
        <v>-0.11840398882591184</v>
      </c>
      <c r="AU294" s="81"/>
      <c r="AV294" s="66">
        <f>(AP294-J294)/J294</f>
        <v>-8.8147747862201101E-2</v>
      </c>
      <c r="BB294" s="56">
        <f>+R294*F294</f>
        <v>105880.5</v>
      </c>
    </row>
    <row r="295" spans="1:54" ht="18.75" outlineLevel="1" x14ac:dyDescent="0.3">
      <c r="A295">
        <v>15</v>
      </c>
      <c r="B295" t="s">
        <v>360</v>
      </c>
      <c r="C295">
        <v>338860</v>
      </c>
      <c r="D295" t="s">
        <v>367</v>
      </c>
      <c r="E295" t="s">
        <v>348</v>
      </c>
      <c r="F295" s="21">
        <f>+VLOOKUP(C295,'[1]stock au 25-03-25'!A:D,4,FALSE)</f>
        <v>7040</v>
      </c>
      <c r="G295" t="s">
        <v>45</v>
      </c>
      <c r="H295" s="22">
        <f>+VLOOKUP(C295,'[1]stock au 25-03-25'!A:F,6,FALSE)</f>
        <v>8.1999999999999993</v>
      </c>
      <c r="I295" t="s">
        <v>46</v>
      </c>
      <c r="J295" s="56">
        <f>+VLOOKUP(C295,'[1]stock au 25-03-25'!A:H,8,FALSE)</f>
        <v>57728</v>
      </c>
      <c r="K295" t="s">
        <v>46</v>
      </c>
      <c r="L295" s="23">
        <v>8.1999999999999993</v>
      </c>
      <c r="M295" t="s">
        <v>46</v>
      </c>
      <c r="N295" s="56">
        <f>+VLOOKUP(C295,'[1]stock au 25-03-25'!A:L,12,FALSE)</f>
        <v>57727.999999999993</v>
      </c>
      <c r="Q295" t="s">
        <v>46</v>
      </c>
      <c r="R295" s="25">
        <v>8.5</v>
      </c>
      <c r="T295" s="26">
        <v>8.9435430463576164</v>
      </c>
      <c r="U295" s="58">
        <f t="shared" si="68"/>
        <v>5.2181534865601932E-2</v>
      </c>
      <c r="V295" s="10">
        <v>6040</v>
      </c>
      <c r="W295" s="60">
        <f t="shared" si="61"/>
        <v>54019</v>
      </c>
      <c r="X295" s="28">
        <v>9.1</v>
      </c>
      <c r="Y295" s="59">
        <v>3385.3001350000013</v>
      </c>
      <c r="Z295" s="60">
        <f t="shared" si="62"/>
        <v>30806.231228500012</v>
      </c>
      <c r="AA295" s="60">
        <f t="shared" si="66"/>
        <v>28775.051147500009</v>
      </c>
      <c r="AB295" s="60">
        <f t="shared" si="58"/>
        <v>2031.1800810000022</v>
      </c>
      <c r="AC295" s="60">
        <f t="shared" si="59"/>
        <v>84825.231228500008</v>
      </c>
      <c r="AD295" s="61">
        <f>+VLOOKUP(C295,'[1]pic au 25-03'!C:R,16,FALSE)</f>
        <v>10635.300135000001</v>
      </c>
      <c r="AE295" s="31"/>
      <c r="AF295" s="62"/>
      <c r="AG295" s="31"/>
      <c r="AH295" s="62">
        <v>87209.461106999996</v>
      </c>
      <c r="AI295" s="31"/>
      <c r="AJ295" s="28">
        <f t="shared" si="60"/>
        <v>85770.231228500008</v>
      </c>
      <c r="AK295" s="21">
        <f>+VLOOKUP(C295,'[1]stock au 25-03-25'!A:X,24,FALSE)</f>
        <v>1210</v>
      </c>
      <c r="AL295" t="s">
        <v>45</v>
      </c>
      <c r="AM295" s="21">
        <f t="shared" si="69"/>
        <v>9425.3001350000013</v>
      </c>
      <c r="AN295" t="s">
        <v>45</v>
      </c>
      <c r="AO295" s="63">
        <v>77397.36570699999</v>
      </c>
      <c r="AP295" s="64">
        <f t="shared" si="70"/>
        <v>80115.051147500009</v>
      </c>
      <c r="AQ295" t="s">
        <v>46</v>
      </c>
      <c r="AR295" s="36">
        <f>(AP295-AO295)/AO295</f>
        <v>3.5113410071193493E-2</v>
      </c>
      <c r="AS295" s="81"/>
      <c r="AT295" s="81">
        <f>(AO295-J295)/J295</f>
        <v>0.34072487713068167</v>
      </c>
      <c r="AU295" s="81"/>
      <c r="AV295" s="66">
        <f>(AP295-J295)/J295</f>
        <v>0.38780229953402179</v>
      </c>
      <c r="BB295" s="56">
        <f>+R295*F295</f>
        <v>59840</v>
      </c>
    </row>
    <row r="296" spans="1:54" ht="18.75" outlineLevel="1" x14ac:dyDescent="0.3">
      <c r="A296">
        <v>15</v>
      </c>
      <c r="B296" t="s">
        <v>360</v>
      </c>
      <c r="C296">
        <v>340533</v>
      </c>
      <c r="D296" t="s">
        <v>368</v>
      </c>
      <c r="E296" t="s">
        <v>362</v>
      </c>
      <c r="F296" s="21">
        <f>+VLOOKUP(C296,'[1]stock au 25-03-25'!A:D,4,FALSE)</f>
        <v>4520</v>
      </c>
      <c r="G296" t="s">
        <v>45</v>
      </c>
      <c r="H296" s="22">
        <f>+VLOOKUP(C296,'[1]stock au 25-03-25'!A:F,6,FALSE)</f>
        <v>6.5476106194690269</v>
      </c>
      <c r="I296" t="s">
        <v>46</v>
      </c>
      <c r="J296" s="56">
        <f>+VLOOKUP(C296,'[1]stock au 25-03-25'!A:H,8,FALSE)</f>
        <v>29595.200000000001</v>
      </c>
      <c r="K296" t="s">
        <v>46</v>
      </c>
      <c r="L296" s="23">
        <v>7.25</v>
      </c>
      <c r="M296" t="s">
        <v>46</v>
      </c>
      <c r="N296" s="56">
        <f>+VLOOKUP(C296,'[1]stock au 25-03-25'!A:L,12,FALSE)</f>
        <v>32770</v>
      </c>
      <c r="P296" s="57">
        <v>6.38</v>
      </c>
      <c r="Q296" t="s">
        <v>46</v>
      </c>
      <c r="R296" s="25">
        <f>H296*(1+VLOOKUP(A296,'[1]Variation MP'!$B$3:$D$22,3))</f>
        <v>6.5476106194690269</v>
      </c>
      <c r="T296" s="26">
        <v>6.5200000000000005</v>
      </c>
      <c r="U296" s="58">
        <f t="shared" si="68"/>
        <v>-4.2169000378439563E-3</v>
      </c>
      <c r="V296" s="10">
        <v>2360</v>
      </c>
      <c r="W296" s="60">
        <f t="shared" si="61"/>
        <v>15387.2</v>
      </c>
      <c r="X296" s="28">
        <v>6.52</v>
      </c>
      <c r="Y296" s="59">
        <v>1837.0685930802674</v>
      </c>
      <c r="Z296" s="60">
        <f t="shared" si="62"/>
        <v>11977.687226883343</v>
      </c>
      <c r="AA296" s="60">
        <f t="shared" si="66"/>
        <v>12028.409828745383</v>
      </c>
      <c r="AB296" s="60">
        <f t="shared" si="58"/>
        <v>-50.722601862040392</v>
      </c>
      <c r="AC296" s="60">
        <f t="shared" si="59"/>
        <v>27364.887226883344</v>
      </c>
      <c r="AD296" s="61">
        <f>+VLOOKUP(C296,'[1]pic au 25-03'!C:R,16,FALSE)</f>
        <v>4708.9125930802675</v>
      </c>
      <c r="AE296" s="31"/>
      <c r="AF296" s="62">
        <v>30042.862343852106</v>
      </c>
      <c r="AG296" s="31"/>
      <c r="AH296" s="62">
        <v>34139.616299831941</v>
      </c>
      <c r="AI296" s="31"/>
      <c r="AJ296" s="28">
        <f t="shared" si="60"/>
        <v>27364.88722688334</v>
      </c>
      <c r="AK296" s="21">
        <f>+VLOOKUP(C296,'[1]stock au 25-03-25'!A:X,24,FALSE)</f>
        <v>511.84399999999999</v>
      </c>
      <c r="AL296" t="s">
        <v>45</v>
      </c>
      <c r="AM296" s="21">
        <f t="shared" si="69"/>
        <v>4197.0685930802674</v>
      </c>
      <c r="AN296" t="s">
        <v>45</v>
      </c>
      <c r="AO296" s="63">
        <v>27073.977866883346</v>
      </c>
      <c r="AP296" s="64">
        <f t="shared" si="70"/>
        <v>27480.770890692285</v>
      </c>
      <c r="AQ296" t="s">
        <v>46</v>
      </c>
      <c r="AR296" s="36">
        <f>(AP296-AO296)/AO296</f>
        <v>1.5025240317808082E-2</v>
      </c>
      <c r="AS296" s="81"/>
      <c r="AT296" s="81">
        <f>(AO296-J296)/J296</f>
        <v>-8.5190238049300385E-2</v>
      </c>
      <c r="AU296" s="81"/>
      <c r="AV296" s="66">
        <f>(AP296-J296)/J296</f>
        <v>-7.144500153091432E-2</v>
      </c>
      <c r="BB296" s="56">
        <f>+R296*F296</f>
        <v>29595.200000000001</v>
      </c>
    </row>
    <row r="297" spans="1:54" ht="18.75" outlineLevel="1" x14ac:dyDescent="0.3">
      <c r="A297">
        <v>15</v>
      </c>
      <c r="B297" t="s">
        <v>360</v>
      </c>
      <c r="C297">
        <v>346952</v>
      </c>
      <c r="D297" t="s">
        <v>369</v>
      </c>
      <c r="E297" t="s">
        <v>362</v>
      </c>
      <c r="F297" s="21">
        <f>+VLOOKUP(C297,'[1]stock au 25-03-25'!A:D,4,FALSE)</f>
        <v>4070</v>
      </c>
      <c r="G297" t="s">
        <v>45</v>
      </c>
      <c r="H297" s="22">
        <f>+VLOOKUP(C297,'[1]stock au 25-03-25'!A:F,6,FALSE)</f>
        <v>7.4748157248157252</v>
      </c>
      <c r="I297" t="s">
        <v>46</v>
      </c>
      <c r="J297" s="56">
        <f>+VLOOKUP(C297,'[1]stock au 25-03-25'!A:H,8,FALSE)</f>
        <v>30422.5</v>
      </c>
      <c r="K297" t="s">
        <v>46</v>
      </c>
      <c r="L297" s="23">
        <v>7.82</v>
      </c>
      <c r="M297" t="s">
        <v>46</v>
      </c>
      <c r="N297" s="56">
        <f>+VLOOKUP(C297,'[1]stock au 25-03-25'!A:L,12,FALSE)</f>
        <v>31827.4</v>
      </c>
      <c r="P297" s="57">
        <v>7.82</v>
      </c>
      <c r="Q297" t="s">
        <v>46</v>
      </c>
      <c r="R297" s="25">
        <v>7.55</v>
      </c>
      <c r="T297" s="26">
        <v>7.65</v>
      </c>
      <c r="U297" s="58">
        <f t="shared" si="68"/>
        <v>1.3245033112582853E-2</v>
      </c>
      <c r="V297" s="10">
        <v>1080</v>
      </c>
      <c r="W297" s="60">
        <f t="shared" si="61"/>
        <v>8262</v>
      </c>
      <c r="X297" s="28">
        <v>7.55</v>
      </c>
      <c r="Y297" s="59">
        <v>2074.5774592136759</v>
      </c>
      <c r="Z297" s="60">
        <f t="shared" si="62"/>
        <v>15663.059817063253</v>
      </c>
      <c r="AA297" s="60">
        <f t="shared" si="66"/>
        <v>15663.059817063253</v>
      </c>
      <c r="AB297" s="60">
        <f t="shared" si="58"/>
        <v>0</v>
      </c>
      <c r="AC297" s="60">
        <f t="shared" si="59"/>
        <v>23925.059817063251</v>
      </c>
      <c r="AD297" s="61">
        <f>+VLOOKUP(C297,'[1]pic au 25-03'!C:R,16,FALSE)</f>
        <v>3948.3664592136756</v>
      </c>
      <c r="AE297" s="31"/>
      <c r="AF297" s="62">
        <v>30876.225711050942</v>
      </c>
      <c r="AG297" s="31"/>
      <c r="AH297" s="62">
        <v>30876.225711050942</v>
      </c>
      <c r="AI297" s="31"/>
      <c r="AJ297" s="28">
        <f t="shared" si="60"/>
        <v>23817.059817063251</v>
      </c>
      <c r="AK297" s="21">
        <f>+VLOOKUP(C297,'[1]stock au 25-03-25'!A:X,24,FALSE)</f>
        <v>793.78899999999999</v>
      </c>
      <c r="AL297" t="s">
        <v>45</v>
      </c>
      <c r="AM297" s="21">
        <f t="shared" si="69"/>
        <v>3154.5774592136759</v>
      </c>
      <c r="AN297" t="s">
        <v>45</v>
      </c>
      <c r="AO297" s="63">
        <v>24049.768288265666</v>
      </c>
      <c r="AP297" s="64">
        <f t="shared" si="70"/>
        <v>23817.059817063251</v>
      </c>
      <c r="AQ297" t="s">
        <v>46</v>
      </c>
      <c r="AR297" s="36">
        <f>(AP297-AO297)/AO297</f>
        <v>-9.6761211340218225E-3</v>
      </c>
      <c r="AS297" s="81"/>
      <c r="AT297" s="81">
        <f>(AO297-J297)/J297</f>
        <v>-0.20947429408281151</v>
      </c>
      <c r="AU297" s="81"/>
      <c r="AV297" s="66">
        <f>(AP297-J297)/J297</f>
        <v>-0.21712351657282436</v>
      </c>
      <c r="BB297" s="56">
        <f>+R297*F297</f>
        <v>30728.5</v>
      </c>
    </row>
    <row r="298" spans="1:54" ht="18.75" outlineLevel="1" x14ac:dyDescent="0.3">
      <c r="A298">
        <v>15</v>
      </c>
      <c r="B298" t="s">
        <v>360</v>
      </c>
      <c r="C298">
        <v>345849</v>
      </c>
      <c r="D298" t="s">
        <v>370</v>
      </c>
      <c r="E298" t="s">
        <v>362</v>
      </c>
      <c r="F298" s="21">
        <f>+VLOOKUP(C298,'[1]stock au 25-03-25'!A:D,4,FALSE)</f>
        <v>5015.848</v>
      </c>
      <c r="G298" t="s">
        <v>45</v>
      </c>
      <c r="H298" s="22">
        <f>+VLOOKUP(C298,'[1]stock au 25-03-25'!A:F,6,FALSE)</f>
        <v>4.2799981179652971</v>
      </c>
      <c r="I298" t="s">
        <v>46</v>
      </c>
      <c r="J298" s="56">
        <f>+VLOOKUP(C298,'[1]stock au 25-03-25'!A:H,8,FALSE)</f>
        <v>21467.82</v>
      </c>
      <c r="K298" t="s">
        <v>46</v>
      </c>
      <c r="L298" s="23">
        <v>4.37</v>
      </c>
      <c r="M298" t="s">
        <v>46</v>
      </c>
      <c r="N298" s="56">
        <f>+VLOOKUP(C298,'[1]stock au 25-03-25'!A:L,12,FALSE)</f>
        <v>21919.25576</v>
      </c>
      <c r="P298" s="57">
        <v>4.37</v>
      </c>
      <c r="Q298" t="s">
        <v>46</v>
      </c>
      <c r="R298" s="25">
        <f>H298*(1+VLOOKUP(A298,'[1]Variation MP'!$B$3:$D$22,3))</f>
        <v>4.2799981179652971</v>
      </c>
      <c r="T298" s="26">
        <v>4.28</v>
      </c>
      <c r="U298" s="58">
        <f t="shared" si="68"/>
        <v>4.3972792775153954E-7</v>
      </c>
      <c r="V298" s="10">
        <v>2950</v>
      </c>
      <c r="W298" s="60">
        <f t="shared" si="61"/>
        <v>12626</v>
      </c>
      <c r="X298" s="28">
        <v>4.28</v>
      </c>
      <c r="Y298" s="59">
        <v>1604.2292719825546</v>
      </c>
      <c r="Z298" s="60">
        <f t="shared" si="62"/>
        <v>6866.1012840853336</v>
      </c>
      <c r="AA298" s="60">
        <f t="shared" si="66"/>
        <v>6866.098264870172</v>
      </c>
      <c r="AB298" s="60">
        <f t="shared" si="58"/>
        <v>3.0192151616574847E-3</v>
      </c>
      <c r="AC298" s="60">
        <f t="shared" si="59"/>
        <v>19492.101284085333</v>
      </c>
      <c r="AD298" s="61">
        <f>+VLOOKUP(C298,'[1]pic au 25-03'!C:R,16,FALSE)</f>
        <v>4801.7292719825546</v>
      </c>
      <c r="AE298" s="31"/>
      <c r="AF298" s="62">
        <v>20983.556918563761</v>
      </c>
      <c r="AG298" s="31"/>
      <c r="AH298" s="62">
        <v>20983.556918563761</v>
      </c>
      <c r="AI298" s="31"/>
      <c r="AJ298" s="28">
        <f t="shared" si="60"/>
        <v>19492.101284085336</v>
      </c>
      <c r="AK298" s="21">
        <f>+VLOOKUP(C298,'[1]stock au 25-03-25'!A:X,24,FALSE)</f>
        <v>247.5</v>
      </c>
      <c r="AL298" t="s">
        <v>45</v>
      </c>
      <c r="AM298" s="21">
        <f t="shared" si="69"/>
        <v>4554.2292719825546</v>
      </c>
      <c r="AN298" t="s">
        <v>45</v>
      </c>
      <c r="AO298" s="63">
        <v>19490.131731040186</v>
      </c>
      <c r="AP298" s="64">
        <f t="shared" si="70"/>
        <v>19492.092712867798</v>
      </c>
      <c r="AQ298" t="s">
        <v>46</v>
      </c>
      <c r="AR298" s="36">
        <f>(AP298-AO298)/AO298</f>
        <v>1.006140879226675E-4</v>
      </c>
      <c r="AS298" s="81"/>
      <c r="AT298" s="81">
        <f>(AO298-J298)/J298</f>
        <v>-9.212338602428255E-2</v>
      </c>
      <c r="AU298" s="81"/>
      <c r="AV298" s="66">
        <f>(AP298-J298)/J298</f>
        <v>-9.2032040846821053E-2</v>
      </c>
      <c r="BB298" s="56">
        <f>+R298*F298</f>
        <v>21467.82</v>
      </c>
    </row>
    <row r="299" spans="1:54" ht="18.75" outlineLevel="1" x14ac:dyDescent="0.3">
      <c r="A299">
        <v>15</v>
      </c>
      <c r="B299" t="s">
        <v>360</v>
      </c>
      <c r="C299">
        <v>346953</v>
      </c>
      <c r="D299" t="s">
        <v>371</v>
      </c>
      <c r="E299" t="s">
        <v>362</v>
      </c>
      <c r="F299" s="21">
        <f>+VLOOKUP(C299,'[1]stock au 25-03-25'!A:D,4,FALSE)</f>
        <v>2050</v>
      </c>
      <c r="G299" t="s">
        <v>45</v>
      </c>
      <c r="H299" s="22">
        <f>+VLOOKUP(C299,'[1]stock au 25-03-25'!A:F,6,FALSE)</f>
        <v>7.425365853658537</v>
      </c>
      <c r="I299" t="s">
        <v>46</v>
      </c>
      <c r="J299" s="56">
        <f>+VLOOKUP(C299,'[1]stock au 25-03-25'!A:H,8,FALSE)</f>
        <v>15222</v>
      </c>
      <c r="K299" t="s">
        <v>46</v>
      </c>
      <c r="L299" s="23">
        <v>7.93</v>
      </c>
      <c r="M299" t="s">
        <v>46</v>
      </c>
      <c r="N299" s="56">
        <f>+VLOOKUP(C299,'[1]stock au 25-03-25'!A:L,12,FALSE)</f>
        <v>16256.5</v>
      </c>
      <c r="P299" s="57">
        <v>7.93</v>
      </c>
      <c r="Q299" t="s">
        <v>46</v>
      </c>
      <c r="R299" s="25">
        <v>7.43</v>
      </c>
      <c r="T299" s="26">
        <v>7.55</v>
      </c>
      <c r="U299" s="58">
        <f t="shared" si="68"/>
        <v>1.6150740242261118E-2</v>
      </c>
      <c r="V299" s="10">
        <v>1000</v>
      </c>
      <c r="W299" s="60">
        <f t="shared" si="61"/>
        <v>7550</v>
      </c>
      <c r="X299" s="28">
        <v>7.5</v>
      </c>
      <c r="Y299" s="59">
        <v>605.90891163210142</v>
      </c>
      <c r="Z299" s="60">
        <f t="shared" si="62"/>
        <v>4544.3168372407608</v>
      </c>
      <c r="AA299" s="60">
        <f t="shared" si="66"/>
        <v>4501.9032134265135</v>
      </c>
      <c r="AB299" s="60">
        <f t="shared" si="58"/>
        <v>42.41362381424733</v>
      </c>
      <c r="AC299" s="60">
        <f t="shared" si="59"/>
        <v>12094.31683724076</v>
      </c>
      <c r="AD299" s="61">
        <f>+VLOOKUP(C299,'[1]pic au 25-03'!C:R,16,FALSE)</f>
        <v>2022.9899116321014</v>
      </c>
      <c r="AE299" s="31"/>
      <c r="AF299" s="62">
        <v>16042.309999242565</v>
      </c>
      <c r="AG299" s="31"/>
      <c r="AH299" s="62">
        <v>16042.309999242565</v>
      </c>
      <c r="AI299" s="31"/>
      <c r="AJ299" s="28">
        <f t="shared" si="60"/>
        <v>12044.316837240762</v>
      </c>
      <c r="AK299" s="21">
        <f>+VLOOKUP(C299,'[1]stock au 25-03-25'!A:X,24,FALSE)</f>
        <v>417.08100000000002</v>
      </c>
      <c r="AL299" t="s">
        <v>45</v>
      </c>
      <c r="AM299" s="21">
        <f t="shared" si="69"/>
        <v>1605.9089116321015</v>
      </c>
      <c r="AN299" t="s">
        <v>45</v>
      </c>
      <c r="AO299" s="63">
        <v>10730.46236725066</v>
      </c>
      <c r="AP299" s="64">
        <f t="shared" si="70"/>
        <v>11931.903213426514</v>
      </c>
      <c r="AQ299" t="s">
        <v>46</v>
      </c>
      <c r="AR299" s="36">
        <f>(AP299-AO299)/AO299</f>
        <v>0.11196543122341568</v>
      </c>
      <c r="AS299" s="81"/>
      <c r="AT299" s="81">
        <f>(AO299-J299)/J299</f>
        <v>-0.2950688235940967</v>
      </c>
      <c r="AU299" s="81"/>
      <c r="AV299" s="66">
        <f>(AP299-J299)/J299</f>
        <v>-0.21614090044497999</v>
      </c>
      <c r="BB299" s="56">
        <f>+R299*F299</f>
        <v>15231.5</v>
      </c>
    </row>
    <row r="300" spans="1:54" ht="18.75" outlineLevel="1" x14ac:dyDescent="0.3">
      <c r="A300">
        <v>15</v>
      </c>
      <c r="B300" t="s">
        <v>360</v>
      </c>
      <c r="C300">
        <v>338857</v>
      </c>
      <c r="D300" t="s">
        <v>372</v>
      </c>
      <c r="E300" t="s">
        <v>366</v>
      </c>
      <c r="F300" s="21">
        <f>+VLOOKUP(C300,'[1]stock au 25-03-25'!A:D,4,FALSE)</f>
        <v>915</v>
      </c>
      <c r="G300" t="s">
        <v>45</v>
      </c>
      <c r="H300" s="22">
        <f>+VLOOKUP(C300,'[1]stock au 25-03-25'!A:F,6,FALSE)</f>
        <v>7.05</v>
      </c>
      <c r="I300" t="s">
        <v>46</v>
      </c>
      <c r="J300" s="56">
        <f>+VLOOKUP(C300,'[1]stock au 25-03-25'!A:H,8,FALSE)</f>
        <v>6450.75</v>
      </c>
      <c r="K300" t="s">
        <v>46</v>
      </c>
      <c r="L300" s="23">
        <v>7.19</v>
      </c>
      <c r="M300" t="s">
        <v>46</v>
      </c>
      <c r="N300" s="56">
        <f>+VLOOKUP(C300,'[1]stock au 25-03-25'!A:L,12,FALSE)</f>
        <v>6578.85</v>
      </c>
      <c r="P300" s="57">
        <v>7.19</v>
      </c>
      <c r="Q300" t="s">
        <v>46</v>
      </c>
      <c r="R300" s="25">
        <f>H300*(1+VLOOKUP(A300,'[1]Variation MP'!$B$3:$D$22,3))</f>
        <v>7.05</v>
      </c>
      <c r="T300" s="26">
        <v>7.05</v>
      </c>
      <c r="U300" s="58">
        <f t="shared" si="68"/>
        <v>0</v>
      </c>
      <c r="V300" s="10">
        <v>230</v>
      </c>
      <c r="W300" s="60">
        <f t="shared" si="61"/>
        <v>1621.5</v>
      </c>
      <c r="X300" s="28">
        <v>7.05</v>
      </c>
      <c r="Y300" s="59">
        <v>875.24000371134014</v>
      </c>
      <c r="Z300" s="60">
        <f t="shared" si="62"/>
        <v>6170.4420261649475</v>
      </c>
      <c r="AA300" s="60">
        <f t="shared" si="66"/>
        <v>6170.4420261649475</v>
      </c>
      <c r="AB300" s="60">
        <f t="shared" si="58"/>
        <v>0</v>
      </c>
      <c r="AC300" s="60">
        <f t="shared" si="59"/>
        <v>7791.9420261649475</v>
      </c>
      <c r="AD300" s="61">
        <f>+VLOOKUP(C300,'[1]pic au 25-03'!C:R,16,FALSE)</f>
        <v>1130.8800037113401</v>
      </c>
      <c r="AE300" s="31"/>
      <c r="AF300" s="62">
        <v>8131.0272266845359</v>
      </c>
      <c r="AG300" s="31"/>
      <c r="AH300" s="62">
        <v>8131.0272266845359</v>
      </c>
      <c r="AI300" s="31"/>
      <c r="AJ300" s="28">
        <f t="shared" si="60"/>
        <v>7791.9420261649466</v>
      </c>
      <c r="AK300" s="21">
        <f>+VLOOKUP(C300,'[1]stock au 25-03-25'!A:X,24,FALSE)</f>
        <v>25.64</v>
      </c>
      <c r="AL300" t="s">
        <v>45</v>
      </c>
      <c r="AM300" s="21">
        <f t="shared" si="69"/>
        <v>1105.24000371134</v>
      </c>
      <c r="AN300" t="s">
        <v>45</v>
      </c>
      <c r="AO300" s="63">
        <v>7791.9420261649466</v>
      </c>
      <c r="AP300" s="64">
        <f t="shared" si="70"/>
        <v>7791.9420261649466</v>
      </c>
      <c r="AQ300" t="s">
        <v>46</v>
      </c>
      <c r="AR300" s="36">
        <f>(AP300-AO300)/AO300</f>
        <v>0</v>
      </c>
      <c r="AS300" s="81"/>
      <c r="AT300" s="81">
        <f>(AO300-J300)/J300</f>
        <v>0.20791257236212016</v>
      </c>
      <c r="AU300" s="81"/>
      <c r="AV300" s="66">
        <f>(AP300-J300)/J300</f>
        <v>0.20791257236212016</v>
      </c>
      <c r="BB300" s="56">
        <f>+R300*F300</f>
        <v>6450.75</v>
      </c>
    </row>
    <row r="301" spans="1:54" ht="18.75" outlineLevel="1" x14ac:dyDescent="0.3">
      <c r="A301">
        <v>15</v>
      </c>
      <c r="B301" t="s">
        <v>360</v>
      </c>
      <c r="C301">
        <v>338858</v>
      </c>
      <c r="D301" t="s">
        <v>373</v>
      </c>
      <c r="E301" t="s">
        <v>348</v>
      </c>
      <c r="F301" s="21">
        <f>+VLOOKUP(C301,'[1]stock au 25-03-25'!A:D,4,FALSE)</f>
        <v>1275</v>
      </c>
      <c r="G301" t="s">
        <v>45</v>
      </c>
      <c r="H301" s="22">
        <f>+VLOOKUP(C301,'[1]stock au 25-03-25'!A:F,6,FALSE)</f>
        <v>7.8</v>
      </c>
      <c r="I301" t="s">
        <v>46</v>
      </c>
      <c r="J301" s="56">
        <f>+VLOOKUP(C301,'[1]stock au 25-03-25'!A:H,8,FALSE)</f>
        <v>9945</v>
      </c>
      <c r="K301" t="s">
        <v>46</v>
      </c>
      <c r="L301" s="23">
        <v>7.8</v>
      </c>
      <c r="M301" t="s">
        <v>46</v>
      </c>
      <c r="N301" s="56">
        <f>+VLOOKUP(C301,'[1]stock au 25-03-25'!A:L,12,FALSE)</f>
        <v>9945</v>
      </c>
      <c r="Q301" t="s">
        <v>46</v>
      </c>
      <c r="R301" s="25">
        <v>8.1</v>
      </c>
      <c r="T301" s="26" t="s">
        <v>53</v>
      </c>
      <c r="U301" s="58" t="str">
        <f t="shared" si="68"/>
        <v/>
      </c>
      <c r="V301" s="10">
        <v>0</v>
      </c>
      <c r="W301" s="60">
        <f t="shared" si="61"/>
        <v>0</v>
      </c>
      <c r="X301" s="28">
        <v>8.1</v>
      </c>
      <c r="Y301" s="59">
        <v>-18</v>
      </c>
      <c r="Z301" s="60">
        <f t="shared" si="62"/>
        <v>-145.79999999999998</v>
      </c>
      <c r="AA301" s="60">
        <f t="shared" si="66"/>
        <v>-145.79999999999998</v>
      </c>
      <c r="AB301" s="60">
        <f t="shared" si="58"/>
        <v>0</v>
      </c>
      <c r="AC301" s="60">
        <f t="shared" si="59"/>
        <v>-145.79999999999998</v>
      </c>
      <c r="AD301" s="61">
        <v>0</v>
      </c>
      <c r="AE301" s="31"/>
      <c r="AF301" s="62"/>
      <c r="AG301" s="31"/>
      <c r="AH301" s="62"/>
      <c r="AI301" s="31"/>
      <c r="AJ301" s="28">
        <f t="shared" si="60"/>
        <v>0</v>
      </c>
      <c r="AK301" s="21">
        <f>+VLOOKUP(C301,'[1]stock au 25-03-25'!A:X,24,FALSE)</f>
        <v>18</v>
      </c>
      <c r="AL301" t="s">
        <v>45</v>
      </c>
      <c r="AM301" s="21">
        <f t="shared" si="69"/>
        <v>0</v>
      </c>
      <c r="AN301" t="s">
        <v>45</v>
      </c>
      <c r="AO301" s="63"/>
      <c r="AP301" s="64">
        <f t="shared" si="70"/>
        <v>0</v>
      </c>
      <c r="AQ301" t="s">
        <v>46</v>
      </c>
      <c r="AR301" s="36" t="e">
        <f>(AP301-AO301)/AO301</f>
        <v>#DIV/0!</v>
      </c>
      <c r="AS301" s="81"/>
      <c r="AT301" s="81">
        <f>(AO301-J301)/J301</f>
        <v>-1</v>
      </c>
      <c r="AU301" s="81"/>
      <c r="AV301" s="66">
        <f>(AP301-J301)/J301</f>
        <v>-1</v>
      </c>
      <c r="BB301" s="56">
        <f>+R301*F301</f>
        <v>10327.5</v>
      </c>
    </row>
    <row r="302" spans="1:54" ht="18.75" outlineLevel="1" x14ac:dyDescent="0.3">
      <c r="A302">
        <v>15</v>
      </c>
      <c r="B302" t="s">
        <v>360</v>
      </c>
      <c r="C302">
        <v>338859</v>
      </c>
      <c r="D302" t="s">
        <v>374</v>
      </c>
      <c r="E302" t="s">
        <v>343</v>
      </c>
      <c r="F302" s="21">
        <f>+VLOOKUP(C302,'[1]stock au 25-03-25'!A:D,4,FALSE)</f>
        <v>4560</v>
      </c>
      <c r="G302" t="s">
        <v>45</v>
      </c>
      <c r="H302" s="22">
        <f>+VLOOKUP(C302,'[1]stock au 25-03-25'!A:F,6,FALSE)</f>
        <v>9.4558684210526316</v>
      </c>
      <c r="I302" t="s">
        <v>46</v>
      </c>
      <c r="J302" s="56">
        <f>+VLOOKUP(C302,'[1]stock au 25-03-25'!A:H,8,FALSE)</f>
        <v>43118.76</v>
      </c>
      <c r="K302" t="s">
        <v>46</v>
      </c>
      <c r="L302" s="23">
        <v>9.4</v>
      </c>
      <c r="M302" t="s">
        <v>46</v>
      </c>
      <c r="N302" s="56">
        <f>+VLOOKUP(C302,'[1]stock au 25-03-25'!A:L,12,FALSE)</f>
        <v>42864</v>
      </c>
      <c r="Q302" t="s">
        <v>46</v>
      </c>
      <c r="R302" s="25">
        <v>10</v>
      </c>
      <c r="T302" s="26" t="s">
        <v>53</v>
      </c>
      <c r="U302" s="58" t="str">
        <f t="shared" si="68"/>
        <v/>
      </c>
      <c r="V302" s="10">
        <v>0</v>
      </c>
      <c r="W302" s="60">
        <f t="shared" si="61"/>
        <v>0</v>
      </c>
      <c r="X302" s="28">
        <v>10</v>
      </c>
      <c r="Y302" s="59">
        <v>-700</v>
      </c>
      <c r="Z302" s="60">
        <f t="shared" si="62"/>
        <v>-7000</v>
      </c>
      <c r="AA302" s="60">
        <f t="shared" si="66"/>
        <v>-7000</v>
      </c>
      <c r="AB302" s="60">
        <f t="shared" si="58"/>
        <v>0</v>
      </c>
      <c r="AC302" s="60">
        <f t="shared" si="59"/>
        <v>-7000</v>
      </c>
      <c r="AD302" s="61">
        <v>0</v>
      </c>
      <c r="AE302" s="31"/>
      <c r="AF302" s="62"/>
      <c r="AG302" s="31"/>
      <c r="AH302" s="62"/>
      <c r="AI302" s="31"/>
      <c r="AJ302" s="28">
        <f t="shared" si="60"/>
        <v>0</v>
      </c>
      <c r="AK302" s="21">
        <f>+VLOOKUP(C302,'[1]stock au 25-03-25'!A:X,24,FALSE)</f>
        <v>700</v>
      </c>
      <c r="AL302" t="s">
        <v>45</v>
      </c>
      <c r="AM302" s="21">
        <f t="shared" si="69"/>
        <v>0</v>
      </c>
      <c r="AN302" t="s">
        <v>45</v>
      </c>
      <c r="AO302" s="63"/>
      <c r="AP302" s="64">
        <f t="shared" si="70"/>
        <v>0</v>
      </c>
      <c r="AQ302" t="s">
        <v>46</v>
      </c>
      <c r="AR302" s="36" t="e">
        <f>(AP302-AO302)/AO302</f>
        <v>#DIV/0!</v>
      </c>
      <c r="AS302" s="81"/>
      <c r="AT302" s="81">
        <f>(AO302-J302)/J302</f>
        <v>-1</v>
      </c>
      <c r="AU302" s="81"/>
      <c r="AV302" s="66">
        <f>(AP302-J302)/J302</f>
        <v>-1</v>
      </c>
      <c r="BB302" s="56">
        <f>+R302*F302</f>
        <v>45600</v>
      </c>
    </row>
    <row r="303" spans="1:54" ht="18.75" outlineLevel="1" x14ac:dyDescent="0.3">
      <c r="A303">
        <v>15</v>
      </c>
      <c r="B303" t="s">
        <v>360</v>
      </c>
      <c r="C303">
        <v>360437</v>
      </c>
      <c r="D303" t="s">
        <v>375</v>
      </c>
      <c r="E303" t="s">
        <v>362</v>
      </c>
      <c r="F303" s="21">
        <f>+VLOOKUP(C303,'[1]stock au 25-03-25'!A:D,4,FALSE)</f>
        <v>11100</v>
      </c>
      <c r="G303" t="s">
        <v>45</v>
      </c>
      <c r="H303" s="22">
        <f>+VLOOKUP(C303,'[1]stock au 25-03-25'!A:F,6,FALSE)</f>
        <v>6.8</v>
      </c>
      <c r="I303" t="s">
        <v>46</v>
      </c>
      <c r="J303" s="56">
        <f>+VLOOKUP(C303,'[1]stock au 25-03-25'!A:H,8,FALSE)</f>
        <v>75480</v>
      </c>
      <c r="K303" t="s">
        <v>46</v>
      </c>
      <c r="L303" s="23">
        <v>7.14</v>
      </c>
      <c r="M303" t="s">
        <v>46</v>
      </c>
      <c r="N303" s="56">
        <f>+VLOOKUP(C303,'[1]stock au 25-03-25'!A:L,12,FALSE)</f>
        <v>79254</v>
      </c>
      <c r="Q303" t="s">
        <v>46</v>
      </c>
      <c r="R303" s="25">
        <v>6</v>
      </c>
      <c r="T303" s="26" t="s">
        <v>53</v>
      </c>
      <c r="U303" s="58" t="str">
        <f t="shared" si="68"/>
        <v/>
      </c>
      <c r="V303" s="10">
        <v>0</v>
      </c>
      <c r="W303" s="60">
        <f t="shared" si="61"/>
        <v>0</v>
      </c>
      <c r="X303" s="28">
        <v>6</v>
      </c>
      <c r="Y303" s="59">
        <v>0</v>
      </c>
      <c r="Z303" s="60">
        <f t="shared" si="62"/>
        <v>0</v>
      </c>
      <c r="AA303" s="60">
        <f t="shared" si="66"/>
        <v>0</v>
      </c>
      <c r="AB303" s="60">
        <f t="shared" si="58"/>
        <v>0</v>
      </c>
      <c r="AC303" s="60">
        <f t="shared" si="59"/>
        <v>0</v>
      </c>
      <c r="AD303" s="61">
        <v>0</v>
      </c>
      <c r="AE303" s="31"/>
      <c r="AF303" s="62"/>
      <c r="AG303" s="31"/>
      <c r="AH303" s="62"/>
      <c r="AI303" s="31"/>
      <c r="AJ303" s="28">
        <f t="shared" si="60"/>
        <v>0</v>
      </c>
      <c r="AK303" s="21">
        <f>+VLOOKUP(C303,'[1]stock au 25-03-25'!A:X,24,FALSE)</f>
        <v>0</v>
      </c>
      <c r="AL303" t="s">
        <v>45</v>
      </c>
      <c r="AM303" s="21">
        <f t="shared" si="69"/>
        <v>0</v>
      </c>
      <c r="AN303" t="s">
        <v>45</v>
      </c>
      <c r="AO303" s="63"/>
      <c r="AP303" s="64">
        <f t="shared" si="70"/>
        <v>0</v>
      </c>
      <c r="AQ303" t="s">
        <v>46</v>
      </c>
      <c r="AR303" s="36" t="e">
        <f>(AP303-AO303)/AO303</f>
        <v>#DIV/0!</v>
      </c>
      <c r="AS303" s="81"/>
      <c r="AT303" s="81">
        <f>(AO303-J303)/J303</f>
        <v>-1</v>
      </c>
      <c r="AU303" s="81"/>
      <c r="AV303" s="66">
        <f>(AP303-J303)/J303</f>
        <v>-1</v>
      </c>
      <c r="BB303" s="56">
        <f>+R303*F303</f>
        <v>66600</v>
      </c>
    </row>
    <row r="304" spans="1:54" ht="18.75" outlineLevel="1" x14ac:dyDescent="0.3">
      <c r="A304">
        <v>15</v>
      </c>
      <c r="B304" t="s">
        <v>360</v>
      </c>
      <c r="C304">
        <v>380001</v>
      </c>
      <c r="D304" t="s">
        <v>376</v>
      </c>
      <c r="E304" t="s">
        <v>348</v>
      </c>
      <c r="F304" s="21">
        <f>+VLOOKUP(C304,'[1]stock au 25-03-25'!A:D,4,FALSE)</f>
        <v>10560</v>
      </c>
      <c r="G304" t="s">
        <v>45</v>
      </c>
      <c r="H304" s="22">
        <f>+VLOOKUP(C304,'[1]stock au 25-03-25'!A:F,6,FALSE)</f>
        <v>7</v>
      </c>
      <c r="I304" t="s">
        <v>46</v>
      </c>
      <c r="J304" s="56">
        <f>+VLOOKUP(C304,'[1]stock au 25-03-25'!A:H,8,FALSE)</f>
        <v>73920</v>
      </c>
      <c r="K304" t="s">
        <v>46</v>
      </c>
      <c r="L304" s="23">
        <v>7</v>
      </c>
      <c r="M304" t="s">
        <v>46</v>
      </c>
      <c r="N304" s="56">
        <f>+VLOOKUP(C304,'[1]stock au 25-03-25'!A:L,12,FALSE)</f>
        <v>73920</v>
      </c>
      <c r="Q304" t="s">
        <v>46</v>
      </c>
      <c r="R304" s="25">
        <v>8.3000000000000007</v>
      </c>
      <c r="T304" s="26">
        <v>9.1999999999999993</v>
      </c>
      <c r="U304" s="58">
        <f t="shared" si="68"/>
        <v>0.10843373493975886</v>
      </c>
      <c r="V304" s="10">
        <v>2880</v>
      </c>
      <c r="W304" s="60">
        <f t="shared" si="61"/>
        <v>26495.999999999996</v>
      </c>
      <c r="X304" s="28">
        <v>9.1999999999999993</v>
      </c>
      <c r="Y304" s="59">
        <v>-7582.6729999999998</v>
      </c>
      <c r="Z304" s="60">
        <f t="shared" si="62"/>
        <v>-69760.5916</v>
      </c>
      <c r="AA304" s="60">
        <f t="shared" si="66"/>
        <v>-62936.185900000004</v>
      </c>
      <c r="AB304" s="60">
        <f t="shared" si="58"/>
        <v>-6824.4056999999957</v>
      </c>
      <c r="AC304" s="60">
        <f t="shared" si="59"/>
        <v>-43264.5916</v>
      </c>
      <c r="AD304" s="61">
        <v>0</v>
      </c>
      <c r="AE304" s="31"/>
      <c r="AF304" s="62"/>
      <c r="AG304" s="31"/>
      <c r="AH304" s="62"/>
      <c r="AI304" s="31"/>
      <c r="AJ304" s="28">
        <f t="shared" si="60"/>
        <v>0</v>
      </c>
      <c r="AK304" s="21">
        <f>+VLOOKUP(C304,'[1]stock au 25-03-25'!A:X,24,FALSE)</f>
        <v>4702.6729999999998</v>
      </c>
      <c r="AL304" t="s">
        <v>45</v>
      </c>
      <c r="AM304" s="21">
        <f t="shared" si="69"/>
        <v>0</v>
      </c>
      <c r="AN304" t="s">
        <v>45</v>
      </c>
      <c r="AO304" s="63"/>
      <c r="AP304" s="64">
        <f t="shared" si="70"/>
        <v>0</v>
      </c>
      <c r="AQ304" t="s">
        <v>46</v>
      </c>
      <c r="AR304" s="36" t="e">
        <f>(AP304-AO304)/AO304</f>
        <v>#DIV/0!</v>
      </c>
      <c r="AS304" s="81"/>
      <c r="AT304" s="81">
        <f>(AO304-J304)/J304</f>
        <v>-1</v>
      </c>
      <c r="AU304" s="81"/>
      <c r="AV304" s="66">
        <f>(AP304-J304)/J304</f>
        <v>-1</v>
      </c>
      <c r="BB304" s="56">
        <f>+R304*F304</f>
        <v>87648.000000000015</v>
      </c>
    </row>
    <row r="305" spans="1:54" ht="18.75" outlineLevel="1" x14ac:dyDescent="0.3">
      <c r="A305">
        <v>15</v>
      </c>
      <c r="B305" t="s">
        <v>360</v>
      </c>
      <c r="C305">
        <v>360471</v>
      </c>
      <c r="D305" t="s">
        <v>377</v>
      </c>
      <c r="F305" s="21">
        <f>+VLOOKUP(C305,'[1]stock au 25-03-25'!A:D,4,FALSE)</f>
        <v>246</v>
      </c>
      <c r="G305" t="s">
        <v>45</v>
      </c>
      <c r="H305" s="22">
        <f>+VLOOKUP(C305,'[1]stock au 25-03-25'!A:F,6,FALSE)</f>
        <v>5.8</v>
      </c>
      <c r="J305" s="56">
        <f>+VLOOKUP(C305,'[1]stock au 25-03-25'!A:H,8,FALSE)</f>
        <v>1426.8</v>
      </c>
      <c r="L305" s="23">
        <v>5.8</v>
      </c>
      <c r="N305" s="56">
        <f>+VLOOKUP(C305,'[1]stock au 25-03-25'!A:L,12,FALSE)</f>
        <v>1426.8</v>
      </c>
      <c r="R305" s="25">
        <v>5.8</v>
      </c>
      <c r="T305" s="26">
        <v>5.8000000000000007</v>
      </c>
      <c r="U305" s="58">
        <f t="shared" si="68"/>
        <v>1.5313421029312505E-16</v>
      </c>
      <c r="V305" s="10">
        <v>1052</v>
      </c>
      <c r="W305" s="60">
        <f t="shared" si="61"/>
        <v>6101.6</v>
      </c>
      <c r="X305" s="28">
        <v>5.8</v>
      </c>
      <c r="Y305" s="59">
        <v>5348</v>
      </c>
      <c r="Z305" s="60">
        <f t="shared" si="62"/>
        <v>31018.399999999998</v>
      </c>
      <c r="AA305" s="60">
        <f t="shared" si="66"/>
        <v>31018.399999999998</v>
      </c>
      <c r="AB305" s="60">
        <f t="shared" si="58"/>
        <v>0</v>
      </c>
      <c r="AC305" s="60">
        <f t="shared" si="59"/>
        <v>37120</v>
      </c>
      <c r="AD305" s="61">
        <f>+VLOOKUP(C305,'[1]pic au 25-03'!C:R,16,FALSE)</f>
        <v>6400</v>
      </c>
      <c r="AE305" s="31"/>
      <c r="AF305" s="62"/>
      <c r="AG305" s="31"/>
      <c r="AH305" s="62"/>
      <c r="AI305" s="31"/>
      <c r="AJ305" s="28">
        <f t="shared" si="60"/>
        <v>37120</v>
      </c>
      <c r="AK305" s="21">
        <v>0</v>
      </c>
      <c r="AM305" s="21">
        <f t="shared" si="69"/>
        <v>6400</v>
      </c>
      <c r="AN305" t="s">
        <v>45</v>
      </c>
      <c r="AO305" s="63"/>
      <c r="AP305" s="64">
        <f t="shared" si="70"/>
        <v>37120</v>
      </c>
      <c r="AQ305" t="s">
        <v>46</v>
      </c>
      <c r="AR305" s="36"/>
      <c r="AS305" s="81"/>
      <c r="AT305" s="81"/>
      <c r="AU305" s="81"/>
      <c r="AV305" s="66"/>
      <c r="BB305" s="56">
        <f>+R305*F305</f>
        <v>1426.8</v>
      </c>
    </row>
    <row r="306" spans="1:54" ht="18.75" outlineLevel="1" x14ac:dyDescent="0.3">
      <c r="A306">
        <v>15</v>
      </c>
      <c r="B306" t="s">
        <v>360</v>
      </c>
      <c r="C306">
        <v>380006</v>
      </c>
      <c r="D306" t="s">
        <v>378</v>
      </c>
      <c r="E306" t="s">
        <v>348</v>
      </c>
      <c r="F306" s="21">
        <f>+VLOOKUP(C306,'[1]stock au 25-03-25'!A:D,4,FALSE)</f>
        <v>4669</v>
      </c>
      <c r="G306" t="s">
        <v>45</v>
      </c>
      <c r="H306" s="22">
        <f>+VLOOKUP(C306,'[1]stock au 25-03-25'!A:F,6,FALSE)</f>
        <v>4.8366887984579137</v>
      </c>
      <c r="I306" t="s">
        <v>46</v>
      </c>
      <c r="J306" s="56">
        <f>+VLOOKUP(C306,'[1]stock au 25-03-25'!A:H,8,FALSE)</f>
        <v>22582.5</v>
      </c>
      <c r="K306" t="s">
        <v>46</v>
      </c>
      <c r="L306" s="23">
        <v>4.95</v>
      </c>
      <c r="M306" t="s">
        <v>46</v>
      </c>
      <c r="N306" s="56">
        <f>+VLOOKUP(C306,'[1]stock au 25-03-25'!A:L,12,FALSE)</f>
        <v>23111.55</v>
      </c>
      <c r="Q306" t="s">
        <v>46</v>
      </c>
      <c r="R306" s="25">
        <f>H306*(1+VLOOKUP(A306,'[1]Variation MP'!$B$3:$D$22,3))</f>
        <v>4.8366887984579137</v>
      </c>
      <c r="T306" s="26" t="s">
        <v>53</v>
      </c>
      <c r="U306" s="58" t="str">
        <f t="shared" si="68"/>
        <v/>
      </c>
      <c r="V306" s="10">
        <v>0</v>
      </c>
      <c r="W306" s="60">
        <f t="shared" si="61"/>
        <v>0</v>
      </c>
      <c r="X306" s="28">
        <v>4.8366887984579137</v>
      </c>
      <c r="Y306" s="59">
        <v>0</v>
      </c>
      <c r="Z306" s="60">
        <f t="shared" si="62"/>
        <v>0</v>
      </c>
      <c r="AA306" s="60">
        <f t="shared" si="66"/>
        <v>0</v>
      </c>
      <c r="AB306" s="60">
        <f t="shared" si="58"/>
        <v>0</v>
      </c>
      <c r="AC306" s="60">
        <f t="shared" si="59"/>
        <v>0</v>
      </c>
      <c r="AD306" s="61">
        <v>0</v>
      </c>
      <c r="AE306" s="31"/>
      <c r="AF306" s="62"/>
      <c r="AG306" s="31"/>
      <c r="AH306" s="62"/>
      <c r="AI306" s="31"/>
      <c r="AJ306" s="28">
        <f t="shared" si="60"/>
        <v>0</v>
      </c>
      <c r="AK306" s="21">
        <f>+VLOOKUP(C306,'[1]stock au 25-03-25'!A:X,24,FALSE)</f>
        <v>0</v>
      </c>
      <c r="AL306" t="s">
        <v>45</v>
      </c>
      <c r="AM306" s="21">
        <f t="shared" si="69"/>
        <v>0</v>
      </c>
      <c r="AN306" t="s">
        <v>45</v>
      </c>
      <c r="AO306" s="63"/>
      <c r="AP306" s="64">
        <f t="shared" si="70"/>
        <v>0</v>
      </c>
      <c r="AQ306" t="s">
        <v>46</v>
      </c>
      <c r="AR306" s="36" t="e">
        <f>(AP306-AO306)/AO306</f>
        <v>#DIV/0!</v>
      </c>
      <c r="AS306" s="81"/>
      <c r="AT306" s="81">
        <f>(AO306-J306)/J306</f>
        <v>-1</v>
      </c>
      <c r="AU306" s="81"/>
      <c r="AV306" s="66">
        <f>(AP306-J306)/J306</f>
        <v>-1</v>
      </c>
      <c r="BB306" s="56">
        <f>+R306*F306</f>
        <v>22582.5</v>
      </c>
    </row>
    <row r="307" spans="1:54" x14ac:dyDescent="0.25">
      <c r="A307" s="67"/>
      <c r="B307" s="67" t="s">
        <v>379</v>
      </c>
      <c r="C307" s="67"/>
      <c r="D307" s="67"/>
      <c r="E307" s="67"/>
      <c r="F307" s="79">
        <f>SUM(F291:F306)</f>
        <v>151810.68400000001</v>
      </c>
      <c r="G307" s="67" t="s">
        <v>45</v>
      </c>
      <c r="H307" s="69"/>
      <c r="I307" s="67"/>
      <c r="J307" s="70">
        <f>SUM(J291:J306)</f>
        <v>1041237.83</v>
      </c>
      <c r="K307" s="67"/>
      <c r="L307" s="69"/>
      <c r="M307" s="67"/>
      <c r="N307" s="70">
        <f>SUM(N291:N306)</f>
        <v>1062045.6477600001</v>
      </c>
      <c r="O307" s="78"/>
      <c r="P307" s="78">
        <f>SUM(P291:P306)</f>
        <v>61.449999999999996</v>
      </c>
      <c r="Q307" s="78">
        <f>SUM(Q291:Q306)</f>
        <v>0</v>
      </c>
      <c r="R307" s="78"/>
      <c r="S307" s="78"/>
      <c r="T307" s="83"/>
      <c r="U307" s="83"/>
      <c r="V307" s="10">
        <v>0</v>
      </c>
      <c r="W307" s="60">
        <f>SUM(W291:W306)</f>
        <v>581169.54999999993</v>
      </c>
      <c r="X307" s="28">
        <f>SUM(X291:X306)</f>
        <v>115.70292832944618</v>
      </c>
      <c r="Y307" s="59">
        <v>-13911.528999999999</v>
      </c>
      <c r="Z307" s="60">
        <f>SUM(Z291:Z306)</f>
        <v>797949.39884914958</v>
      </c>
      <c r="AA307" s="60">
        <f t="shared" si="66"/>
        <v>0</v>
      </c>
      <c r="AB307" s="60"/>
      <c r="AC307" s="60">
        <f t="shared" si="59"/>
        <v>1379118.9488491495</v>
      </c>
      <c r="AD307" s="74">
        <f>SUM(AD291:AD306)</f>
        <v>203012.63503116148</v>
      </c>
      <c r="AE307" s="75"/>
      <c r="AF307" s="76">
        <f>SUM(AF291:AF306)</f>
        <v>1275115.5761417514</v>
      </c>
      <c r="AG307" s="75"/>
      <c r="AH307" s="76">
        <f>SUM(AH291:AH306)</f>
        <v>1368123.6881392198</v>
      </c>
      <c r="AI307" s="75"/>
      <c r="AJ307" s="28">
        <f>SUM(AJ291:AJ306)</f>
        <v>1444684.7584558495</v>
      </c>
      <c r="AK307" s="77">
        <f>SUM(AK291:AK306)</f>
        <v>13911.528999999999</v>
      </c>
      <c r="AL307" s="78">
        <f>SUM(AL291:AL306)</f>
        <v>0</v>
      </c>
      <c r="AM307" s="79">
        <f>SUM(AM291:AM306)</f>
        <v>194521.77903116154</v>
      </c>
      <c r="AN307" s="78" t="s">
        <v>45</v>
      </c>
      <c r="AO307" s="80">
        <f>SUM(AO291:AO306)</f>
        <v>1280550.4285744093</v>
      </c>
      <c r="AP307" s="80">
        <f>SUM(AP291:AP306)</f>
        <v>1409540.0271844966</v>
      </c>
      <c r="AQ307" s="67"/>
      <c r="AR307" s="81">
        <f>(AP307-AO307)/AO307</f>
        <v>0.10072980784808824</v>
      </c>
      <c r="AS307" s="81"/>
      <c r="AT307" s="81">
        <f>(AO307-J307)/J307</f>
        <v>0.2298347137218491</v>
      </c>
      <c r="AU307" s="82">
        <f>AO307-J307</f>
        <v>239312.59857440938</v>
      </c>
      <c r="AV307" s="81">
        <f>(AP307-J307)/J307</f>
        <v>0.3537157281199596</v>
      </c>
      <c r="AW307" s="72">
        <f>AP307-N307</f>
        <v>347494.37942449655</v>
      </c>
      <c r="AX307" s="67"/>
      <c r="AY307" s="67"/>
      <c r="AZ307" s="81">
        <f>(AM307-F307)/F307</f>
        <v>0.28134446078354752</v>
      </c>
      <c r="BA307" s="81">
        <f>(AP307-N307)/N307</f>
        <v>0.32719344988363719</v>
      </c>
      <c r="BB307" s="78">
        <f>SUM(BB291:BB306)</f>
        <v>1106983.7588000002</v>
      </c>
    </row>
    <row r="308" spans="1:54" ht="18.75" outlineLevel="1" x14ac:dyDescent="0.3">
      <c r="A308">
        <v>16</v>
      </c>
      <c r="B308" t="s">
        <v>380</v>
      </c>
      <c r="C308">
        <v>339444</v>
      </c>
      <c r="D308" t="s">
        <v>381</v>
      </c>
      <c r="E308" t="s">
        <v>382</v>
      </c>
      <c r="F308" s="21">
        <f>+VLOOKUP(C308,'[1]stock au 25-03-25'!A:D,4,FALSE)</f>
        <v>27089.224999999999</v>
      </c>
      <c r="G308" t="s">
        <v>45</v>
      </c>
      <c r="H308" s="22">
        <f>+VLOOKUP(C308,'[1]stock au 25-03-25'!A:F,6,FALSE)</f>
        <v>8.5999998154247681</v>
      </c>
      <c r="I308" t="s">
        <v>46</v>
      </c>
      <c r="J308" s="56">
        <f>+VLOOKUP(C308,'[1]stock au 25-03-25'!A:H,8,FALSE)</f>
        <v>232967.33</v>
      </c>
      <c r="K308" t="s">
        <v>46</v>
      </c>
      <c r="L308" s="23">
        <v>9.89</v>
      </c>
      <c r="M308" t="s">
        <v>46</v>
      </c>
      <c r="N308" s="56">
        <f>+VLOOKUP(C308,'[1]stock au 25-03-25'!A:L,12,FALSE)</f>
        <v>267912.43524999998</v>
      </c>
      <c r="P308" s="57">
        <v>9.89</v>
      </c>
      <c r="Q308" t="s">
        <v>46</v>
      </c>
      <c r="R308" s="25">
        <f>H308*(1+VLOOKUP(A308,'[1]Variation MP'!$B$3:$D$22,3))</f>
        <v>8.5999998154247681</v>
      </c>
      <c r="T308" s="26">
        <v>8.3702875639025294</v>
      </c>
      <c r="U308" s="58">
        <f t="shared" ref="U308:U311" si="71">IFERROR((T308-R308)/R308,"")</f>
        <v>-2.6710727494462495E-2</v>
      </c>
      <c r="V308" s="10">
        <v>27261.244999999999</v>
      </c>
      <c r="W308" s="60">
        <f t="shared" si="61"/>
        <v>228184.46</v>
      </c>
      <c r="X308" s="28">
        <v>8.4000001312134049</v>
      </c>
      <c r="Y308" s="59">
        <v>5269.3051533999987</v>
      </c>
      <c r="Z308" s="60">
        <f t="shared" si="62"/>
        <v>44262.163979963458</v>
      </c>
      <c r="AA308" s="60">
        <f t="shared" si="66"/>
        <v>45316.023346656766</v>
      </c>
      <c r="AB308" s="60">
        <f t="shared" si="58"/>
        <v>-1053.8593666933084</v>
      </c>
      <c r="AC308" s="60">
        <f t="shared" si="59"/>
        <v>272446.62397996348</v>
      </c>
      <c r="AD308" s="61">
        <f>+VLOOKUP(C308,'[1]pic au 25-03'!C:R,16,FALSE)</f>
        <v>33444.470153399998</v>
      </c>
      <c r="AE308" s="31"/>
      <c r="AF308" s="62">
        <v>330765.80981712602</v>
      </c>
      <c r="AG308" s="31"/>
      <c r="AH308" s="62">
        <v>330765.80981712602</v>
      </c>
      <c r="AI308" s="31"/>
      <c r="AJ308" s="28">
        <f t="shared" si="60"/>
        <v>273256.62555700424</v>
      </c>
      <c r="AK308" s="21">
        <f>+VLOOKUP(C308,'[1]stock au 25-03-25'!A:X,24,FALSE)</f>
        <v>913.92</v>
      </c>
      <c r="AL308" t="s">
        <v>45</v>
      </c>
      <c r="AM308" s="21">
        <f>AD308-AK308</f>
        <v>32530.5501534</v>
      </c>
      <c r="AN308" t="s">
        <v>45</v>
      </c>
      <c r="AO308" s="63">
        <v>278954.54033225158</v>
      </c>
      <c r="AP308" s="64">
        <f>AM308*R308</f>
        <v>279762.72531490616</v>
      </c>
      <c r="AQ308" t="s">
        <v>46</v>
      </c>
      <c r="AR308" s="36">
        <f>(AP308-AO308)/AO308</f>
        <v>2.8971924303221007E-3</v>
      </c>
      <c r="AS308" s="81"/>
      <c r="AT308" s="81">
        <f>(AO308-J308)/J308</f>
        <v>0.19739767946111411</v>
      </c>
      <c r="AU308" s="81"/>
      <c r="AV308" s="66">
        <f>(AP308-J308)/J308</f>
        <v>0.20086677095413411</v>
      </c>
      <c r="BB308" s="56">
        <f>+R308*F308</f>
        <v>232967.33</v>
      </c>
    </row>
    <row r="309" spans="1:54" ht="18.75" outlineLevel="1" x14ac:dyDescent="0.3">
      <c r="A309">
        <v>16</v>
      </c>
      <c r="B309" t="s">
        <v>380</v>
      </c>
      <c r="C309">
        <v>360436</v>
      </c>
      <c r="D309" t="s">
        <v>383</v>
      </c>
      <c r="E309" t="s">
        <v>382</v>
      </c>
      <c r="F309" s="21">
        <f>+VLOOKUP(C309,'[1]stock au 25-03-25'!A:D,4,FALSE)</f>
        <v>10461.145</v>
      </c>
      <c r="G309" t="s">
        <v>45</v>
      </c>
      <c r="H309" s="22">
        <f>+VLOOKUP(C309,'[1]stock au 25-03-25'!A:F,6,FALSE)</f>
        <v>7.5999998088163387</v>
      </c>
      <c r="I309" t="s">
        <v>46</v>
      </c>
      <c r="J309" s="56">
        <f>+VLOOKUP(C309,'[1]stock au 25-03-25'!A:H,8,FALSE)</f>
        <v>79504.7</v>
      </c>
      <c r="K309" t="s">
        <v>46</v>
      </c>
      <c r="L309" s="23">
        <v>8.16</v>
      </c>
      <c r="M309" t="s">
        <v>46</v>
      </c>
      <c r="N309" s="56">
        <f>+VLOOKUP(C309,'[1]stock au 25-03-25'!A:L,12,FALSE)</f>
        <v>85362.943200000009</v>
      </c>
      <c r="P309" s="57">
        <v>8.16</v>
      </c>
      <c r="Q309" t="s">
        <v>46</v>
      </c>
      <c r="R309" s="25">
        <f>H309*(1+VLOOKUP(A309,'[1]Variation MP'!$B$3:$D$22,3))</f>
        <v>7.5999998088163387</v>
      </c>
      <c r="T309" s="26">
        <v>6.9944505943574837</v>
      </c>
      <c r="U309" s="58">
        <f t="shared" si="71"/>
        <v>-7.9677530222618018E-2</v>
      </c>
      <c r="V309" s="10">
        <v>14498.85</v>
      </c>
      <c r="W309" s="60">
        <f t="shared" si="61"/>
        <v>101411.49</v>
      </c>
      <c r="X309" s="28">
        <v>7.3999974265935826</v>
      </c>
      <c r="Y309" s="59">
        <v>4672.219146993466</v>
      </c>
      <c r="Z309" s="60">
        <f t="shared" si="62"/>
        <v>34574.40966423291</v>
      </c>
      <c r="AA309" s="60">
        <f t="shared" si="66"/>
        <v>35508.864623898378</v>
      </c>
      <c r="AB309" s="60">
        <f t="shared" si="58"/>
        <v>-934.45495966546878</v>
      </c>
      <c r="AC309" s="60">
        <f t="shared" si="59"/>
        <v>135985.89966423291</v>
      </c>
      <c r="AD309" s="61">
        <f>+VLOOKUP(C309,'[1]pic au 25-03'!C:R,16,FALSE)</f>
        <v>20032.254146993466</v>
      </c>
      <c r="AE309" s="31"/>
      <c r="AF309" s="62">
        <v>163463.19383946669</v>
      </c>
      <c r="AG309" s="31"/>
      <c r="AH309" s="62">
        <v>163463.19383946669</v>
      </c>
      <c r="AI309" s="31"/>
      <c r="AJ309" s="28">
        <f t="shared" si="60"/>
        <v>141865.86235279927</v>
      </c>
      <c r="AK309" s="21">
        <f>+VLOOKUP(C309,'[1]stock au 25-03-25'!A:X,24,FALSE)</f>
        <v>861.18499999999995</v>
      </c>
      <c r="AL309" t="s">
        <v>45</v>
      </c>
      <c r="AM309" s="21">
        <f>AD309-AK309</f>
        <v>19171.069146993465</v>
      </c>
      <c r="AN309" t="s">
        <v>45</v>
      </c>
      <c r="AO309" s="63">
        <v>145700.12185195513</v>
      </c>
      <c r="AP309" s="64">
        <f>AM309*R309</f>
        <v>145700.12185195513</v>
      </c>
      <c r="AQ309" t="s">
        <v>46</v>
      </c>
      <c r="AR309" s="36">
        <f>(AP309-AO309)/AO309</f>
        <v>0</v>
      </c>
      <c r="AS309" s="81"/>
      <c r="AT309" s="81">
        <f>(AO309-J309)/J309</f>
        <v>0.83259759299708247</v>
      </c>
      <c r="AU309" s="81"/>
      <c r="AV309" s="66">
        <f>(AP309-J309)/J309</f>
        <v>0.83259759299708247</v>
      </c>
      <c r="BB309" s="56">
        <f>+R309*F309</f>
        <v>79504.7</v>
      </c>
    </row>
    <row r="310" spans="1:54" ht="18.75" outlineLevel="1" x14ac:dyDescent="0.3">
      <c r="A310">
        <v>16</v>
      </c>
      <c r="B310" t="s">
        <v>380</v>
      </c>
      <c r="C310">
        <v>360913</v>
      </c>
      <c r="D310" t="s">
        <v>384</v>
      </c>
      <c r="E310" t="s">
        <v>382</v>
      </c>
      <c r="F310" s="21">
        <f>+VLOOKUP(C310,'[1]stock au 25-03-25'!A:D,4,FALSE)</f>
        <v>2797.7249999999999</v>
      </c>
      <c r="G310" t="s">
        <v>45</v>
      </c>
      <c r="H310" s="22">
        <f>+VLOOKUP(C310,'[1]stock au 25-03-25'!A:F,6,FALSE)</f>
        <v>5.7370220446970306</v>
      </c>
      <c r="I310" t="s">
        <v>46</v>
      </c>
      <c r="J310" s="56">
        <f>+VLOOKUP(C310,'[1]stock au 25-03-25'!A:H,8,FALSE)</f>
        <v>16050.61</v>
      </c>
      <c r="K310" t="s">
        <v>46</v>
      </c>
      <c r="L310" s="23">
        <v>6.02</v>
      </c>
      <c r="M310" t="s">
        <v>46</v>
      </c>
      <c r="N310" s="56">
        <f>+VLOOKUP(C310,'[1]stock au 25-03-25'!A:L,12,FALSE)</f>
        <v>16842.304499999998</v>
      </c>
      <c r="P310" s="57">
        <v>6.02</v>
      </c>
      <c r="Q310" t="s">
        <v>46</v>
      </c>
      <c r="R310" s="25">
        <v>5.9</v>
      </c>
      <c r="T310" s="26">
        <v>5.7985855851380883</v>
      </c>
      <c r="U310" s="58">
        <f t="shared" si="71"/>
        <v>-1.7188883874900345E-2</v>
      </c>
      <c r="V310" s="10">
        <v>9663.36</v>
      </c>
      <c r="W310" s="60">
        <f t="shared" si="61"/>
        <v>56033.82</v>
      </c>
      <c r="X310" s="28">
        <v>5.8273786494480628</v>
      </c>
      <c r="Y310" s="59">
        <v>6059.9215601594788</v>
      </c>
      <c r="Z310" s="60">
        <f t="shared" si="62"/>
        <v>35313.457517003342</v>
      </c>
      <c r="AA310" s="60">
        <f t="shared" si="66"/>
        <v>35753.537204940927</v>
      </c>
      <c r="AB310" s="60">
        <f t="shared" si="58"/>
        <v>-440.07968793758482</v>
      </c>
      <c r="AC310" s="60">
        <f t="shared" si="59"/>
        <v>91347.277517003342</v>
      </c>
      <c r="AD310" s="61">
        <f>+VLOOKUP(C310,'[1]pic au 25-03'!C:R,16,FALSE)</f>
        <v>16770.771560159479</v>
      </c>
      <c r="AE310" s="31"/>
      <c r="AF310" s="62">
        <v>100960.04479216003</v>
      </c>
      <c r="AG310" s="31"/>
      <c r="AH310" s="62">
        <v>100960.04479216003</v>
      </c>
      <c r="AI310" s="31"/>
      <c r="AJ310" s="28">
        <f t="shared" si="60"/>
        <v>91625.515262933783</v>
      </c>
      <c r="AK310" s="21">
        <f>+VLOOKUP(C310,'[1]stock au 25-03-25'!A:X,24,FALSE)</f>
        <v>1047.49</v>
      </c>
      <c r="AL310" t="s">
        <v>45</v>
      </c>
      <c r="AM310" s="21">
        <f>AD310-AK310</f>
        <v>15723.281560159479</v>
      </c>
      <c r="AN310" t="s">
        <v>45</v>
      </c>
      <c r="AO310" s="63">
        <v>90118.75759494277</v>
      </c>
      <c r="AP310" s="64">
        <f>AM310*R310</f>
        <v>92767.361204940928</v>
      </c>
      <c r="AQ310" t="s">
        <v>46</v>
      </c>
      <c r="AR310" s="36">
        <f>(AP310-AO310)/AO310</f>
        <v>2.9390147852490923E-2</v>
      </c>
      <c r="AS310" s="81"/>
      <c r="AT310" s="81">
        <f>(AO310-J310)/J310</f>
        <v>4.6146624704570582</v>
      </c>
      <c r="AU310" s="81"/>
      <c r="AV310" s="66">
        <f>(AP310-J310)/J310</f>
        <v>4.7796782306056231</v>
      </c>
      <c r="BB310" s="56">
        <f>+R310*F310</f>
        <v>16506.577499999999</v>
      </c>
    </row>
    <row r="311" spans="1:54" ht="18.75" outlineLevel="1" x14ac:dyDescent="0.3">
      <c r="A311">
        <v>16</v>
      </c>
      <c r="B311" t="s">
        <v>380</v>
      </c>
      <c r="C311">
        <v>360914</v>
      </c>
      <c r="D311" t="s">
        <v>385</v>
      </c>
      <c r="E311" t="s">
        <v>382</v>
      </c>
      <c r="F311" s="21">
        <f>+VLOOKUP(C311,'[1]stock au 25-03-25'!A:D,4,FALSE)</f>
        <v>8175.1450000000004</v>
      </c>
      <c r="G311" t="s">
        <v>45</v>
      </c>
      <c r="H311" s="22">
        <f>+VLOOKUP(C311,'[1]stock au 25-03-25'!A:F,6,FALSE)</f>
        <v>5.7443690601206461</v>
      </c>
      <c r="I311" t="s">
        <v>46</v>
      </c>
      <c r="J311" s="56">
        <f>+VLOOKUP(C311,'[1]stock au 25-03-25'!A:H,8,FALSE)</f>
        <v>46961.05</v>
      </c>
      <c r="K311" t="s">
        <v>46</v>
      </c>
      <c r="L311" s="23">
        <v>6</v>
      </c>
      <c r="M311" t="s">
        <v>46</v>
      </c>
      <c r="N311" s="56">
        <f>+VLOOKUP(C311,'[1]stock au 25-03-25'!A:L,12,FALSE)</f>
        <v>49050.87</v>
      </c>
      <c r="P311" s="57">
        <v>6</v>
      </c>
      <c r="Q311" t="s">
        <v>46</v>
      </c>
      <c r="R311" s="25">
        <v>6.2</v>
      </c>
      <c r="T311" s="26" t="s">
        <v>53</v>
      </c>
      <c r="U311" s="58" t="str">
        <f t="shared" si="71"/>
        <v/>
      </c>
      <c r="V311" s="10">
        <v>0</v>
      </c>
      <c r="W311" s="60">
        <f t="shared" si="61"/>
        <v>0</v>
      </c>
      <c r="X311" s="28">
        <v>6.2</v>
      </c>
      <c r="Y311" s="59">
        <v>4461.6611176470597</v>
      </c>
      <c r="Z311" s="60">
        <f t="shared" si="62"/>
        <v>27662.298929411772</v>
      </c>
      <c r="AA311" s="60">
        <f t="shared" si="66"/>
        <v>27662.298929411772</v>
      </c>
      <c r="AB311" s="60">
        <f t="shared" si="58"/>
        <v>0</v>
      </c>
      <c r="AC311" s="60">
        <f t="shared" si="59"/>
        <v>27662.298929411772</v>
      </c>
      <c r="AD311" s="61">
        <f>+VLOOKUP(C311,'[1]pic au 25-03'!C:R,16,FALSE)</f>
        <v>5209.1011176470593</v>
      </c>
      <c r="AE311" s="31"/>
      <c r="AF311" s="62">
        <v>31254.606705882354</v>
      </c>
      <c r="AG311" s="31"/>
      <c r="AH311" s="62">
        <v>31254.606705882354</v>
      </c>
      <c r="AI311" s="31"/>
      <c r="AJ311" s="28">
        <f t="shared" si="60"/>
        <v>27662.298929411772</v>
      </c>
      <c r="AK311" s="21">
        <f>+VLOOKUP(C311,'[1]stock au 25-03-25'!A:X,24,FALSE)</f>
        <v>747.44</v>
      </c>
      <c r="AL311" t="s">
        <v>45</v>
      </c>
      <c r="AM311" s="21">
        <f>AD311-AK311</f>
        <v>4461.6611176470597</v>
      </c>
      <c r="AN311" t="s">
        <v>45</v>
      </c>
      <c r="AO311" s="63">
        <v>25629.428080955073</v>
      </c>
      <c r="AP311" s="64">
        <f>AM311*R311</f>
        <v>27662.298929411772</v>
      </c>
      <c r="AQ311" t="s">
        <v>46</v>
      </c>
      <c r="AR311" s="36">
        <f>(AP311-AO311)/AO311</f>
        <v>7.9317838932477083E-2</v>
      </c>
      <c r="AS311" s="81"/>
      <c r="AT311" s="81">
        <f>(AO311-J311)/J311</f>
        <v>-0.45424073607904697</v>
      </c>
      <c r="AU311" s="81"/>
      <c r="AV311" s="66">
        <f>(AP311-J311)/J311</f>
        <v>-0.41095229068745759</v>
      </c>
      <c r="BB311" s="56">
        <f>+R311*F311</f>
        <v>50685.899000000005</v>
      </c>
    </row>
    <row r="312" spans="1:54" x14ac:dyDescent="0.25">
      <c r="A312" s="67"/>
      <c r="B312" s="67" t="s">
        <v>386</v>
      </c>
      <c r="C312" s="67"/>
      <c r="D312" s="67"/>
      <c r="E312" s="67"/>
      <c r="F312" s="79">
        <f>SUM(F308:F311)</f>
        <v>48523.239999999991</v>
      </c>
      <c r="G312" s="67" t="s">
        <v>45</v>
      </c>
      <c r="H312" s="69"/>
      <c r="I312" s="67"/>
      <c r="J312" s="70">
        <f>SUM(J308:J311)</f>
        <v>375483.68999999994</v>
      </c>
      <c r="K312" s="67"/>
      <c r="L312" s="69"/>
      <c r="M312" s="67"/>
      <c r="N312" s="70">
        <f>SUM(N308:N311)</f>
        <v>419168.55294999992</v>
      </c>
      <c r="O312" s="78"/>
      <c r="P312" s="78">
        <f>SUM(P308:P311)</f>
        <v>30.07</v>
      </c>
      <c r="Q312" s="78">
        <f>SUM(Q308:Q311)</f>
        <v>0</v>
      </c>
      <c r="R312" s="78"/>
      <c r="S312" s="78"/>
      <c r="T312" s="83"/>
      <c r="U312" s="83"/>
      <c r="V312" s="10">
        <v>0</v>
      </c>
      <c r="W312" s="60">
        <f>SUM(W308:W311)</f>
        <v>385629.77</v>
      </c>
      <c r="X312" s="28">
        <f>SUM(X308:X311)</f>
        <v>27.82737620725505</v>
      </c>
      <c r="Y312" s="59">
        <v>-3570.0350000000003</v>
      </c>
      <c r="Z312" s="60">
        <f>SUM(Z308:Z311)</f>
        <v>141812.33009061147</v>
      </c>
      <c r="AA312" s="60">
        <f t="shared" si="66"/>
        <v>0</v>
      </c>
      <c r="AB312" s="60"/>
      <c r="AC312" s="60">
        <f t="shared" si="59"/>
        <v>527442.10009061149</v>
      </c>
      <c r="AD312" s="74">
        <f>SUM(AD308:AD311)</f>
        <v>75456.596978200003</v>
      </c>
      <c r="AE312" s="75"/>
      <c r="AF312" s="76">
        <f>SUM(AF308:AF311)</f>
        <v>626443.65515463508</v>
      </c>
      <c r="AG312" s="75"/>
      <c r="AH312" s="76">
        <f>SUM(AH308:AH311)</f>
        <v>626443.65515463508</v>
      </c>
      <c r="AI312" s="75"/>
      <c r="AJ312" s="28">
        <f>SUM(AJ308:AJ311)</f>
        <v>534410.30210214911</v>
      </c>
      <c r="AK312" s="77">
        <f>SUM(AK308:AK311)</f>
        <v>3570.0350000000003</v>
      </c>
      <c r="AL312" s="78">
        <f>SUM(AL308:AL311)</f>
        <v>0</v>
      </c>
      <c r="AM312" s="79">
        <f>SUM(AM308:AM311)</f>
        <v>71886.561978199999</v>
      </c>
      <c r="AN312" s="78" t="s">
        <v>45</v>
      </c>
      <c r="AO312" s="80">
        <f>SUM(AO308:AO311)</f>
        <v>540402.84786010452</v>
      </c>
      <c r="AP312" s="80">
        <f>SUM(AP308:AP311)</f>
        <v>545892.50730121403</v>
      </c>
      <c r="AQ312" s="67"/>
      <c r="AR312" s="81">
        <f>(AP312-AO312)/AO312</f>
        <v>1.0158457644787683E-2</v>
      </c>
      <c r="AS312" s="81"/>
      <c r="AT312" s="81">
        <f>(AO312-J312)/J312</f>
        <v>0.43921790014395723</v>
      </c>
      <c r="AU312" s="82">
        <f>AO312-J312</f>
        <v>164919.15786010458</v>
      </c>
      <c r="AV312" s="81">
        <f>(AP312-J312)/J312</f>
        <v>0.45383813422418989</v>
      </c>
      <c r="AW312" s="72">
        <f>AP312-N312</f>
        <v>126723.95435121411</v>
      </c>
      <c r="AX312" s="67"/>
      <c r="AY312" s="67"/>
      <c r="AZ312" s="81">
        <f>(AM312-F312)/F312</f>
        <v>0.4814872621490241</v>
      </c>
      <c r="BA312" s="81">
        <f>(AP312-N312)/N312</f>
        <v>0.30232218867413518</v>
      </c>
      <c r="BB312" s="78">
        <f>SUM(BB308:BB311)</f>
        <v>379664.50650000002</v>
      </c>
    </row>
    <row r="313" spans="1:54" ht="18.75" outlineLevel="1" x14ac:dyDescent="0.3">
      <c r="A313">
        <v>17</v>
      </c>
      <c r="B313" t="s">
        <v>387</v>
      </c>
      <c r="C313">
        <v>338523</v>
      </c>
      <c r="D313" t="s">
        <v>388</v>
      </c>
      <c r="E313" t="s">
        <v>362</v>
      </c>
      <c r="F313" s="21">
        <f>+VLOOKUP(C313,'[1]stock au 25-03-25'!A:D,4,FALSE)</f>
        <v>35788.800000000003</v>
      </c>
      <c r="G313" t="s">
        <v>45</v>
      </c>
      <c r="H313" s="22">
        <f>+VLOOKUP(C313,'[1]stock au 25-03-25'!A:F,6,FALSE)</f>
        <v>4.2995814332975675</v>
      </c>
      <c r="I313" t="s">
        <v>46</v>
      </c>
      <c r="J313" s="56">
        <f>+VLOOKUP(C313,'[1]stock au 25-03-25'!A:H,8,FALSE)</f>
        <v>153876.85999999999</v>
      </c>
      <c r="K313" t="s">
        <v>46</v>
      </c>
      <c r="L313" s="23">
        <v>4.4800000000000004</v>
      </c>
      <c r="M313" t="s">
        <v>46</v>
      </c>
      <c r="N313" s="56">
        <f>+VLOOKUP(C313,'[1]stock au 25-03-25'!A:L,12,FALSE)</f>
        <v>160333.82400000002</v>
      </c>
      <c r="P313" s="57">
        <v>4.4800000000000004</v>
      </c>
      <c r="Q313" t="s">
        <v>46</v>
      </c>
      <c r="R313" s="25">
        <v>4.34</v>
      </c>
      <c r="T313" s="26">
        <v>4.310000347093669</v>
      </c>
      <c r="U313" s="58">
        <f t="shared" ref="U313:U321" si="72">IFERROR((T313-R313)/R313,"")</f>
        <v>-6.9123624208135689E-3</v>
      </c>
      <c r="V313" s="10">
        <v>17286.400000000001</v>
      </c>
      <c r="W313" s="60">
        <f t="shared" si="61"/>
        <v>74504.39</v>
      </c>
      <c r="X313" s="28">
        <v>4.3100008815232718</v>
      </c>
      <c r="Y313" s="59">
        <v>19425.386329000001</v>
      </c>
      <c r="Z313" s="60">
        <f t="shared" si="62"/>
        <v>83723.432201920121</v>
      </c>
      <c r="AA313" s="60">
        <f t="shared" si="66"/>
        <v>84306.176667859996</v>
      </c>
      <c r="AB313" s="60">
        <f t="shared" si="58"/>
        <v>-582.74446593987523</v>
      </c>
      <c r="AC313" s="60">
        <f t="shared" si="59"/>
        <v>158227.82220192012</v>
      </c>
      <c r="AD313" s="61">
        <f>+VLOOKUP(C313,'[1]pic au 25-03'!C:R,16,FALSE)</f>
        <v>39121.706329000001</v>
      </c>
      <c r="AE313" s="31"/>
      <c r="AF313" s="62">
        <v>185597.48625400892</v>
      </c>
      <c r="AG313" s="31"/>
      <c r="AH313" s="62">
        <v>185597.48625400892</v>
      </c>
      <c r="AI313" s="31"/>
      <c r="AJ313" s="28">
        <f t="shared" si="60"/>
        <v>158227.831440284</v>
      </c>
      <c r="AK313" s="21">
        <f>+VLOOKUP(C313,'[1]stock au 25-03-25'!A:X,24,FALSE)</f>
        <v>2409.92</v>
      </c>
      <c r="AL313" t="s">
        <v>45</v>
      </c>
      <c r="AM313" s="21">
        <f t="shared" ref="AM313:AM321" si="73">IF(AD313-AK313&lt;0,0,AD313-AK313)</f>
        <v>36711.786329000002</v>
      </c>
      <c r="AN313" t="s">
        <v>45</v>
      </c>
      <c r="AO313" s="63">
        <v>168496.48804074069</v>
      </c>
      <c r="AP313" s="64">
        <f t="shared" ref="AP313:AP321" si="74">IF(AM313&lt;0,0,AM313*R313)</f>
        <v>159329.15266786001</v>
      </c>
      <c r="AQ313" t="s">
        <v>46</v>
      </c>
      <c r="AR313" s="36">
        <f>(AP313-AO313)/AO313</f>
        <v>-5.4406685145058441E-2</v>
      </c>
      <c r="AS313" s="81"/>
      <c r="AT313" s="81">
        <f>(AO313-J313)/J313</f>
        <v>9.5008619494449678E-2</v>
      </c>
      <c r="AU313" s="81"/>
      <c r="AV313" s="66">
        <f>(AP313-J313)/J313</f>
        <v>3.5432830302490059E-2</v>
      </c>
      <c r="BB313" s="56">
        <f>+R313*F313</f>
        <v>155323.39200000002</v>
      </c>
    </row>
    <row r="314" spans="1:54" ht="18.75" outlineLevel="1" x14ac:dyDescent="0.3">
      <c r="A314">
        <v>17</v>
      </c>
      <c r="B314" t="s">
        <v>387</v>
      </c>
      <c r="C314">
        <v>338625</v>
      </c>
      <c r="D314" t="s">
        <v>389</v>
      </c>
      <c r="E314" t="s">
        <v>362</v>
      </c>
      <c r="F314" s="21">
        <f>+VLOOKUP(C314,'[1]stock au 25-03-25'!A:D,4,FALSE)</f>
        <v>10280</v>
      </c>
      <c r="G314" t="s">
        <v>45</v>
      </c>
      <c r="H314" s="22">
        <f>+VLOOKUP(C314,'[1]stock au 25-03-25'!A:F,6,FALSE)</f>
        <v>9.3146498054474716</v>
      </c>
      <c r="I314" t="s">
        <v>46</v>
      </c>
      <c r="J314" s="56">
        <f>+VLOOKUP(C314,'[1]stock au 25-03-25'!A:H,8,FALSE)</f>
        <v>95754.6</v>
      </c>
      <c r="K314" t="s">
        <v>46</v>
      </c>
      <c r="L314" s="23">
        <v>9.4</v>
      </c>
      <c r="M314" t="s">
        <v>46</v>
      </c>
      <c r="N314" s="56">
        <f>+VLOOKUP(C314,'[1]stock au 25-03-25'!A:L,12,FALSE)</f>
        <v>96632</v>
      </c>
      <c r="P314" s="57">
        <v>9.4</v>
      </c>
      <c r="Q314" t="s">
        <v>46</v>
      </c>
      <c r="R314" s="25">
        <v>9.31</v>
      </c>
      <c r="T314" s="26">
        <v>9.2653299492385788</v>
      </c>
      <c r="U314" s="58">
        <f t="shared" si="72"/>
        <v>-4.7980720474137184E-3</v>
      </c>
      <c r="V314" s="10">
        <v>9850</v>
      </c>
      <c r="W314" s="60">
        <f t="shared" si="61"/>
        <v>91263.5</v>
      </c>
      <c r="X314" s="28">
        <v>9.31</v>
      </c>
      <c r="Y314" s="59">
        <v>4372.8685340683769</v>
      </c>
      <c r="Z314" s="60">
        <f t="shared" si="62"/>
        <v>40711.406052176593</v>
      </c>
      <c r="AA314" s="60">
        <f t="shared" si="66"/>
        <v>40711.406052176593</v>
      </c>
      <c r="AB314" s="60">
        <f t="shared" si="58"/>
        <v>0</v>
      </c>
      <c r="AC314" s="60">
        <f t="shared" si="59"/>
        <v>131974.90605217661</v>
      </c>
      <c r="AD314" s="61">
        <f>+VLOOKUP(C314,'[1]pic au 25-03'!C:R,16,FALSE)</f>
        <v>15022.868534068377</v>
      </c>
      <c r="AE314" s="31"/>
      <c r="AF314" s="62">
        <v>141214.96422024275</v>
      </c>
      <c r="AG314" s="31"/>
      <c r="AH314" s="62">
        <v>141214.96422024275</v>
      </c>
      <c r="AI314" s="31"/>
      <c r="AJ314" s="28">
        <f t="shared" si="60"/>
        <v>132414.90605217661</v>
      </c>
      <c r="AK314" s="21">
        <f>+VLOOKUP(C314,'[1]stock au 25-03-25'!A:X,24,FALSE)</f>
        <v>800</v>
      </c>
      <c r="AL314" t="s">
        <v>45</v>
      </c>
      <c r="AM314" s="21">
        <f t="shared" si="73"/>
        <v>14222.868534068377</v>
      </c>
      <c r="AN314" t="s">
        <v>45</v>
      </c>
      <c r="AO314" s="63">
        <v>134747.0312111369</v>
      </c>
      <c r="AP314" s="64">
        <f t="shared" si="74"/>
        <v>132414.90605217661</v>
      </c>
      <c r="AQ314" t="s">
        <v>46</v>
      </c>
      <c r="AR314" s="36">
        <f>(AP314-AO314)/AO314</f>
        <v>-1.7307432586815608E-2</v>
      </c>
      <c r="AS314" s="81"/>
      <c r="AT314" s="81">
        <f>(AO314-J314)/J314</f>
        <v>0.4072120943655646</v>
      </c>
      <c r="AU314" s="81"/>
      <c r="AV314" s="66">
        <f>(AP314-J314)/J314</f>
        <v>0.38285686590698098</v>
      </c>
      <c r="BB314" s="56">
        <f>+R314*F314</f>
        <v>95706.8</v>
      </c>
    </row>
    <row r="315" spans="1:54" ht="18.75" outlineLevel="1" x14ac:dyDescent="0.3">
      <c r="A315">
        <v>17</v>
      </c>
      <c r="B315" t="s">
        <v>387</v>
      </c>
      <c r="C315">
        <v>339468</v>
      </c>
      <c r="D315" t="s">
        <v>390</v>
      </c>
      <c r="E315" t="s">
        <v>362</v>
      </c>
      <c r="F315" s="21">
        <f>+VLOOKUP(C315,'[1]stock au 25-03-25'!A:D,4,FALSE)</f>
        <v>10475</v>
      </c>
      <c r="G315" t="s">
        <v>45</v>
      </c>
      <c r="H315" s="22">
        <f>+VLOOKUP(C315,'[1]stock au 25-03-25'!A:F,6,FALSE)</f>
        <v>4.9114892601431981</v>
      </c>
      <c r="I315" t="s">
        <v>46</v>
      </c>
      <c r="J315" s="56">
        <f>+VLOOKUP(C315,'[1]stock au 25-03-25'!A:H,8,FALSE)</f>
        <v>51447.85</v>
      </c>
      <c r="K315" t="s">
        <v>46</v>
      </c>
      <c r="L315" s="23">
        <v>5</v>
      </c>
      <c r="M315" t="s">
        <v>46</v>
      </c>
      <c r="N315" s="56">
        <f>+VLOOKUP(C315,'[1]stock au 25-03-25'!A:L,12,FALSE)</f>
        <v>52375</v>
      </c>
      <c r="Q315" t="s">
        <v>46</v>
      </c>
      <c r="R315" s="25">
        <f>H315*(1+VLOOKUP(A315,'[1]Variation MP'!$B$3:$D$22,3))</f>
        <v>4.9114892601431981</v>
      </c>
      <c r="T315" s="26">
        <v>4.8599999999999994</v>
      </c>
      <c r="U315" s="58">
        <f t="shared" si="72"/>
        <v>-1.0483431280413194E-2</v>
      </c>
      <c r="V315" s="10">
        <v>17570</v>
      </c>
      <c r="W315" s="60">
        <f t="shared" si="61"/>
        <v>85390.2</v>
      </c>
      <c r="X315" s="28">
        <v>4.8600000000000003</v>
      </c>
      <c r="Y315" s="59">
        <v>4586.8340140861155</v>
      </c>
      <c r="Z315" s="60">
        <f t="shared" si="62"/>
        <v>22292.013308458521</v>
      </c>
      <c r="AA315" s="60">
        <f t="shared" si="66"/>
        <v>22528.185998243473</v>
      </c>
      <c r="AB315" s="60">
        <f t="shared" si="58"/>
        <v>-236.17268978495122</v>
      </c>
      <c r="AC315" s="60">
        <f t="shared" si="59"/>
        <v>107682.21330845852</v>
      </c>
      <c r="AD315" s="61">
        <f>+VLOOKUP(C315,'[1]pic au 25-03'!C:R,16,FALSE)</f>
        <v>22975.017014086116</v>
      </c>
      <c r="AE315" s="31"/>
      <c r="AF315" s="62"/>
      <c r="AG315" s="31"/>
      <c r="AH315" s="62">
        <v>115936.04183114484</v>
      </c>
      <c r="AI315" s="31"/>
      <c r="AJ315" s="28">
        <f t="shared" si="60"/>
        <v>107682.21330845852</v>
      </c>
      <c r="AK315" s="21">
        <f>+VLOOKUP(C315,'[1]stock au 25-03-25'!A:X,24,FALSE)</f>
        <v>818.18299999999999</v>
      </c>
      <c r="AL315" t="s">
        <v>45</v>
      </c>
      <c r="AM315" s="21">
        <f t="shared" si="73"/>
        <v>22156.834014086115</v>
      </c>
      <c r="AN315" t="s">
        <v>45</v>
      </c>
      <c r="AO315" s="63">
        <v>110954.94785266989</v>
      </c>
      <c r="AP315" s="64">
        <f t="shared" si="74"/>
        <v>108823.05229895946</v>
      </c>
      <c r="AQ315" t="s">
        <v>46</v>
      </c>
      <c r="AR315" s="36">
        <f>(AP315-AO315)/AO315</f>
        <v>-1.9214064762044177E-2</v>
      </c>
      <c r="AS315" s="81"/>
      <c r="AT315" s="81">
        <f>(AO315-J315)/J315</f>
        <v>1.1566488755636999</v>
      </c>
      <c r="AU315" s="81"/>
      <c r="AV315" s="66">
        <f>(AP315-J315)/J315</f>
        <v>1.1152108843996291</v>
      </c>
      <c r="BB315" s="56">
        <f>+R315*F315</f>
        <v>51447.85</v>
      </c>
    </row>
    <row r="316" spans="1:54" ht="18.75" outlineLevel="1" x14ac:dyDescent="0.3">
      <c r="A316">
        <v>17</v>
      </c>
      <c r="B316" t="s">
        <v>387</v>
      </c>
      <c r="C316">
        <v>360432</v>
      </c>
      <c r="D316" t="s">
        <v>391</v>
      </c>
      <c r="E316" t="s">
        <v>362</v>
      </c>
      <c r="F316" s="21">
        <f>+VLOOKUP(C316,'[1]stock au 25-03-25'!A:D,4,FALSE)</f>
        <v>21411.5</v>
      </c>
      <c r="G316" t="s">
        <v>45</v>
      </c>
      <c r="H316" s="22">
        <f>+VLOOKUP(C316,'[1]stock au 25-03-25'!A:F,6,FALSE)</f>
        <v>4.5137879177077735</v>
      </c>
      <c r="I316" t="s">
        <v>46</v>
      </c>
      <c r="J316" s="56">
        <f>+VLOOKUP(C316,'[1]stock au 25-03-25'!A:H,8,FALSE)</f>
        <v>96646.97</v>
      </c>
      <c r="K316" t="s">
        <v>46</v>
      </c>
      <c r="L316" s="23">
        <v>5.44</v>
      </c>
      <c r="M316" t="s">
        <v>46</v>
      </c>
      <c r="N316" s="56">
        <f>+VLOOKUP(C316,'[1]stock au 25-03-25'!A:L,12,FALSE)</f>
        <v>116478.56000000001</v>
      </c>
      <c r="P316" s="57">
        <v>5.44</v>
      </c>
      <c r="Q316" t="s">
        <v>46</v>
      </c>
      <c r="R316" s="25">
        <v>4.51</v>
      </c>
      <c r="T316" s="26">
        <v>4.54</v>
      </c>
      <c r="U316" s="58">
        <f t="shared" si="72"/>
        <v>6.651884700665244E-3</v>
      </c>
      <c r="V316" s="10">
        <v>20917</v>
      </c>
      <c r="W316" s="60">
        <f t="shared" si="61"/>
        <v>94963.180000000008</v>
      </c>
      <c r="X316" s="28">
        <v>4.54</v>
      </c>
      <c r="Y316" s="59">
        <v>3557.6585736592788</v>
      </c>
      <c r="Z316" s="60">
        <f t="shared" si="62"/>
        <v>16151.769924413125</v>
      </c>
      <c r="AA316" s="60">
        <f t="shared" si="66"/>
        <v>16045.040167203346</v>
      </c>
      <c r="AB316" s="60">
        <f t="shared" si="58"/>
        <v>106.72975720977956</v>
      </c>
      <c r="AC316" s="60">
        <f t="shared" si="59"/>
        <v>111114.94992441313</v>
      </c>
      <c r="AD316" s="61">
        <f>+VLOOKUP(C316,'[1]pic au 25-03'!C:R,16,FALSE)</f>
        <v>24943.658573659279</v>
      </c>
      <c r="AE316" s="31"/>
      <c r="AF316" s="62">
        <v>135693.50264070652</v>
      </c>
      <c r="AG316" s="31"/>
      <c r="AH316" s="62">
        <v>135693.50264070652</v>
      </c>
      <c r="AI316" s="31"/>
      <c r="AJ316" s="28">
        <f t="shared" si="60"/>
        <v>111114.94992441313</v>
      </c>
      <c r="AK316" s="21">
        <f>+VLOOKUP(C316,'[1]stock au 25-03-25'!A:X,24,FALSE)</f>
        <v>469</v>
      </c>
      <c r="AL316" t="s">
        <v>45</v>
      </c>
      <c r="AM316" s="21">
        <f t="shared" si="73"/>
        <v>24474.658573659279</v>
      </c>
      <c r="AN316" t="s">
        <v>45</v>
      </c>
      <c r="AO316" s="63">
        <v>98788.661139206553</v>
      </c>
      <c r="AP316" s="64">
        <f t="shared" si="74"/>
        <v>110380.71016720335</v>
      </c>
      <c r="AQ316" t="s">
        <v>46</v>
      </c>
      <c r="AR316" s="36">
        <f>(AP316-AO316)/AO316</f>
        <v>0.11734189829399581</v>
      </c>
      <c r="AS316" s="81"/>
      <c r="AT316" s="81">
        <f>(AO316-J316)/J316</f>
        <v>2.2159940856982398E-2</v>
      </c>
      <c r="AU316" s="81"/>
      <c r="AV316" s="66">
        <f>(AP316-J316)/J316</f>
        <v>0.14210212867721922</v>
      </c>
      <c r="BB316" s="56">
        <f>+R316*F316</f>
        <v>96565.864999999991</v>
      </c>
    </row>
    <row r="317" spans="1:54" ht="18.75" outlineLevel="1" x14ac:dyDescent="0.3">
      <c r="A317">
        <v>17</v>
      </c>
      <c r="B317" t="s">
        <v>387</v>
      </c>
      <c r="C317">
        <v>360465</v>
      </c>
      <c r="D317" t="s">
        <v>392</v>
      </c>
      <c r="E317" t="s">
        <v>362</v>
      </c>
      <c r="F317" s="21">
        <f>+VLOOKUP(C317,'[1]stock au 25-03-25'!A:D,4,FALSE)</f>
        <v>9368</v>
      </c>
      <c r="G317" t="s">
        <v>45</v>
      </c>
      <c r="H317" s="22">
        <f>+VLOOKUP(C317,'[1]stock au 25-03-25'!A:F,6,FALSE)</f>
        <v>8.85</v>
      </c>
      <c r="I317" t="s">
        <v>46</v>
      </c>
      <c r="J317" s="56">
        <f>+VLOOKUP(C317,'[1]stock au 25-03-25'!A:H,8,FALSE)</f>
        <v>82906.8</v>
      </c>
      <c r="K317" t="s">
        <v>46</v>
      </c>
      <c r="L317" s="23">
        <v>8.74</v>
      </c>
      <c r="M317" t="s">
        <v>46</v>
      </c>
      <c r="N317" s="56">
        <f>+VLOOKUP(C317,'[1]stock au 25-03-25'!A:L,12,FALSE)</f>
        <v>81876.320000000007</v>
      </c>
      <c r="P317" s="57">
        <v>8.74</v>
      </c>
      <c r="Q317" t="s">
        <v>46</v>
      </c>
      <c r="R317" s="25">
        <f>H317*(1+VLOOKUP(A317,'[1]Variation MP'!$B$3:$D$22,3))</f>
        <v>8.85</v>
      </c>
      <c r="T317" s="26" t="s">
        <v>53</v>
      </c>
      <c r="U317" s="58" t="str">
        <f t="shared" si="72"/>
        <v/>
      </c>
      <c r="V317" s="10">
        <v>0</v>
      </c>
      <c r="W317" s="60">
        <f t="shared" si="61"/>
        <v>0</v>
      </c>
      <c r="X317" s="28">
        <v>8.85</v>
      </c>
      <c r="Y317" s="59">
        <v>8048.7099135043463</v>
      </c>
      <c r="Z317" s="60">
        <f t="shared" si="62"/>
        <v>71231.08273451346</v>
      </c>
      <c r="AA317" s="60">
        <f t="shared" si="66"/>
        <v>71231.08273451346</v>
      </c>
      <c r="AB317" s="60">
        <f t="shared" si="58"/>
        <v>0</v>
      </c>
      <c r="AC317" s="60">
        <f t="shared" si="59"/>
        <v>71231.08273451346</v>
      </c>
      <c r="AD317" s="61">
        <f>+VLOOKUP(C317,'[1]pic au 25-03'!C:R,16,FALSE)</f>
        <v>8762.7099135043463</v>
      </c>
      <c r="AE317" s="31"/>
      <c r="AF317" s="62">
        <v>76586.084644028</v>
      </c>
      <c r="AG317" s="31"/>
      <c r="AH317" s="62">
        <v>76586.084644028</v>
      </c>
      <c r="AI317" s="31"/>
      <c r="AJ317" s="28">
        <f t="shared" si="60"/>
        <v>71231.08273451346</v>
      </c>
      <c r="AK317" s="21">
        <f>+VLOOKUP(C317,'[1]stock au 25-03-25'!A:X,24,FALSE)</f>
        <v>714</v>
      </c>
      <c r="AL317" t="s">
        <v>45</v>
      </c>
      <c r="AM317" s="21">
        <f t="shared" si="73"/>
        <v>8048.7099135043463</v>
      </c>
      <c r="AN317" t="s">
        <v>45</v>
      </c>
      <c r="AO317" s="63">
        <v>71620.482734513484</v>
      </c>
      <c r="AP317" s="64">
        <f t="shared" si="74"/>
        <v>71231.08273451346</v>
      </c>
      <c r="AQ317" t="s">
        <v>46</v>
      </c>
      <c r="AR317" s="36">
        <f>(AP317-AO317)/AO317</f>
        <v>-5.4369921163959674E-3</v>
      </c>
      <c r="AS317" s="81"/>
      <c r="AT317" s="81">
        <f>(AO317-J317)/J317</f>
        <v>-0.13613258822541116</v>
      </c>
      <c r="AU317" s="81"/>
      <c r="AV317" s="66">
        <f>(AP317-J317)/J317</f>
        <v>-0.140829428532841</v>
      </c>
      <c r="BB317" s="56">
        <f>+R317*F317</f>
        <v>82906.8</v>
      </c>
    </row>
    <row r="318" spans="1:54" ht="18.75" outlineLevel="1" x14ac:dyDescent="0.3">
      <c r="A318">
        <v>17</v>
      </c>
      <c r="B318" t="s">
        <v>387</v>
      </c>
      <c r="C318">
        <v>340534</v>
      </c>
      <c r="D318" t="s">
        <v>393</v>
      </c>
      <c r="E318" t="s">
        <v>362</v>
      </c>
      <c r="F318" s="21">
        <f>+VLOOKUP(C318,'[1]stock au 25-03-25'!A:D,4,FALSE)</f>
        <v>42926.771999999997</v>
      </c>
      <c r="G318" t="s">
        <v>45</v>
      </c>
      <c r="H318" s="22">
        <f>+VLOOKUP(C318,'[1]stock au 25-03-25'!A:F,6,FALSE)</f>
        <v>1.0874295416389568</v>
      </c>
      <c r="I318" t="s">
        <v>46</v>
      </c>
      <c r="J318" s="56">
        <f>+VLOOKUP(C318,'[1]stock au 25-03-25'!A:H,8,FALSE)</f>
        <v>46679.839999999997</v>
      </c>
      <c r="K318" t="s">
        <v>46</v>
      </c>
      <c r="L318" s="23">
        <v>1.6</v>
      </c>
      <c r="M318" t="s">
        <v>46</v>
      </c>
      <c r="N318" s="56">
        <f>+VLOOKUP(C318,'[1]stock au 25-03-25'!A:L,12,FALSE)</f>
        <v>68682.835200000001</v>
      </c>
      <c r="P318" s="57">
        <v>1.3</v>
      </c>
      <c r="Q318" t="s">
        <v>46</v>
      </c>
      <c r="R318" s="25">
        <v>1.1000000000000001</v>
      </c>
      <c r="T318" s="26">
        <v>0.97697393815020617</v>
      </c>
      <c r="U318" s="58">
        <f t="shared" si="72"/>
        <v>-0.11184187440890356</v>
      </c>
      <c r="V318" s="10">
        <v>29586.387999999999</v>
      </c>
      <c r="W318" s="60">
        <f t="shared" si="61"/>
        <v>28905.13</v>
      </c>
      <c r="X318" s="28">
        <v>1.0501755777924493</v>
      </c>
      <c r="Y318" s="59">
        <v>16643.235791326926</v>
      </c>
      <c r="Z318" s="60">
        <f t="shared" si="62"/>
        <v>17478.319763492727</v>
      </c>
      <c r="AA318" s="60">
        <f t="shared" si="66"/>
        <v>18307.559370459621</v>
      </c>
      <c r="AB318" s="60">
        <f t="shared" si="58"/>
        <v>-829.23960696689392</v>
      </c>
      <c r="AC318" s="60">
        <f t="shared" si="59"/>
        <v>46383.449763492725</v>
      </c>
      <c r="AD318" s="61">
        <f>+VLOOKUP(C318,'[1]pic au 25-03'!C:R,16,FALSE)</f>
        <v>47069.440791326924</v>
      </c>
      <c r="AE318" s="31"/>
      <c r="AF318" s="62">
        <v>61190.273028725001</v>
      </c>
      <c r="AG318" s="31"/>
      <c r="AH318" s="62">
        <v>75311.105266123079</v>
      </c>
      <c r="AI318" s="31"/>
      <c r="AJ318" s="28">
        <f t="shared" si="60"/>
        <v>48549.221876184311</v>
      </c>
      <c r="AK318" s="21">
        <f>+VLOOKUP(C318,'[1]stock au 25-03-25'!A:X,24,FALSE)</f>
        <v>839.81700000000001</v>
      </c>
      <c r="AL318" t="s">
        <v>45</v>
      </c>
      <c r="AM318" s="21">
        <f t="shared" si="73"/>
        <v>46229.623791326921</v>
      </c>
      <c r="AN318" t="s">
        <v>45</v>
      </c>
      <c r="AO318" s="63">
        <v>49165.987274841871</v>
      </c>
      <c r="AP318" s="64">
        <f t="shared" si="74"/>
        <v>50852.586170459617</v>
      </c>
      <c r="AQ318" t="s">
        <v>46</v>
      </c>
      <c r="AR318" s="36">
        <f>(AP318-AO318)/AO318</f>
        <v>3.4304180371473494E-2</v>
      </c>
      <c r="AS318" s="81"/>
      <c r="AT318" s="81">
        <f>(AO318-J318)/J318</f>
        <v>5.3259550050768698E-2</v>
      </c>
      <c r="AU318" s="81"/>
      <c r="AV318" s="66">
        <f>(AP318-J318)/J318</f>
        <v>8.9390755633687285E-2</v>
      </c>
      <c r="BB318" s="56">
        <f>+R318*F318</f>
        <v>47219.449200000003</v>
      </c>
    </row>
    <row r="319" spans="1:54" ht="18.75" outlineLevel="1" x14ac:dyDescent="0.3">
      <c r="A319">
        <v>17</v>
      </c>
      <c r="B319" t="s">
        <v>387</v>
      </c>
      <c r="C319">
        <v>360466</v>
      </c>
      <c r="D319" t="s">
        <v>394</v>
      </c>
      <c r="E319" t="s">
        <v>362</v>
      </c>
      <c r="F319" s="21">
        <f>+VLOOKUP(C319,'[1]stock au 25-03-25'!A:D,4,FALSE)</f>
        <v>4283</v>
      </c>
      <c r="G319" t="s">
        <v>45</v>
      </c>
      <c r="H319" s="22">
        <f>+VLOOKUP(C319,'[1]stock au 25-03-25'!A:F,6,FALSE)</f>
        <v>8.0277749241186083</v>
      </c>
      <c r="I319" t="s">
        <v>46</v>
      </c>
      <c r="J319" s="56">
        <f>+VLOOKUP(C319,'[1]stock au 25-03-25'!A:H,8,FALSE)</f>
        <v>34382.959999999999</v>
      </c>
      <c r="K319" t="s">
        <v>46</v>
      </c>
      <c r="L319" s="23">
        <v>9</v>
      </c>
      <c r="M319" t="s">
        <v>46</v>
      </c>
      <c r="N319" s="56">
        <f>+VLOOKUP(C319,'[1]stock au 25-03-25'!A:L,12,FALSE)</f>
        <v>38547</v>
      </c>
      <c r="P319" s="57">
        <v>9</v>
      </c>
      <c r="Q319" t="s">
        <v>46</v>
      </c>
      <c r="R319" s="25">
        <v>8.0299999999999994</v>
      </c>
      <c r="T319" s="26">
        <v>7.8767654801419251</v>
      </c>
      <c r="U319" s="58">
        <f t="shared" si="72"/>
        <v>-1.9082754652313107E-2</v>
      </c>
      <c r="V319" s="10">
        <v>4368.5</v>
      </c>
      <c r="W319" s="60">
        <f t="shared" si="61"/>
        <v>34409.65</v>
      </c>
      <c r="X319" s="28">
        <v>7.700007519079664</v>
      </c>
      <c r="Y319" s="59">
        <v>-1666.8950544999998</v>
      </c>
      <c r="Z319" s="60">
        <f t="shared" si="62"/>
        <v>-12835.104453166705</v>
      </c>
      <c r="AA319" s="60">
        <f t="shared" si="66"/>
        <v>-13385.167287634997</v>
      </c>
      <c r="AB319" s="60">
        <f t="shared" si="58"/>
        <v>550.06283446829184</v>
      </c>
      <c r="AC319" s="60">
        <f t="shared" si="59"/>
        <v>21574.545546833295</v>
      </c>
      <c r="AD319" s="61">
        <f>+VLOOKUP(C319,'[1]pic au 25-03'!C:R,16,FALSE)</f>
        <v>2923.6049455000002</v>
      </c>
      <c r="AE319" s="31"/>
      <c r="AF319" s="62">
        <v>26312.444509500001</v>
      </c>
      <c r="AG319" s="31"/>
      <c r="AH319" s="62">
        <v>26312.444509500001</v>
      </c>
      <c r="AI319" s="31"/>
      <c r="AJ319" s="28">
        <f t="shared" si="60"/>
        <v>20802.378393932806</v>
      </c>
      <c r="AK319" s="21">
        <f>+VLOOKUP(C319,'[1]stock au 25-03-25'!A:X,24,FALSE)</f>
        <v>222</v>
      </c>
      <c r="AL319" t="s">
        <v>45</v>
      </c>
      <c r="AM319" s="21">
        <f t="shared" si="73"/>
        <v>2701.6049455000002</v>
      </c>
      <c r="AN319" t="s">
        <v>45</v>
      </c>
      <c r="AO319" s="63">
        <v>23175.269131801291</v>
      </c>
      <c r="AP319" s="64">
        <f t="shared" si="74"/>
        <v>21693.887712365002</v>
      </c>
      <c r="AQ319" t="s">
        <v>46</v>
      </c>
      <c r="AR319" s="36">
        <f>(AP319-AO319)/AO319</f>
        <v>-6.3920786033225652E-2</v>
      </c>
      <c r="AS319" s="81"/>
      <c r="AT319" s="81">
        <f>(AO319-J319)/J319</f>
        <v>-0.32596643419294641</v>
      </c>
      <c r="AU319" s="81"/>
      <c r="AV319" s="66">
        <f>(AP319-J319)/J319</f>
        <v>-0.36905118953211119</v>
      </c>
      <c r="BB319" s="56">
        <f>+R319*F319</f>
        <v>34392.49</v>
      </c>
    </row>
    <row r="320" spans="1:54" ht="18.75" outlineLevel="1" x14ac:dyDescent="0.3">
      <c r="A320">
        <v>17</v>
      </c>
      <c r="B320" t="s">
        <v>387</v>
      </c>
      <c r="C320">
        <v>339484</v>
      </c>
      <c r="D320" t="s">
        <v>395</v>
      </c>
      <c r="E320" t="s">
        <v>362</v>
      </c>
      <c r="F320" s="21">
        <f>+VLOOKUP(C320,'[1]stock au 25-03-25'!A:D,4,FALSE)</f>
        <v>2350</v>
      </c>
      <c r="G320" t="s">
        <v>45</v>
      </c>
      <c r="H320" s="22">
        <f>+VLOOKUP(C320,'[1]stock au 25-03-25'!A:F,6,FALSE)</f>
        <v>1.3</v>
      </c>
      <c r="I320" t="s">
        <v>46</v>
      </c>
      <c r="J320" s="56">
        <f>+VLOOKUP(C320,'[1]stock au 25-03-25'!A:H,8,FALSE)</f>
        <v>3055</v>
      </c>
      <c r="K320" t="s">
        <v>46</v>
      </c>
      <c r="L320" s="23">
        <v>1.33</v>
      </c>
      <c r="M320" t="s">
        <v>46</v>
      </c>
      <c r="N320" s="56">
        <f>+VLOOKUP(C320,'[1]stock au 25-03-25'!A:L,12,FALSE)</f>
        <v>3125.5</v>
      </c>
      <c r="P320" s="57">
        <v>1.33</v>
      </c>
      <c r="Q320" t="s">
        <v>46</v>
      </c>
      <c r="R320" s="25">
        <f>H320*(1+VLOOKUP(A320,'[1]Variation MP'!$B$3:$D$22,3))</f>
        <v>1.3</v>
      </c>
      <c r="T320" s="26">
        <v>1.3</v>
      </c>
      <c r="U320" s="58">
        <f t="shared" si="72"/>
        <v>0</v>
      </c>
      <c r="V320" s="10">
        <v>1750</v>
      </c>
      <c r="W320" s="60">
        <f t="shared" si="61"/>
        <v>2275</v>
      </c>
      <c r="X320" s="28">
        <v>1.3</v>
      </c>
      <c r="Y320" s="59">
        <v>981.45926582015818</v>
      </c>
      <c r="Z320" s="60">
        <f t="shared" si="62"/>
        <v>1275.8970455662056</v>
      </c>
      <c r="AA320" s="60">
        <f t="shared" si="66"/>
        <v>1275.8970455662056</v>
      </c>
      <c r="AB320" s="60">
        <f t="shared" si="58"/>
        <v>0</v>
      </c>
      <c r="AC320" s="60">
        <f t="shared" si="59"/>
        <v>3550.8970455662056</v>
      </c>
      <c r="AD320" s="61">
        <f>+VLOOKUP(C320,'[1]pic au 25-03'!C:R,16,FALSE)</f>
        <v>2862.4392658201582</v>
      </c>
      <c r="AE320" s="31"/>
      <c r="AF320" s="62">
        <v>3807.0442235408104</v>
      </c>
      <c r="AG320" s="31"/>
      <c r="AH320" s="62">
        <v>3807.0442235408104</v>
      </c>
      <c r="AI320" s="31"/>
      <c r="AJ320" s="28">
        <f t="shared" si="60"/>
        <v>3550.8970455662056</v>
      </c>
      <c r="AK320" s="21">
        <f>+VLOOKUP(C320,'[1]stock au 25-03-25'!A:X,24,FALSE)</f>
        <v>130.97999999999999</v>
      </c>
      <c r="AL320" t="s">
        <v>45</v>
      </c>
      <c r="AM320" s="21">
        <f t="shared" si="73"/>
        <v>2731.4592658201582</v>
      </c>
      <c r="AN320" t="s">
        <v>45</v>
      </c>
      <c r="AO320" s="63">
        <v>3544.3710455662058</v>
      </c>
      <c r="AP320" s="64">
        <f t="shared" si="74"/>
        <v>3550.8970455662056</v>
      </c>
      <c r="AQ320" t="s">
        <v>46</v>
      </c>
      <c r="AR320" s="36">
        <f>(AP320-AO320)/AO320</f>
        <v>1.8412293510194065E-3</v>
      </c>
      <c r="AS320" s="81"/>
      <c r="AT320" s="81">
        <f>(AO320-J320)/J320</f>
        <v>0.16018692162559928</v>
      </c>
      <c r="AU320" s="81"/>
      <c r="AV320" s="66">
        <f>(AP320-J320)/J320</f>
        <v>0.16232309183836519</v>
      </c>
      <c r="BB320" s="56">
        <f>+R320*F320</f>
        <v>3055</v>
      </c>
    </row>
    <row r="321" spans="1:54" ht="18.75" outlineLevel="1" x14ac:dyDescent="0.3">
      <c r="A321">
        <v>17</v>
      </c>
      <c r="B321" t="s">
        <v>387</v>
      </c>
      <c r="C321">
        <v>340535</v>
      </c>
      <c r="D321" t="s">
        <v>396</v>
      </c>
      <c r="E321" t="s">
        <v>362</v>
      </c>
      <c r="F321" s="21">
        <f>+VLOOKUP(C321,'[1]stock au 25-03-25'!A:D,4,FALSE)</f>
        <v>10770</v>
      </c>
      <c r="G321" t="s">
        <v>45</v>
      </c>
      <c r="H321" s="22">
        <f>+VLOOKUP(C321,'[1]stock au 25-03-25'!A:F,6,FALSE)</f>
        <v>4.5851810584958219</v>
      </c>
      <c r="I321" t="s">
        <v>46</v>
      </c>
      <c r="J321" s="56">
        <f>+VLOOKUP(C321,'[1]stock au 25-03-25'!A:H,8,FALSE)</f>
        <v>49382.400000000001</v>
      </c>
      <c r="K321" t="s">
        <v>46</v>
      </c>
      <c r="L321" s="23">
        <v>5</v>
      </c>
      <c r="M321" t="s">
        <v>46</v>
      </c>
      <c r="N321" s="56">
        <f>+VLOOKUP(C321,'[1]stock au 25-03-25'!A:L,12,FALSE)</f>
        <v>53850</v>
      </c>
      <c r="Q321" t="s">
        <v>46</v>
      </c>
      <c r="R321" s="25">
        <v>4.59</v>
      </c>
      <c r="T321" s="26" t="s">
        <v>53</v>
      </c>
      <c r="U321" s="58" t="str">
        <f t="shared" si="72"/>
        <v/>
      </c>
      <c r="V321" s="10">
        <v>0</v>
      </c>
      <c r="W321" s="60">
        <f t="shared" si="61"/>
        <v>0</v>
      </c>
      <c r="X321" s="28">
        <v>4.59</v>
      </c>
      <c r="Y321" s="59">
        <v>-0.5</v>
      </c>
      <c r="Z321" s="60">
        <f t="shared" si="62"/>
        <v>-2.2949999999999999</v>
      </c>
      <c r="AA321" s="60">
        <f t="shared" si="66"/>
        <v>-2.2949999999999999</v>
      </c>
      <c r="AB321" s="60">
        <f t="shared" si="58"/>
        <v>0</v>
      </c>
      <c r="AC321" s="60">
        <f t="shared" si="59"/>
        <v>-2.2949999999999999</v>
      </c>
      <c r="AD321" s="61">
        <v>0</v>
      </c>
      <c r="AE321" s="31"/>
      <c r="AF321" s="62"/>
      <c r="AG321" s="31"/>
      <c r="AH321" s="62"/>
      <c r="AI321" s="31"/>
      <c r="AJ321" s="28">
        <f t="shared" si="60"/>
        <v>0</v>
      </c>
      <c r="AK321" s="21">
        <f>+VLOOKUP(C321,'[1]stock au 25-03-25'!A:X,24,FALSE)</f>
        <v>0.5</v>
      </c>
      <c r="AL321" t="s">
        <v>45</v>
      </c>
      <c r="AM321" s="21">
        <f t="shared" si="73"/>
        <v>0</v>
      </c>
      <c r="AN321" t="s">
        <v>45</v>
      </c>
      <c r="AO321" s="63"/>
      <c r="AP321" s="64">
        <f t="shared" si="74"/>
        <v>0</v>
      </c>
      <c r="AQ321" t="s">
        <v>46</v>
      </c>
      <c r="AR321" s="36" t="e">
        <f>(AP321-AO321)/AO321</f>
        <v>#DIV/0!</v>
      </c>
      <c r="AS321" s="81"/>
      <c r="AT321" s="81">
        <f>(AO321-J321)/J321</f>
        <v>-1</v>
      </c>
      <c r="AU321" s="81"/>
      <c r="AV321" s="66">
        <f>(AP321-J321)/J321</f>
        <v>-1</v>
      </c>
      <c r="BB321" s="56">
        <f>+R321*F321</f>
        <v>49434.299999999996</v>
      </c>
    </row>
    <row r="322" spans="1:54" x14ac:dyDescent="0.25">
      <c r="A322" s="67"/>
      <c r="B322" s="67" t="s">
        <v>397</v>
      </c>
      <c r="C322" s="67"/>
      <c r="D322" s="67"/>
      <c r="E322" s="67"/>
      <c r="F322" s="79">
        <f>SUM(F313:F321)</f>
        <v>147653.07199999999</v>
      </c>
      <c r="G322" s="67" t="s">
        <v>45</v>
      </c>
      <c r="H322" s="69"/>
      <c r="I322" s="67"/>
      <c r="J322" s="70">
        <f>SUM(J313:J321)</f>
        <v>614133.28</v>
      </c>
      <c r="K322" s="67"/>
      <c r="L322" s="69"/>
      <c r="M322" s="67"/>
      <c r="N322" s="70">
        <f>SUM(N313:N321)</f>
        <v>671901.0392</v>
      </c>
      <c r="O322" s="78"/>
      <c r="P322" s="78">
        <f>SUM(P313:P321)</f>
        <v>39.69</v>
      </c>
      <c r="Q322" s="78">
        <f>SUM(Q313:Q321)</f>
        <v>0</v>
      </c>
      <c r="R322" s="78"/>
      <c r="S322" s="78"/>
      <c r="T322" s="83"/>
      <c r="U322" s="83"/>
      <c r="V322" s="10">
        <v>0</v>
      </c>
      <c r="W322" s="60">
        <f>SUM(W313:W321)</f>
        <v>411711.05000000005</v>
      </c>
      <c r="X322" s="28">
        <f>SUM(X313:X321)</f>
        <v>46.510183978395375</v>
      </c>
      <c r="Y322" s="59">
        <v>-6404.4</v>
      </c>
      <c r="Z322" s="60">
        <f>SUM(Z313:Z321)</f>
        <v>240026.52157737402</v>
      </c>
      <c r="AA322" s="60">
        <f t="shared" si="66"/>
        <v>0</v>
      </c>
      <c r="AB322" s="60"/>
      <c r="AC322" s="60">
        <f t="shared" si="59"/>
        <v>651737.57157737412</v>
      </c>
      <c r="AD322" s="74">
        <f>SUM(AD313:AD321)</f>
        <v>163681.44536696523</v>
      </c>
      <c r="AE322" s="75"/>
      <c r="AF322" s="76">
        <f>SUM(AF313:AF321)</f>
        <v>630401.79952075193</v>
      </c>
      <c r="AG322" s="75"/>
      <c r="AH322" s="76">
        <f>SUM(AH313:AH321)</f>
        <v>760458.67358929489</v>
      </c>
      <c r="AI322" s="75"/>
      <c r="AJ322" s="28">
        <f>SUM(AJ313:AJ321)</f>
        <v>653573.48077552917</v>
      </c>
      <c r="AK322" s="77">
        <f>SUM(AK313:AK321)</f>
        <v>6404.4</v>
      </c>
      <c r="AL322" s="78">
        <f>SUM(AL313:AL321)</f>
        <v>0</v>
      </c>
      <c r="AM322" s="79">
        <f>SUM(AM313:AM321)</f>
        <v>157277.54536696521</v>
      </c>
      <c r="AN322" s="78" t="s">
        <v>45</v>
      </c>
      <c r="AO322" s="80">
        <f>SUM(AO313:AO321)</f>
        <v>660493.23843047686</v>
      </c>
      <c r="AP322" s="80">
        <f>SUM(AP313:AP321)</f>
        <v>658276.27484910376</v>
      </c>
      <c r="AQ322" s="67"/>
      <c r="AR322" s="81">
        <f>(AP322-AO322)/AO322</f>
        <v>-3.3565272926052163E-3</v>
      </c>
      <c r="AS322" s="81"/>
      <c r="AT322" s="81">
        <f>(AO322-J322)/J322</f>
        <v>7.5488432137201286E-2</v>
      </c>
      <c r="AU322" s="82">
        <f>AO322-J322</f>
        <v>46359.958430476836</v>
      </c>
      <c r="AV322" s="81">
        <f>(AP322-J322)/J322</f>
        <v>7.1878525861851575E-2</v>
      </c>
      <c r="AW322" s="72">
        <f>AP322-N322</f>
        <v>-13624.764350896236</v>
      </c>
      <c r="AX322" s="67"/>
      <c r="AY322" s="67"/>
      <c r="AZ322" s="81">
        <f>(AM322-F322)/F322</f>
        <v>6.5183021501680788E-2</v>
      </c>
      <c r="BA322" s="81">
        <f>(AP322-N322)/N322</f>
        <v>-2.0277933141937959E-2</v>
      </c>
      <c r="BB322" s="78">
        <f>SUM(BB313:BB321)</f>
        <v>616051.94620000001</v>
      </c>
    </row>
    <row r="323" spans="1:54" ht="18.75" outlineLevel="1" x14ac:dyDescent="0.3">
      <c r="A323">
        <v>18</v>
      </c>
      <c r="B323" t="s">
        <v>398</v>
      </c>
      <c r="C323">
        <v>332283</v>
      </c>
      <c r="D323" t="s">
        <v>399</v>
      </c>
      <c r="E323" t="s">
        <v>400</v>
      </c>
      <c r="F323" s="21">
        <f>+VLOOKUP(C323,'[1]stock au 25-03-25'!A:D,4,FALSE)</f>
        <v>110235.37699999999</v>
      </c>
      <c r="G323" t="s">
        <v>45</v>
      </c>
      <c r="H323" s="22">
        <f>+VLOOKUP(C323,'[1]stock au 25-03-25'!A:F,6,FALSE)</f>
        <v>9.5268163322923094</v>
      </c>
      <c r="I323" t="s">
        <v>46</v>
      </c>
      <c r="J323" s="56">
        <f>+VLOOKUP(C323,'[1]stock au 25-03-25'!A:H,8,FALSE)</f>
        <v>1050192.19</v>
      </c>
      <c r="K323" t="s">
        <v>46</v>
      </c>
      <c r="L323" s="23">
        <v>10.01</v>
      </c>
      <c r="M323" t="s">
        <v>46</v>
      </c>
      <c r="N323" s="56">
        <f>+VLOOKUP(C323,'[1]stock au 25-03-25'!A:L,12,FALSE)</f>
        <v>1103456.1237699999</v>
      </c>
      <c r="P323" s="57">
        <v>10.42</v>
      </c>
      <c r="Q323" t="s">
        <v>46</v>
      </c>
      <c r="R323" s="25">
        <v>11.9</v>
      </c>
      <c r="T323" s="26">
        <v>11.940973731634271</v>
      </c>
      <c r="U323" s="58">
        <f t="shared" ref="U323:U327" si="75">IFERROR((T323-R323)/R323,"")</f>
        <v>3.4431707255689619E-3</v>
      </c>
      <c r="V323" s="10">
        <v>55264.343999999997</v>
      </c>
      <c r="W323" s="60">
        <f t="shared" si="61"/>
        <v>659910.07999999996</v>
      </c>
      <c r="X323" s="28">
        <v>14.5</v>
      </c>
      <c r="Y323" s="59">
        <v>73559.103152271171</v>
      </c>
      <c r="Z323" s="60">
        <f t="shared" si="62"/>
        <v>1066606.9957079319</v>
      </c>
      <c r="AA323" s="60">
        <f t="shared" si="66"/>
        <v>875353.327512027</v>
      </c>
      <c r="AB323" s="60">
        <f t="shared" si="58"/>
        <v>191253.66819590493</v>
      </c>
      <c r="AC323" s="60">
        <f t="shared" si="59"/>
        <v>1726517.075707932</v>
      </c>
      <c r="AD323" s="61">
        <f>+VLOOKUP(C323,'[1]pic au 25-03'!C:R,16,FALSE)</f>
        <v>132392.87715227116</v>
      </c>
      <c r="AE323" s="31"/>
      <c r="AF323" s="62">
        <v>1379533.7799266656</v>
      </c>
      <c r="AG323" s="31"/>
      <c r="AH323" s="62">
        <v>1325252.7002942343</v>
      </c>
      <c r="AI323" s="31"/>
      <c r="AJ323" s="28">
        <f t="shared" si="60"/>
        <v>1867939.9837079318</v>
      </c>
      <c r="AK323" s="21">
        <f>+VLOOKUP(C323,'[1]stock au 25-03-25'!A:X,24,FALSE)</f>
        <v>3569.43</v>
      </c>
      <c r="AL323" t="s">
        <v>45</v>
      </c>
      <c r="AM323" s="21">
        <f>AD323-AK323</f>
        <v>128823.44715227117</v>
      </c>
      <c r="AN323" t="s">
        <v>45</v>
      </c>
      <c r="AO323" s="63">
        <v>1232065.864417867</v>
      </c>
      <c r="AP323" s="64">
        <f>AM323*R323</f>
        <v>1532999.0211120269</v>
      </c>
      <c r="AQ323" t="s">
        <v>46</v>
      </c>
      <c r="AR323" s="36">
        <f>(AP323-AO323)/AO323</f>
        <v>0.24425086790010722</v>
      </c>
      <c r="AS323" s="81"/>
      <c r="AT323" s="81">
        <f>(AO323-J323)/J323</f>
        <v>0.17318132447534876</v>
      </c>
      <c r="AU323" s="81"/>
      <c r="AV323" s="66">
        <f>(AP323-J323)/J323</f>
        <v>0.45973188118264996</v>
      </c>
      <c r="BB323" s="56">
        <f>+R323*F323</f>
        <v>1311800.9863</v>
      </c>
    </row>
    <row r="324" spans="1:54" ht="18.75" outlineLevel="1" x14ac:dyDescent="0.3">
      <c r="A324">
        <v>18</v>
      </c>
      <c r="B324" t="s">
        <v>398</v>
      </c>
      <c r="C324">
        <v>339488</v>
      </c>
      <c r="D324" t="s">
        <v>401</v>
      </c>
      <c r="E324" t="s">
        <v>400</v>
      </c>
      <c r="F324" s="21">
        <f>+VLOOKUP(C324,'[1]stock au 25-03-25'!A:D,4,FALSE)</f>
        <v>26642</v>
      </c>
      <c r="G324" t="s">
        <v>45</v>
      </c>
      <c r="H324" s="22">
        <f>+VLOOKUP(C324,'[1]stock au 25-03-25'!A:F,6,FALSE)</f>
        <v>8.422813602582389</v>
      </c>
      <c r="I324" t="s">
        <v>46</v>
      </c>
      <c r="J324" s="56">
        <f>+VLOOKUP(C324,'[1]stock au 25-03-25'!A:H,8,FALSE)</f>
        <v>224400.6</v>
      </c>
      <c r="K324" t="s">
        <v>46</v>
      </c>
      <c r="L324" s="23">
        <v>8.15</v>
      </c>
      <c r="M324" t="s">
        <v>46</v>
      </c>
      <c r="N324" s="56">
        <f>+VLOOKUP(C324,'[1]stock au 25-03-25'!A:L,12,FALSE)</f>
        <v>217132.30000000002</v>
      </c>
      <c r="P324" s="57">
        <v>8.58</v>
      </c>
      <c r="Q324" t="s">
        <v>46</v>
      </c>
      <c r="R324" s="25">
        <v>11.5</v>
      </c>
      <c r="T324" s="26">
        <v>11.799136757952033</v>
      </c>
      <c r="U324" s="58">
        <f t="shared" si="75"/>
        <v>2.6011891995828918E-2</v>
      </c>
      <c r="V324" s="10">
        <v>11758</v>
      </c>
      <c r="W324" s="60">
        <f t="shared" si="61"/>
        <v>138734.25</v>
      </c>
      <c r="X324" s="28">
        <v>12.5</v>
      </c>
      <c r="Y324" s="59">
        <v>25575.646520027774</v>
      </c>
      <c r="Z324" s="60">
        <f t="shared" si="62"/>
        <v>319695.58150034718</v>
      </c>
      <c r="AA324" s="60">
        <f t="shared" si="66"/>
        <v>294119.93498031941</v>
      </c>
      <c r="AB324" s="60">
        <f t="shared" ref="AB324:AB351" si="76">Z324-AA324</f>
        <v>25575.646520027774</v>
      </c>
      <c r="AC324" s="60">
        <f t="shared" si="59"/>
        <v>458429.83150034718</v>
      </c>
      <c r="AD324" s="61">
        <f>+VLOOKUP(C324,'[1]pic au 25-03'!C:R,16,FALSE)</f>
        <v>40723.646520027774</v>
      </c>
      <c r="AE324" s="31"/>
      <c r="AF324" s="62">
        <v>349408.88714183832</v>
      </c>
      <c r="AG324" s="31"/>
      <c r="AH324" s="62">
        <v>331897.71913822636</v>
      </c>
      <c r="AI324" s="31"/>
      <c r="AJ324" s="28">
        <f t="shared" si="60"/>
        <v>466670.58150034718</v>
      </c>
      <c r="AK324" s="21">
        <f>+VLOOKUP(C324,'[1]stock au 25-03-25'!A:X,24,FALSE)</f>
        <v>3390</v>
      </c>
      <c r="AL324" t="s">
        <v>45</v>
      </c>
      <c r="AM324" s="21">
        <f>AD324-AK324</f>
        <v>37333.646520027774</v>
      </c>
      <c r="AN324" t="s">
        <v>45</v>
      </c>
      <c r="AO324" s="63">
        <v>316642.87510073121</v>
      </c>
      <c r="AP324" s="64">
        <f>AM324*R324</f>
        <v>429336.93498031941</v>
      </c>
      <c r="AQ324" t="s">
        <v>46</v>
      </c>
      <c r="AR324" s="36">
        <f>(AP324-AO324)/AO324</f>
        <v>0.35590271798706252</v>
      </c>
      <c r="AS324" s="81"/>
      <c r="AT324" s="81">
        <f>(AO324-J324)/J324</f>
        <v>0.41106073290682466</v>
      </c>
      <c r="AU324" s="81"/>
      <c r="AV324" s="66">
        <f>(AP324-J324)/J324</f>
        <v>0.91326108299317998</v>
      </c>
      <c r="BB324" s="56">
        <f>+R324*F324</f>
        <v>306383</v>
      </c>
    </row>
    <row r="325" spans="1:54" ht="18.75" outlineLevel="1" x14ac:dyDescent="0.3">
      <c r="A325">
        <v>18</v>
      </c>
      <c r="B325" t="s">
        <v>398</v>
      </c>
      <c r="C325">
        <v>339491</v>
      </c>
      <c r="D325" t="s">
        <v>402</v>
      </c>
      <c r="E325" t="s">
        <v>400</v>
      </c>
      <c r="F325" s="21">
        <f>+VLOOKUP(C325,'[1]stock au 25-03-25'!A:D,4,FALSE)</f>
        <v>45870</v>
      </c>
      <c r="G325" t="s">
        <v>45</v>
      </c>
      <c r="H325" s="22">
        <f>+VLOOKUP(C325,'[1]stock au 25-03-25'!A:F,6,FALSE)</f>
        <v>7.6081491170699804</v>
      </c>
      <c r="I325" t="s">
        <v>46</v>
      </c>
      <c r="J325" s="56">
        <f>+VLOOKUP(C325,'[1]stock au 25-03-25'!A:H,8,FALSE)</f>
        <v>348985.8</v>
      </c>
      <c r="K325" t="s">
        <v>46</v>
      </c>
      <c r="L325" s="23">
        <v>7.95</v>
      </c>
      <c r="M325" t="s">
        <v>46</v>
      </c>
      <c r="N325" s="56">
        <f>+VLOOKUP(C325,'[1]stock au 25-03-25'!A:L,12,FALSE)</f>
        <v>364666.5</v>
      </c>
      <c r="P325" s="57">
        <v>7.45</v>
      </c>
      <c r="Q325" t="s">
        <v>46</v>
      </c>
      <c r="R325" s="25">
        <v>8.89</v>
      </c>
      <c r="T325" s="26">
        <v>8.9621843003412955</v>
      </c>
      <c r="U325" s="58">
        <f t="shared" si="75"/>
        <v>8.1197188235427407E-3</v>
      </c>
      <c r="V325" s="10">
        <v>30765</v>
      </c>
      <c r="W325" s="60">
        <f t="shared" si="61"/>
        <v>275721.59999999998</v>
      </c>
      <c r="X325" s="28">
        <v>9.1</v>
      </c>
      <c r="Y325" s="59">
        <v>16349.400000000001</v>
      </c>
      <c r="Z325" s="60">
        <f t="shared" si="62"/>
        <v>148779.54</v>
      </c>
      <c r="AA325" s="60">
        <f t="shared" si="66"/>
        <v>145346.16600000003</v>
      </c>
      <c r="AB325" s="60">
        <f t="shared" si="76"/>
        <v>3433.3739999999816</v>
      </c>
      <c r="AC325" s="60">
        <f t="shared" ref="AC325:AC352" si="77">+W325+Z325</f>
        <v>424501.14</v>
      </c>
      <c r="AD325" s="61">
        <f>+VLOOKUP(C325,'[1]pic au 25-03'!C:R,16,FALSE)</f>
        <v>48134.400000000001</v>
      </c>
      <c r="AE325" s="31"/>
      <c r="AF325" s="62">
        <v>358601.28</v>
      </c>
      <c r="AG325" s="31"/>
      <c r="AH325" s="62">
        <v>382668.48000000004</v>
      </c>
      <c r="AI325" s="31"/>
      <c r="AJ325" s="28">
        <f t="shared" ref="AJ325:AJ351" si="78">X325*AM325</f>
        <v>428741.04</v>
      </c>
      <c r="AK325" s="21">
        <f>+VLOOKUP(C325,'[1]stock au 25-03-25'!A:X,24,FALSE)</f>
        <v>1020</v>
      </c>
      <c r="AL325" t="s">
        <v>45</v>
      </c>
      <c r="AM325" s="21">
        <f>AD325-AK325</f>
        <v>47114.400000000001</v>
      </c>
      <c r="AN325" t="s">
        <v>45</v>
      </c>
      <c r="AO325" s="63">
        <v>350296.1294112266</v>
      </c>
      <c r="AP325" s="64">
        <f>AM325*R325</f>
        <v>418847.01600000006</v>
      </c>
      <c r="AQ325" t="s">
        <v>46</v>
      </c>
      <c r="AR325" s="36">
        <f>(AP325-AO325)/AO325</f>
        <v>0.19569410231278586</v>
      </c>
      <c r="AS325" s="81"/>
      <c r="AT325" s="81">
        <f>(AO325-J325)/J325</f>
        <v>3.7546783027464607E-3</v>
      </c>
      <c r="AU325" s="81"/>
      <c r="AV325" s="66">
        <f>(AP325-J325)/J325</f>
        <v>0.20018354901546159</v>
      </c>
      <c r="BB325" s="56">
        <f>+R325*F325</f>
        <v>407784.30000000005</v>
      </c>
    </row>
    <row r="326" spans="1:54" ht="18.75" outlineLevel="1" x14ac:dyDescent="0.3">
      <c r="A326">
        <v>18</v>
      </c>
      <c r="B326" t="s">
        <v>398</v>
      </c>
      <c r="C326">
        <v>339492</v>
      </c>
      <c r="D326" t="s">
        <v>403</v>
      </c>
      <c r="E326" t="s">
        <v>400</v>
      </c>
      <c r="F326" s="21">
        <f>+VLOOKUP(C326,'[1]stock au 25-03-25'!A:D,4,FALSE)</f>
        <v>12630</v>
      </c>
      <c r="G326" t="s">
        <v>45</v>
      </c>
      <c r="H326" s="22">
        <f>+VLOOKUP(C326,'[1]stock au 25-03-25'!A:F,6,FALSE)</f>
        <v>10.407957244655583</v>
      </c>
      <c r="I326" t="s">
        <v>46</v>
      </c>
      <c r="J326" s="56">
        <f>+VLOOKUP(C326,'[1]stock au 25-03-25'!A:H,8,FALSE)</f>
        <v>131452.5</v>
      </c>
      <c r="K326" t="s">
        <v>46</v>
      </c>
      <c r="L326" s="23">
        <v>10.65</v>
      </c>
      <c r="M326" t="s">
        <v>46</v>
      </c>
      <c r="N326" s="56">
        <f>+VLOOKUP(C326,'[1]stock au 25-03-25'!A:L,12,FALSE)</f>
        <v>134509.5</v>
      </c>
      <c r="P326" s="57">
        <v>10.65</v>
      </c>
      <c r="Q326" t="s">
        <v>46</v>
      </c>
      <c r="R326" s="25">
        <v>12.05</v>
      </c>
      <c r="T326" s="26">
        <v>12.05</v>
      </c>
      <c r="U326" s="58">
        <f t="shared" si="75"/>
        <v>0</v>
      </c>
      <c r="V326" s="10">
        <v>6090</v>
      </c>
      <c r="W326" s="60">
        <f t="shared" ref="W326:W351" si="79">IFERROR(V326*T326,0)</f>
        <v>73384.5</v>
      </c>
      <c r="X326" s="28">
        <v>12.05</v>
      </c>
      <c r="Y326" s="59">
        <v>5918.87390851282</v>
      </c>
      <c r="Z326" s="60">
        <f t="shared" ref="Z326:Z351" si="80">Y326*X326</f>
        <v>71322.430597579485</v>
      </c>
      <c r="AA326" s="60">
        <f t="shared" si="66"/>
        <v>71322.430597579485</v>
      </c>
      <c r="AB326" s="60">
        <f t="shared" si="76"/>
        <v>0</v>
      </c>
      <c r="AC326" s="60">
        <f t="shared" si="77"/>
        <v>144706.93059757949</v>
      </c>
      <c r="AD326" s="61">
        <f>+VLOOKUP(C326,'[1]pic au 25-03'!C:R,16,FALSE)</f>
        <v>13074.91690851282</v>
      </c>
      <c r="AE326" s="31"/>
      <c r="AF326" s="62">
        <v>139247.86507566154</v>
      </c>
      <c r="AG326" s="31"/>
      <c r="AH326" s="62">
        <v>139247.86507566154</v>
      </c>
      <c r="AI326" s="31"/>
      <c r="AJ326" s="28">
        <f t="shared" si="78"/>
        <v>144706.93059757949</v>
      </c>
      <c r="AK326" s="21">
        <f>+VLOOKUP(C326,'[1]stock au 25-03-25'!A:X,24,FALSE)</f>
        <v>1066.0429999999999</v>
      </c>
      <c r="AL326" t="s">
        <v>45</v>
      </c>
      <c r="AM326" s="21">
        <f>AD326-AK326</f>
        <v>12008.87390851282</v>
      </c>
      <c r="AN326" t="s">
        <v>45</v>
      </c>
      <c r="AO326" s="63">
        <v>124981.06037491532</v>
      </c>
      <c r="AP326" s="64">
        <f>AM326*R326</f>
        <v>144706.93059757949</v>
      </c>
      <c r="AQ326" t="s">
        <v>46</v>
      </c>
      <c r="AR326" s="36">
        <f>(AP326-AO326)/AO326</f>
        <v>0.15783087584223521</v>
      </c>
      <c r="AS326" s="81"/>
      <c r="AT326" s="81">
        <f>(AO326-J326)/J326</f>
        <v>-4.9230251422260334E-2</v>
      </c>
      <c r="AU326" s="81"/>
      <c r="AV326" s="66">
        <f>(AP326-J326)/J326</f>
        <v>0.10083057072006607</v>
      </c>
      <c r="BB326" s="56">
        <f>+R326*F326</f>
        <v>152191.5</v>
      </c>
    </row>
    <row r="327" spans="1:54" ht="18.75" outlineLevel="1" x14ac:dyDescent="0.3">
      <c r="A327">
        <v>18</v>
      </c>
      <c r="B327" t="s">
        <v>398</v>
      </c>
      <c r="C327">
        <v>347212</v>
      </c>
      <c r="D327" t="s">
        <v>404</v>
      </c>
      <c r="E327" t="s">
        <v>400</v>
      </c>
      <c r="F327" s="21">
        <f>+VLOOKUP(C327,'[1]stock au 25-03-25'!A:D,4,FALSE)</f>
        <v>3434</v>
      </c>
      <c r="G327" t="s">
        <v>45</v>
      </c>
      <c r="H327" s="22">
        <f>+VLOOKUP(C327,'[1]stock au 25-03-25'!A:F,6,FALSE)</f>
        <v>7.0610017472335471</v>
      </c>
      <c r="I327" t="s">
        <v>46</v>
      </c>
      <c r="J327" s="56">
        <f>+VLOOKUP(C327,'[1]stock au 25-03-25'!A:H,8,FALSE)</f>
        <v>24247.48</v>
      </c>
      <c r="K327" t="s">
        <v>46</v>
      </c>
      <c r="L327" s="23">
        <v>14.27</v>
      </c>
      <c r="M327" t="s">
        <v>46</v>
      </c>
      <c r="N327" s="56">
        <f>+VLOOKUP(C327,'[1]stock au 25-03-25'!A:L,12,FALSE)</f>
        <v>49003.18</v>
      </c>
      <c r="Q327" t="s">
        <v>46</v>
      </c>
      <c r="R327" s="25">
        <f>H327*(1+VLOOKUP(A327,'[1]Variation MP'!$B$3:$D$22,3))</f>
        <v>9.1793022714036123</v>
      </c>
      <c r="T327" s="26" t="s">
        <v>53</v>
      </c>
      <c r="U327" s="58" t="str">
        <f t="shared" si="75"/>
        <v/>
      </c>
      <c r="V327" s="10">
        <v>0</v>
      </c>
      <c r="W327" s="60">
        <f t="shared" si="79"/>
        <v>0</v>
      </c>
      <c r="X327" s="28">
        <v>9.1793022714036123</v>
      </c>
      <c r="Y327" s="59">
        <v>0</v>
      </c>
      <c r="Z327" s="60">
        <f t="shared" si="80"/>
        <v>0</v>
      </c>
      <c r="AA327" s="60">
        <f t="shared" si="66"/>
        <v>0</v>
      </c>
      <c r="AB327" s="60">
        <f t="shared" si="76"/>
        <v>0</v>
      </c>
      <c r="AC327" s="60">
        <f t="shared" si="77"/>
        <v>0</v>
      </c>
      <c r="AD327" s="61">
        <v>0</v>
      </c>
      <c r="AE327" s="31"/>
      <c r="AF327" s="62"/>
      <c r="AG327" s="31"/>
      <c r="AH327" s="62"/>
      <c r="AI327" s="31"/>
      <c r="AJ327" s="28">
        <f t="shared" si="78"/>
        <v>0</v>
      </c>
      <c r="AK327" s="21">
        <f>+VLOOKUP(C327,'[1]stock au 25-03-25'!A:X,24,FALSE)</f>
        <v>0</v>
      </c>
      <c r="AL327" t="s">
        <v>45</v>
      </c>
      <c r="AM327" s="21">
        <f>AD327-AK327</f>
        <v>0</v>
      </c>
      <c r="AN327" t="s">
        <v>45</v>
      </c>
      <c r="AO327" s="63"/>
      <c r="AP327" s="64">
        <f>AM327*R327</f>
        <v>0</v>
      </c>
      <c r="AQ327" t="s">
        <v>46</v>
      </c>
      <c r="AR327" s="36" t="e">
        <f>(AP327-AO327)/AO327</f>
        <v>#DIV/0!</v>
      </c>
      <c r="AS327" s="81"/>
      <c r="AT327" s="81">
        <f>(AO327-J327)/J327</f>
        <v>-1</v>
      </c>
      <c r="AU327" s="81"/>
      <c r="AV327" s="66">
        <f>(AP327-J327)/J327</f>
        <v>-1</v>
      </c>
      <c r="BB327" s="56">
        <f>+R327*F327</f>
        <v>31521.724000000006</v>
      </c>
    </row>
    <row r="328" spans="1:54" x14ac:dyDescent="0.25">
      <c r="A328" s="67"/>
      <c r="B328" s="67" t="s">
        <v>405</v>
      </c>
      <c r="C328" s="67"/>
      <c r="D328" s="67"/>
      <c r="E328" s="67"/>
      <c r="F328" s="79">
        <f>SUM(F323:F327)</f>
        <v>198811.37699999998</v>
      </c>
      <c r="G328" s="67" t="s">
        <v>45</v>
      </c>
      <c r="H328" s="69"/>
      <c r="I328" s="67"/>
      <c r="J328" s="70">
        <f>SUM(J323:J327)</f>
        <v>1779278.57</v>
      </c>
      <c r="K328" s="67"/>
      <c r="L328" s="69"/>
      <c r="M328" s="67"/>
      <c r="N328" s="70">
        <f>SUM(N323:N327)</f>
        <v>1868767.6037699999</v>
      </c>
      <c r="O328" s="78"/>
      <c r="P328" s="78">
        <f>SUM(P323:P327)</f>
        <v>37.1</v>
      </c>
      <c r="Q328" s="78">
        <f>SUM(Q323:Q327)</f>
        <v>0</v>
      </c>
      <c r="R328" s="78"/>
      <c r="S328" s="78"/>
      <c r="T328" s="83"/>
      <c r="U328" s="83"/>
      <c r="V328" s="10">
        <v>0</v>
      </c>
      <c r="W328" s="60">
        <f>SUM(W323:W327)</f>
        <v>1147750.43</v>
      </c>
      <c r="X328" s="28">
        <f>SUM(X323:X327)</f>
        <v>57.32930227140362</v>
      </c>
      <c r="Y328" s="59">
        <v>-9045.473</v>
      </c>
      <c r="Z328" s="60">
        <f>SUM(Z323:Z327)</f>
        <v>1606404.5478058588</v>
      </c>
      <c r="AA328" s="60">
        <f t="shared" si="66"/>
        <v>0</v>
      </c>
      <c r="AB328" s="60"/>
      <c r="AC328" s="60">
        <f t="shared" si="77"/>
        <v>2754154.9778058585</v>
      </c>
      <c r="AD328" s="74">
        <f>SUM(AD323:AD327)</f>
        <v>234325.84058081175</v>
      </c>
      <c r="AE328" s="75"/>
      <c r="AF328" s="76">
        <f>SUM(AF323:AF327)</f>
        <v>2226791.8121441654</v>
      </c>
      <c r="AG328" s="75"/>
      <c r="AH328" s="76">
        <f>SUM(AH323:AH327)</f>
        <v>2179066.7645081221</v>
      </c>
      <c r="AI328" s="75"/>
      <c r="AJ328" s="28">
        <f>SUM(AJ323:AJ327)</f>
        <v>2908058.5358058587</v>
      </c>
      <c r="AK328" s="77">
        <f>SUM(AK323:AK327)</f>
        <v>9045.473</v>
      </c>
      <c r="AL328" s="78">
        <f>SUM(AL323:AL327)</f>
        <v>0</v>
      </c>
      <c r="AM328" s="79">
        <f>SUM(AM323:AM327)</f>
        <v>225280.36758081176</v>
      </c>
      <c r="AN328" s="78" t="s">
        <v>45</v>
      </c>
      <c r="AO328" s="80">
        <f>SUM(AO323:AO327)</f>
        <v>2023985.9293047402</v>
      </c>
      <c r="AP328" s="80">
        <f>SUM(AP323:AP327)</f>
        <v>2525889.9026899259</v>
      </c>
      <c r="AQ328" s="67"/>
      <c r="AR328" s="81">
        <f>(AP328-AO328)/AO328</f>
        <v>0.24797799535967863</v>
      </c>
      <c r="AS328" s="72">
        <f>AP328-AO328</f>
        <v>501903.9733851857</v>
      </c>
      <c r="AT328" s="81">
        <f>(AO328-J328)/J328</f>
        <v>0.13753178587698051</v>
      </c>
      <c r="AU328" s="82">
        <f>AO328-J328</f>
        <v>244707.35930474009</v>
      </c>
      <c r="AV328" s="81">
        <f>(AP328-J328)/J328</f>
        <v>0.41961463779666935</v>
      </c>
      <c r="AW328" s="72">
        <f>AP328-N328</f>
        <v>657122.29891992593</v>
      </c>
      <c r="AX328" s="67"/>
      <c r="AY328" s="67"/>
      <c r="AZ328" s="81">
        <f>(AM328-F328)/F328</f>
        <v>0.13313619663130133</v>
      </c>
      <c r="BA328" s="81">
        <f>(AP328-N328)/N328</f>
        <v>0.35163403817267896</v>
      </c>
      <c r="BB328" s="78">
        <f>SUM(BB323:BB327)</f>
        <v>2209681.5102999997</v>
      </c>
    </row>
    <row r="329" spans="1:54" ht="18.75" outlineLevel="1" x14ac:dyDescent="0.3">
      <c r="A329">
        <v>19</v>
      </c>
      <c r="B329" t="s">
        <v>406</v>
      </c>
      <c r="C329">
        <v>347195</v>
      </c>
      <c r="D329" t="s">
        <v>407</v>
      </c>
      <c r="E329" t="s">
        <v>366</v>
      </c>
      <c r="F329" s="21">
        <f>+VLOOKUP(C329,'[1]stock au 25-03-25'!A:D,4,FALSE)</f>
        <v>225627.19200000001</v>
      </c>
      <c r="G329" t="s">
        <v>45</v>
      </c>
      <c r="H329" s="22">
        <f>+VLOOKUP(C329,'[1]stock au 25-03-25'!A:F,6,FALSE)</f>
        <v>2.7587384502839534</v>
      </c>
      <c r="I329" t="s">
        <v>46</v>
      </c>
      <c r="J329" s="56">
        <f>+VLOOKUP(C329,'[1]stock au 25-03-25'!A:H,8,FALSE)</f>
        <v>622446.41</v>
      </c>
      <c r="K329" t="s">
        <v>46</v>
      </c>
      <c r="L329" s="23">
        <v>2.84</v>
      </c>
      <c r="M329" t="s">
        <v>46</v>
      </c>
      <c r="N329" s="56">
        <f>+VLOOKUP(C329,'[1]stock au 25-03-25'!A:L,12,FALSE)</f>
        <v>640781.22528000001</v>
      </c>
      <c r="P329" s="57">
        <v>2.8</v>
      </c>
      <c r="Q329" t="s">
        <v>46</v>
      </c>
      <c r="R329" s="25">
        <v>2.93</v>
      </c>
      <c r="T329" s="26">
        <v>2.8665137145294279</v>
      </c>
      <c r="U329" s="58">
        <f t="shared" ref="U329:U351" si="81">IFERROR((T329-R329)/R329,"")</f>
        <v>-2.1667674222038299E-2</v>
      </c>
      <c r="V329" s="10">
        <v>100316.785</v>
      </c>
      <c r="W329" s="60">
        <f t="shared" si="79"/>
        <v>287559.44</v>
      </c>
      <c r="X329" s="28">
        <v>2.8827728609317345</v>
      </c>
      <c r="Y329" s="59">
        <v>122620.24171747582</v>
      </c>
      <c r="Z329" s="60">
        <f t="shared" si="80"/>
        <v>353486.30502402858</v>
      </c>
      <c r="AA329" s="60">
        <f t="shared" si="66"/>
        <v>359277.30823220417</v>
      </c>
      <c r="AB329" s="60">
        <f t="shared" si="76"/>
        <v>-5791.0032081755926</v>
      </c>
      <c r="AC329" s="60">
        <f t="shared" si="77"/>
        <v>641045.74502402858</v>
      </c>
      <c r="AD329" s="61">
        <f>+VLOOKUP(C329,'[1]pic au 25-03'!C:R,16,FALSE)</f>
        <v>237088.29071747581</v>
      </c>
      <c r="AE329" s="31"/>
      <c r="AF329" s="62">
        <v>663847.21400893212</v>
      </c>
      <c r="AG329" s="31"/>
      <c r="AH329" s="62">
        <v>673330.74563763116</v>
      </c>
      <c r="AI329" s="31"/>
      <c r="AJ329" s="28">
        <f t="shared" si="78"/>
        <v>642676.8103179523</v>
      </c>
      <c r="AK329" s="21">
        <f>+VLOOKUP(C329,'[1]stock au 25-03-25'!A:X,24,FALSE)</f>
        <v>14151.263999999999</v>
      </c>
      <c r="AL329" t="s">
        <v>45</v>
      </c>
      <c r="AM329" s="21">
        <f t="shared" ref="AM329:AM349" si="82">IF(AD329-AK329&lt;0,0,AD329-AK329)</f>
        <v>222937.02671747582</v>
      </c>
      <c r="AN329" t="s">
        <v>45</v>
      </c>
      <c r="AO329" s="63">
        <v>638114.22286422364</v>
      </c>
      <c r="AP329" s="64">
        <f t="shared" ref="AP329:AP349" si="83">IF(AM329&lt;0,0,AM329*R329)</f>
        <v>653205.48828220414</v>
      </c>
      <c r="AQ329" t="s">
        <v>46</v>
      </c>
      <c r="AR329" s="36">
        <f>(AP329-AO329)/AO329</f>
        <v>2.3649786946045831E-2</v>
      </c>
      <c r="AS329" s="81"/>
      <c r="AT329" s="81">
        <f>(AO329-J329)/J329</f>
        <v>2.5171344251505301E-2</v>
      </c>
      <c r="AU329" s="81"/>
      <c r="AV329" s="66">
        <f>(AP329-J329)/J329</f>
        <v>4.9416428126244805E-2</v>
      </c>
      <c r="BB329" s="56">
        <f>+R329*F329</f>
        <v>661087.67256000009</v>
      </c>
    </row>
    <row r="330" spans="1:54" ht="18.75" outlineLevel="1" x14ac:dyDescent="0.3">
      <c r="A330">
        <v>19</v>
      </c>
      <c r="B330" t="s">
        <v>406</v>
      </c>
      <c r="C330">
        <v>339434</v>
      </c>
      <c r="D330" t="s">
        <v>408</v>
      </c>
      <c r="E330" t="s">
        <v>366</v>
      </c>
      <c r="F330" s="21">
        <f>+VLOOKUP(C330,'[1]stock au 25-03-25'!A:D,4,FALSE)</f>
        <v>92010</v>
      </c>
      <c r="G330" t="s">
        <v>45</v>
      </c>
      <c r="H330" s="22">
        <f>+VLOOKUP(C330,'[1]stock au 25-03-25'!A:F,6,FALSE)</f>
        <v>5.1343549614172375</v>
      </c>
      <c r="I330" t="s">
        <v>46</v>
      </c>
      <c r="J330" s="56">
        <f>+VLOOKUP(C330,'[1]stock au 25-03-25'!A:H,8,FALSE)</f>
        <v>472412</v>
      </c>
      <c r="K330" t="s">
        <v>46</v>
      </c>
      <c r="L330" s="23">
        <v>5.15</v>
      </c>
      <c r="M330" t="s">
        <v>46</v>
      </c>
      <c r="N330" s="56">
        <f>+VLOOKUP(C330,'[1]stock au 25-03-25'!A:L,12,FALSE)</f>
        <v>473851.50000000006</v>
      </c>
      <c r="P330" s="57">
        <v>5.9</v>
      </c>
      <c r="Q330" t="s">
        <v>46</v>
      </c>
      <c r="R330" s="25">
        <v>5.25</v>
      </c>
      <c r="T330" s="26">
        <v>4.9929598374746051</v>
      </c>
      <c r="U330" s="58">
        <f t="shared" si="81"/>
        <v>-4.896003095721807E-2</v>
      </c>
      <c r="V330" s="10">
        <v>63990</v>
      </c>
      <c r="W330" s="60">
        <f t="shared" si="79"/>
        <v>319499.5</v>
      </c>
      <c r="X330" s="28">
        <v>2.4999998956929232</v>
      </c>
      <c r="Y330" s="59">
        <v>45451.41</v>
      </c>
      <c r="Z330" s="60">
        <f t="shared" si="80"/>
        <v>113628.5202590963</v>
      </c>
      <c r="AA330" s="60">
        <f t="shared" si="66"/>
        <v>238619.90250000003</v>
      </c>
      <c r="AB330" s="60">
        <f t="shared" si="76"/>
        <v>-124991.38224090372</v>
      </c>
      <c r="AC330" s="60">
        <f t="shared" si="77"/>
        <v>433128.02025909629</v>
      </c>
      <c r="AD330" s="61">
        <f>+VLOOKUP(C330,'[1]pic au 25-03'!C:R,16,FALSE)</f>
        <v>112958.41</v>
      </c>
      <c r="AE330" s="31"/>
      <c r="AF330" s="62">
        <v>666454.61900000006</v>
      </c>
      <c r="AG330" s="31"/>
      <c r="AH330" s="62">
        <v>581735.81150000007</v>
      </c>
      <c r="AI330" s="31"/>
      <c r="AJ330" s="28">
        <f t="shared" si="78"/>
        <v>273603.51358448644</v>
      </c>
      <c r="AK330" s="21">
        <f>+VLOOKUP(C330,'[1]stock au 25-03-25'!A:X,24,FALSE)</f>
        <v>3517</v>
      </c>
      <c r="AL330" t="s">
        <v>45</v>
      </c>
      <c r="AM330" s="21">
        <f t="shared" si="82"/>
        <v>109441.41</v>
      </c>
      <c r="AN330" t="s">
        <v>45</v>
      </c>
      <c r="AO330" s="63">
        <v>492211.21255802637</v>
      </c>
      <c r="AP330" s="64">
        <f t="shared" si="83"/>
        <v>574567.40249999997</v>
      </c>
      <c r="AQ330" t="s">
        <v>46</v>
      </c>
      <c r="AR330" s="36">
        <f>(AP330-AO330)/AO330</f>
        <v>0.16731880103658692</v>
      </c>
      <c r="AS330" s="81"/>
      <c r="AT330" s="81">
        <f>(AO330-J330)/J330</f>
        <v>4.1910900989023073E-2</v>
      </c>
      <c r="AU330" s="81"/>
      <c r="AV330" s="66">
        <f>(AP330-J330)/J330</f>
        <v>0.21624218372945642</v>
      </c>
      <c r="BB330" s="56">
        <f>+R330*F330</f>
        <v>483052.5</v>
      </c>
    </row>
    <row r="331" spans="1:54" ht="18.75" outlineLevel="1" x14ac:dyDescent="0.3">
      <c r="A331">
        <v>19</v>
      </c>
      <c r="B331" t="s">
        <v>406</v>
      </c>
      <c r="C331">
        <v>341619</v>
      </c>
      <c r="D331" t="s">
        <v>409</v>
      </c>
      <c r="E331" t="s">
        <v>366</v>
      </c>
      <c r="F331" s="21">
        <f>+VLOOKUP(C331,'[1]stock au 25-03-25'!A:D,4,FALSE)</f>
        <v>47871.678999999996</v>
      </c>
      <c r="G331" t="s">
        <v>45</v>
      </c>
      <c r="H331" s="22">
        <f>+VLOOKUP(C331,'[1]stock au 25-03-25'!A:F,6,FALSE)</f>
        <v>4.723964246167343</v>
      </c>
      <c r="I331" t="s">
        <v>46</v>
      </c>
      <c r="J331" s="56">
        <f>+VLOOKUP(C331,'[1]stock au 25-03-25'!A:H,8,FALSE)</f>
        <v>226144.1</v>
      </c>
      <c r="K331" t="s">
        <v>46</v>
      </c>
      <c r="L331" s="23">
        <v>5</v>
      </c>
      <c r="M331" t="s">
        <v>46</v>
      </c>
      <c r="N331" s="56">
        <f>+VLOOKUP(C331,'[1]stock au 25-03-25'!A:L,12,FALSE)</f>
        <v>239358.39499999999</v>
      </c>
      <c r="P331" s="57">
        <v>4.8</v>
      </c>
      <c r="Q331" t="s">
        <v>46</v>
      </c>
      <c r="R331" s="25">
        <v>4.8</v>
      </c>
      <c r="T331" s="26">
        <v>4.9622166113660766</v>
      </c>
      <c r="U331" s="58">
        <f t="shared" si="81"/>
        <v>3.3795127367932665E-2</v>
      </c>
      <c r="V331" s="10">
        <v>41606.247000000003</v>
      </c>
      <c r="W331" s="60">
        <f t="shared" si="79"/>
        <v>206459.21</v>
      </c>
      <c r="X331" s="28">
        <v>5.5561062249835924</v>
      </c>
      <c r="Y331" s="59">
        <v>32915.082219928605</v>
      </c>
      <c r="Z331" s="60">
        <f t="shared" si="80"/>
        <v>182879.69321799208</v>
      </c>
      <c r="AA331" s="60">
        <f t="shared" si="66"/>
        <v>157992.39465565729</v>
      </c>
      <c r="AB331" s="60">
        <f t="shared" si="76"/>
        <v>24887.298562334792</v>
      </c>
      <c r="AC331" s="60">
        <f t="shared" si="77"/>
        <v>389338.90321799205</v>
      </c>
      <c r="AD331" s="61">
        <f>+VLOOKUP(C331,'[1]pic au 25-03'!C:R,16,FALSE)</f>
        <v>77461.329219928608</v>
      </c>
      <c r="AE331" s="31"/>
      <c r="AF331" s="62">
        <v>371814.38025565731</v>
      </c>
      <c r="AG331" s="31"/>
      <c r="AH331" s="62">
        <v>387306.64609964303</v>
      </c>
      <c r="AI331" s="31"/>
      <c r="AJ331" s="28">
        <f t="shared" si="78"/>
        <v>414048.42117289704</v>
      </c>
      <c r="AK331" s="21">
        <f>+VLOOKUP(C331,'[1]stock au 25-03-25'!A:X,24,FALSE)</f>
        <v>2940</v>
      </c>
      <c r="AL331" t="s">
        <v>45</v>
      </c>
      <c r="AM331" s="21">
        <f t="shared" si="82"/>
        <v>74521.329219928608</v>
      </c>
      <c r="AN331" t="s">
        <v>45</v>
      </c>
      <c r="AO331" s="63">
        <v>345122.95043682517</v>
      </c>
      <c r="AP331" s="64">
        <f t="shared" si="83"/>
        <v>357702.38025565731</v>
      </c>
      <c r="AQ331" t="s">
        <v>46</v>
      </c>
      <c r="AR331" s="36">
        <f>(AP331-AO331)/AO331</f>
        <v>3.6449125747535033E-2</v>
      </c>
      <c r="AS331" s="81"/>
      <c r="AT331" s="81">
        <f>(AO331-J331)/J331</f>
        <v>0.52611963096461578</v>
      </c>
      <c r="AU331" s="81"/>
      <c r="AV331" s="66">
        <f>(AP331-J331)/J331</f>
        <v>0.58174535729942678</v>
      </c>
      <c r="BB331" s="56">
        <f>+R331*F331</f>
        <v>229784.05919999999</v>
      </c>
    </row>
    <row r="332" spans="1:54" ht="18.75" outlineLevel="1" x14ac:dyDescent="0.3">
      <c r="A332">
        <v>19</v>
      </c>
      <c r="B332" t="s">
        <v>406</v>
      </c>
      <c r="C332">
        <v>347196</v>
      </c>
      <c r="D332" t="s">
        <v>410</v>
      </c>
      <c r="E332" t="s">
        <v>366</v>
      </c>
      <c r="F332" s="21">
        <f>+VLOOKUP(C332,'[1]stock au 25-03-25'!A:D,4,FALSE)</f>
        <v>82806.476999999999</v>
      </c>
      <c r="G332" t="s">
        <v>45</v>
      </c>
      <c r="H332" s="22">
        <f>+VLOOKUP(C332,'[1]stock au 25-03-25'!A:F,6,FALSE)</f>
        <v>2.5914901560176267</v>
      </c>
      <c r="I332" t="s">
        <v>46</v>
      </c>
      <c r="J332" s="56">
        <f>+VLOOKUP(C332,'[1]stock au 25-03-25'!A:H,8,FALSE)</f>
        <v>214592.17</v>
      </c>
      <c r="K332" t="s">
        <v>46</v>
      </c>
      <c r="L332" s="23">
        <v>2.7</v>
      </c>
      <c r="M332" t="s">
        <v>46</v>
      </c>
      <c r="N332" s="56">
        <f>+VLOOKUP(C332,'[1]stock au 25-03-25'!A:L,12,FALSE)</f>
        <v>223577.48790000001</v>
      </c>
      <c r="P332" s="57">
        <v>2.7</v>
      </c>
      <c r="Q332" t="s">
        <v>46</v>
      </c>
      <c r="R332" s="25">
        <v>2.74</v>
      </c>
      <c r="T332" s="26">
        <v>2.6200969824934353</v>
      </c>
      <c r="U332" s="58">
        <f t="shared" si="81"/>
        <v>-4.3760225367359469E-2</v>
      </c>
      <c r="V332" s="10">
        <v>39416.186000000002</v>
      </c>
      <c r="W332" s="60">
        <f t="shared" si="79"/>
        <v>103274.23</v>
      </c>
      <c r="X332" s="28">
        <v>2.8488472585143274</v>
      </c>
      <c r="Y332" s="59">
        <v>55453.54008480694</v>
      </c>
      <c r="Z332" s="60">
        <f t="shared" si="80"/>
        <v>157978.66564551662</v>
      </c>
      <c r="AA332" s="60">
        <f t="shared" si="66"/>
        <v>151942.69983237103</v>
      </c>
      <c r="AB332" s="60">
        <f t="shared" si="76"/>
        <v>6035.9658131455944</v>
      </c>
      <c r="AC332" s="60">
        <f t="shared" si="77"/>
        <v>261252.89564551663</v>
      </c>
      <c r="AD332" s="61">
        <f>+VLOOKUP(C332,'[1]pic au 25-03'!C:R,16,FALSE)</f>
        <v>95762.191084806938</v>
      </c>
      <c r="AE332" s="31"/>
      <c r="AF332" s="62">
        <v>258557.915928979</v>
      </c>
      <c r="AG332" s="31"/>
      <c r="AH332" s="62">
        <v>258557.91592897879</v>
      </c>
      <c r="AI332" s="31"/>
      <c r="AJ332" s="28">
        <f t="shared" si="78"/>
        <v>270269.35907270742</v>
      </c>
      <c r="AK332" s="21">
        <f>+VLOOKUP(C332,'[1]stock au 25-03-25'!A:X,24,FALSE)</f>
        <v>892.46500000000003</v>
      </c>
      <c r="AL332" t="s">
        <v>45</v>
      </c>
      <c r="AM332" s="21">
        <f t="shared" si="82"/>
        <v>94869.726084806942</v>
      </c>
      <c r="AN332" t="s">
        <v>45</v>
      </c>
      <c r="AO332" s="63">
        <v>241653.50303148665</v>
      </c>
      <c r="AP332" s="64">
        <f t="shared" si="83"/>
        <v>259943.04947237103</v>
      </c>
      <c r="AQ332" t="s">
        <v>46</v>
      </c>
      <c r="AR332" s="36">
        <f>(AP332-AO332)/AO332</f>
        <v>7.5685004402776299E-2</v>
      </c>
      <c r="AS332" s="81"/>
      <c r="AT332" s="81">
        <f>(AO332-J332)/J332</f>
        <v>0.12610587344117277</v>
      </c>
      <c r="AU332" s="81"/>
      <c r="AV332" s="66">
        <f>(AP332-J332)/J332</f>
        <v>0.21133520143056017</v>
      </c>
      <c r="BB332" s="56">
        <f>+R332*F332</f>
        <v>226889.74698000003</v>
      </c>
    </row>
    <row r="333" spans="1:54" ht="18.75" outlineLevel="1" x14ac:dyDescent="0.3">
      <c r="A333">
        <v>19</v>
      </c>
      <c r="B333" t="s">
        <v>406</v>
      </c>
      <c r="C333">
        <v>341620</v>
      </c>
      <c r="D333" t="s">
        <v>411</v>
      </c>
      <c r="E333" t="s">
        <v>366</v>
      </c>
      <c r="F333" s="21">
        <f>+VLOOKUP(C333,'[1]stock au 25-03-25'!A:D,4,FALSE)</f>
        <v>41640</v>
      </c>
      <c r="G333" t="s">
        <v>45</v>
      </c>
      <c r="H333" s="22">
        <f>+VLOOKUP(C333,'[1]stock au 25-03-25'!A:F,6,FALSE)</f>
        <v>4.2244440441882807</v>
      </c>
      <c r="I333" t="s">
        <v>46</v>
      </c>
      <c r="J333" s="56">
        <f>+VLOOKUP(C333,'[1]stock au 25-03-25'!A:H,8,FALSE)</f>
        <v>175905.85</v>
      </c>
      <c r="K333" t="s">
        <v>46</v>
      </c>
      <c r="L333" s="23">
        <v>4.9000000000000004</v>
      </c>
      <c r="M333" t="s">
        <v>46</v>
      </c>
      <c r="N333" s="56">
        <f>+VLOOKUP(C333,'[1]stock au 25-03-25'!A:L,12,FALSE)</f>
        <v>204036.00000000003</v>
      </c>
      <c r="P333" s="57">
        <v>4.22</v>
      </c>
      <c r="Q333" t="s">
        <v>46</v>
      </c>
      <c r="R333" s="25">
        <v>4.47</v>
      </c>
      <c r="T333" s="26">
        <v>4.929450199459529</v>
      </c>
      <c r="U333" s="58">
        <f t="shared" si="81"/>
        <v>0.10278527952114749</v>
      </c>
      <c r="V333" s="10">
        <v>31084</v>
      </c>
      <c r="W333" s="60">
        <f t="shared" si="79"/>
        <v>153227.03</v>
      </c>
      <c r="X333" s="28">
        <v>4.47</v>
      </c>
      <c r="Y333" s="59">
        <v>11410.998166102436</v>
      </c>
      <c r="Z333" s="60">
        <f t="shared" si="80"/>
        <v>51007.161802477887</v>
      </c>
      <c r="AA333" s="60">
        <f t="shared" si="66"/>
        <v>51007.161802477887</v>
      </c>
      <c r="AB333" s="60">
        <f t="shared" si="76"/>
        <v>0</v>
      </c>
      <c r="AC333" s="60">
        <f t="shared" si="77"/>
        <v>204234.19180247787</v>
      </c>
      <c r="AD333" s="61">
        <f>+VLOOKUP(C333,'[1]pic au 25-03'!C:R,16,FALSE)</f>
        <v>43978.998166102436</v>
      </c>
      <c r="AE333" s="31"/>
      <c r="AF333" s="62">
        <v>186628.75454014511</v>
      </c>
      <c r="AG333" s="31"/>
      <c r="AH333" s="62">
        <v>216701.63441865193</v>
      </c>
      <c r="AI333" s="31"/>
      <c r="AJ333" s="28">
        <f t="shared" si="78"/>
        <v>189952.64180247788</v>
      </c>
      <c r="AK333" s="21">
        <f>+VLOOKUP(C333,'[1]stock au 25-03-25'!A:X,24,FALSE)</f>
        <v>1484</v>
      </c>
      <c r="AL333" t="s">
        <v>45</v>
      </c>
      <c r="AM333" s="21">
        <f t="shared" si="82"/>
        <v>42494.998166102436</v>
      </c>
      <c r="AN333" t="s">
        <v>45</v>
      </c>
      <c r="AO333" s="63">
        <v>168491.20445755761</v>
      </c>
      <c r="AP333" s="64">
        <f t="shared" si="83"/>
        <v>189952.64180247788</v>
      </c>
      <c r="AQ333" t="s">
        <v>46</v>
      </c>
      <c r="AR333" s="36">
        <f>(AP333-AO333)/AO333</f>
        <v>0.12737422949769664</v>
      </c>
      <c r="AS333" s="81"/>
      <c r="AT333" s="81">
        <f>(AO333-J333)/J333</f>
        <v>-4.2151216360583749E-2</v>
      </c>
      <c r="AU333" s="81"/>
      <c r="AV333" s="66">
        <f>(AP333-J333)/J333</f>
        <v>7.9854034430792822E-2</v>
      </c>
      <c r="BB333" s="56">
        <f>+R333*F333</f>
        <v>186130.8</v>
      </c>
    </row>
    <row r="334" spans="1:54" ht="18.75" outlineLevel="1" x14ac:dyDescent="0.3">
      <c r="A334">
        <v>19</v>
      </c>
      <c r="B334" t="s">
        <v>406</v>
      </c>
      <c r="C334">
        <v>341459</v>
      </c>
      <c r="D334" t="s">
        <v>412</v>
      </c>
      <c r="E334" t="s">
        <v>366</v>
      </c>
      <c r="F334" s="21">
        <f>+VLOOKUP(C334,'[1]stock au 25-03-25'!A:D,4,FALSE)</f>
        <v>31540</v>
      </c>
      <c r="G334" t="s">
        <v>45</v>
      </c>
      <c r="H334" s="22">
        <f>+VLOOKUP(C334,'[1]stock au 25-03-25'!A:F,6,FALSE)</f>
        <v>5.8943246670894105</v>
      </c>
      <c r="I334" t="s">
        <v>46</v>
      </c>
      <c r="J334" s="56">
        <f>+VLOOKUP(C334,'[1]stock au 25-03-25'!A:H,8,FALSE)</f>
        <v>185907</v>
      </c>
      <c r="K334" t="s">
        <v>46</v>
      </c>
      <c r="L334" s="23">
        <v>6.7</v>
      </c>
      <c r="M334" t="s">
        <v>46</v>
      </c>
      <c r="N334" s="56">
        <f>+VLOOKUP(C334,'[1]stock au 25-03-25'!A:L,12,FALSE)</f>
        <v>211318</v>
      </c>
      <c r="P334" s="57">
        <v>6.4</v>
      </c>
      <c r="Q334" t="s">
        <v>46</v>
      </c>
      <c r="R334" s="25">
        <v>6.04</v>
      </c>
      <c r="T334" s="26">
        <v>5.8</v>
      </c>
      <c r="U334" s="58">
        <f t="shared" si="81"/>
        <v>-3.9735099337748381E-2</v>
      </c>
      <c r="V334" s="10">
        <v>13440</v>
      </c>
      <c r="W334" s="60">
        <f t="shared" si="79"/>
        <v>77952</v>
      </c>
      <c r="X334" s="28">
        <v>5.8</v>
      </c>
      <c r="Y334" s="59">
        <v>15357.5</v>
      </c>
      <c r="Z334" s="60">
        <f t="shared" si="80"/>
        <v>89073.5</v>
      </c>
      <c r="AA334" s="60">
        <f t="shared" si="66"/>
        <v>92759.3</v>
      </c>
      <c r="AB334" s="60">
        <f t="shared" si="76"/>
        <v>-3685.8000000000029</v>
      </c>
      <c r="AC334" s="60">
        <f t="shared" si="77"/>
        <v>167025.5</v>
      </c>
      <c r="AD334" s="61">
        <f>+VLOOKUP(C334,'[1]pic au 25-03'!C:R,16,FALSE)</f>
        <v>30000</v>
      </c>
      <c r="AE334" s="31"/>
      <c r="AF334" s="62">
        <v>192000</v>
      </c>
      <c r="AG334" s="31"/>
      <c r="AH334" s="62">
        <v>201000</v>
      </c>
      <c r="AI334" s="31"/>
      <c r="AJ334" s="28">
        <f t="shared" si="78"/>
        <v>167025.5</v>
      </c>
      <c r="AK334" s="21">
        <f>+VLOOKUP(C334,'[1]stock au 25-03-25'!A:X,24,FALSE)</f>
        <v>1202.5</v>
      </c>
      <c r="AL334" t="s">
        <v>45</v>
      </c>
      <c r="AM334" s="21">
        <f t="shared" si="82"/>
        <v>28797.5</v>
      </c>
      <c r="AN334" t="s">
        <v>45</v>
      </c>
      <c r="AO334" s="63">
        <v>162144.06076975015</v>
      </c>
      <c r="AP334" s="64">
        <f t="shared" si="83"/>
        <v>173936.9</v>
      </c>
      <c r="AQ334" t="s">
        <v>46</v>
      </c>
      <c r="AR334" s="36">
        <f>(AP334-AO334)/AO334</f>
        <v>7.2730627161213479E-2</v>
      </c>
      <c r="AS334" s="81"/>
      <c r="AT334" s="81">
        <f>(AO334-J334)/J334</f>
        <v>-0.12782164862135287</v>
      </c>
      <c r="AU334" s="81"/>
      <c r="AV334" s="66">
        <f>(AP334-J334)/J334</f>
        <v>-6.4387570129150626E-2</v>
      </c>
      <c r="BB334" s="56">
        <f>+R334*F334</f>
        <v>190501.6</v>
      </c>
    </row>
    <row r="335" spans="1:54" ht="18.75" outlineLevel="1" x14ac:dyDescent="0.3">
      <c r="A335">
        <v>19</v>
      </c>
      <c r="B335" t="s">
        <v>406</v>
      </c>
      <c r="C335">
        <v>339443</v>
      </c>
      <c r="D335" t="s">
        <v>413</v>
      </c>
      <c r="E335" t="s">
        <v>366</v>
      </c>
      <c r="F335" s="21">
        <f>+VLOOKUP(C335,'[1]stock au 25-03-25'!A:D,4,FALSE)</f>
        <v>24570</v>
      </c>
      <c r="G335" t="s">
        <v>45</v>
      </c>
      <c r="H335" s="22">
        <f>+VLOOKUP(C335,'[1]stock au 25-03-25'!A:F,6,FALSE)</f>
        <v>9.35</v>
      </c>
      <c r="I335" t="s">
        <v>46</v>
      </c>
      <c r="J335" s="56">
        <f>+VLOOKUP(C335,'[1]stock au 25-03-25'!A:H,8,FALSE)</f>
        <v>229729.5</v>
      </c>
      <c r="K335" t="s">
        <v>46</v>
      </c>
      <c r="L335" s="23">
        <v>9.85</v>
      </c>
      <c r="M335" t="s">
        <v>46</v>
      </c>
      <c r="N335" s="56">
        <f>+VLOOKUP(C335,'[1]stock au 25-03-25'!A:L,12,FALSE)</f>
        <v>242014.5</v>
      </c>
      <c r="P335" s="57">
        <v>9.85</v>
      </c>
      <c r="Q335" t="s">
        <v>46</v>
      </c>
      <c r="R335" s="25">
        <v>9.9499999999999993</v>
      </c>
      <c r="T335" s="26" t="s">
        <v>53</v>
      </c>
      <c r="U335" s="58" t="str">
        <f t="shared" si="81"/>
        <v/>
      </c>
      <c r="V335" s="10">
        <v>0</v>
      </c>
      <c r="W335" s="60">
        <f t="shared" si="79"/>
        <v>0</v>
      </c>
      <c r="X335" s="28">
        <v>9.4582208588957055</v>
      </c>
      <c r="Y335" s="59">
        <v>15083.60538522451</v>
      </c>
      <c r="Z335" s="60">
        <f t="shared" si="80"/>
        <v>142664.07108188205</v>
      </c>
      <c r="AA335" s="60">
        <f t="shared" si="66"/>
        <v>150081.87358298386</v>
      </c>
      <c r="AB335" s="60">
        <f t="shared" si="76"/>
        <v>-7417.8025011018035</v>
      </c>
      <c r="AC335" s="60">
        <f t="shared" si="77"/>
        <v>142664.07108188205</v>
      </c>
      <c r="AD335" s="61">
        <f>+VLOOKUP(C335,'[1]pic au 25-03'!C:R,16,FALSE)</f>
        <v>15806.60538522451</v>
      </c>
      <c r="AE335" s="31"/>
      <c r="AF335" s="62">
        <v>155695.06304446142</v>
      </c>
      <c r="AG335" s="31"/>
      <c r="AH335" s="62">
        <v>155695.06304446142</v>
      </c>
      <c r="AI335" s="31"/>
      <c r="AJ335" s="28">
        <f t="shared" si="78"/>
        <v>142664.07108188205</v>
      </c>
      <c r="AK335" s="21">
        <f>+VLOOKUP(C335,'[1]stock au 25-03-25'!A:X,24,FALSE)</f>
        <v>723</v>
      </c>
      <c r="AL335" t="s">
        <v>45</v>
      </c>
      <c r="AM335" s="21">
        <f t="shared" si="82"/>
        <v>15083.60538522451</v>
      </c>
      <c r="AN335" t="s">
        <v>45</v>
      </c>
      <c r="AO335" s="63">
        <v>147445.81035184916</v>
      </c>
      <c r="AP335" s="64">
        <f t="shared" si="83"/>
        <v>150081.87358298386</v>
      </c>
      <c r="AQ335" t="s">
        <v>46</v>
      </c>
      <c r="AR335" s="36">
        <f>(AP335-AO335)/AO335</f>
        <v>1.7878183346439456E-2</v>
      </c>
      <c r="AS335" s="81"/>
      <c r="AT335" s="81">
        <f>(AO335-J335)/J335</f>
        <v>-0.35817641899778152</v>
      </c>
      <c r="AU335" s="81"/>
      <c r="AV335" s="66">
        <f>(AP335-J335)/J335</f>
        <v>-0.34670177934055552</v>
      </c>
      <c r="BB335" s="56">
        <f>+R335*F335</f>
        <v>244471.49999999997</v>
      </c>
    </row>
    <row r="336" spans="1:54" ht="18.75" outlineLevel="1" x14ac:dyDescent="0.3">
      <c r="A336">
        <v>19</v>
      </c>
      <c r="B336" t="s">
        <v>406</v>
      </c>
      <c r="C336">
        <v>339478</v>
      </c>
      <c r="D336" t="s">
        <v>414</v>
      </c>
      <c r="E336" t="s">
        <v>366</v>
      </c>
      <c r="F336" s="21">
        <f>+VLOOKUP(C336,'[1]stock au 25-03-25'!A:D,4,FALSE)</f>
        <v>38500</v>
      </c>
      <c r="G336" t="s">
        <v>45</v>
      </c>
      <c r="H336" s="22">
        <f>+VLOOKUP(C336,'[1]stock au 25-03-25'!A:F,6,FALSE)</f>
        <v>2.85</v>
      </c>
      <c r="I336" t="s">
        <v>46</v>
      </c>
      <c r="J336" s="56">
        <f>+VLOOKUP(C336,'[1]stock au 25-03-25'!A:H,8,FALSE)</f>
        <v>109725</v>
      </c>
      <c r="K336" t="s">
        <v>46</v>
      </c>
      <c r="L336" s="23">
        <v>2.63</v>
      </c>
      <c r="M336" t="s">
        <v>46</v>
      </c>
      <c r="N336" s="56">
        <f>+VLOOKUP(C336,'[1]stock au 25-03-25'!A:L,12,FALSE)</f>
        <v>101255</v>
      </c>
      <c r="P336" s="57">
        <v>2.63</v>
      </c>
      <c r="Q336" t="s">
        <v>46</v>
      </c>
      <c r="R336" s="25">
        <v>3.02</v>
      </c>
      <c r="T336" s="26">
        <v>3.0613207547169812</v>
      </c>
      <c r="U336" s="58">
        <f t="shared" si="81"/>
        <v>1.3682369111583164E-2</v>
      </c>
      <c r="V336" s="10">
        <v>37100</v>
      </c>
      <c r="W336" s="60">
        <f t="shared" si="79"/>
        <v>113575</v>
      </c>
      <c r="X336" s="28">
        <v>3.15</v>
      </c>
      <c r="Y336" s="59">
        <v>4511.3840711105604</v>
      </c>
      <c r="Z336" s="60">
        <f t="shared" si="80"/>
        <v>14210.859823998266</v>
      </c>
      <c r="AA336" s="60">
        <f t="shared" si="66"/>
        <v>13624.379894753893</v>
      </c>
      <c r="AB336" s="60">
        <f t="shared" si="76"/>
        <v>586.47992924437312</v>
      </c>
      <c r="AC336" s="60">
        <f t="shared" si="77"/>
        <v>127785.85982399827</v>
      </c>
      <c r="AD336" s="61">
        <f>+VLOOKUP(C336,'[1]pic au 25-03'!C:R,16,FALSE)</f>
        <v>45055.87307111056</v>
      </c>
      <c r="AE336" s="31"/>
      <c r="AF336" s="62">
        <v>118496.94617702074</v>
      </c>
      <c r="AG336" s="31"/>
      <c r="AH336" s="62">
        <v>118496.94617702074</v>
      </c>
      <c r="AI336" s="31"/>
      <c r="AJ336" s="28">
        <f t="shared" si="78"/>
        <v>131075.85982399827</v>
      </c>
      <c r="AK336" s="21">
        <f>+VLOOKUP(C336,'[1]stock au 25-03-25'!A:X,24,FALSE)</f>
        <v>3444.489</v>
      </c>
      <c r="AL336" t="s">
        <v>45</v>
      </c>
      <c r="AM336" s="21">
        <f t="shared" si="82"/>
        <v>41611.384071110559</v>
      </c>
      <c r="AN336" t="s">
        <v>45</v>
      </c>
      <c r="AO336" s="63">
        <v>114032.47310266508</v>
      </c>
      <c r="AP336" s="64">
        <f t="shared" si="83"/>
        <v>125666.37989475389</v>
      </c>
      <c r="AQ336" t="s">
        <v>46</v>
      </c>
      <c r="AR336" s="36">
        <f>(AP336-AO336)/AO336</f>
        <v>0.10202275260323987</v>
      </c>
      <c r="AS336" s="81"/>
      <c r="AT336" s="81">
        <f>(AO336-J336)/J336</f>
        <v>3.9256988860014441E-2</v>
      </c>
      <c r="AU336" s="81"/>
      <c r="AV336" s="66">
        <f>(AP336-J336)/J336</f>
        <v>0.1452848475256677</v>
      </c>
      <c r="BB336" s="56">
        <f>+R336*F336</f>
        <v>116270</v>
      </c>
    </row>
    <row r="337" spans="1:54" ht="18.75" outlineLevel="1" x14ac:dyDescent="0.3">
      <c r="A337">
        <v>19</v>
      </c>
      <c r="B337" t="s">
        <v>406</v>
      </c>
      <c r="C337">
        <v>339481</v>
      </c>
      <c r="D337" t="s">
        <v>415</v>
      </c>
      <c r="E337" t="s">
        <v>366</v>
      </c>
      <c r="F337" s="21">
        <f>+VLOOKUP(C337,'[1]stock au 25-03-25'!A:D,4,FALSE)</f>
        <v>27220</v>
      </c>
      <c r="G337" t="s">
        <v>45</v>
      </c>
      <c r="H337" s="22">
        <f>+VLOOKUP(C337,'[1]stock au 25-03-25'!A:F,6,FALSE)</f>
        <v>4</v>
      </c>
      <c r="I337" t="s">
        <v>46</v>
      </c>
      <c r="J337" s="56">
        <f>+VLOOKUP(C337,'[1]stock au 25-03-25'!A:H,8,FALSE)</f>
        <v>108880</v>
      </c>
      <c r="K337" t="s">
        <v>46</v>
      </c>
      <c r="L337" s="23">
        <v>4.18</v>
      </c>
      <c r="M337" t="s">
        <v>46</v>
      </c>
      <c r="N337" s="56">
        <f>+VLOOKUP(C337,'[1]stock au 25-03-25'!A:L,12,FALSE)</f>
        <v>113779.59999999999</v>
      </c>
      <c r="P337" s="57">
        <v>4.18</v>
      </c>
      <c r="Q337" t="s">
        <v>46</v>
      </c>
      <c r="R337" s="25">
        <v>4.24</v>
      </c>
      <c r="T337" s="26">
        <v>4.1440000000000001</v>
      </c>
      <c r="U337" s="58">
        <f t="shared" si="81"/>
        <v>-2.2641509433962283E-2</v>
      </c>
      <c r="V337" s="10">
        <v>13000</v>
      </c>
      <c r="W337" s="60">
        <f t="shared" si="79"/>
        <v>53872</v>
      </c>
      <c r="X337" s="28">
        <v>4.24</v>
      </c>
      <c r="Y337" s="59">
        <v>14792.257691751518</v>
      </c>
      <c r="Z337" s="60">
        <f t="shared" si="80"/>
        <v>62719.172613026436</v>
      </c>
      <c r="AA337" s="60">
        <f t="shared" si="66"/>
        <v>62719.172613026436</v>
      </c>
      <c r="AB337" s="60">
        <f t="shared" si="76"/>
        <v>0</v>
      </c>
      <c r="AC337" s="60">
        <f t="shared" si="77"/>
        <v>116591.17261302643</v>
      </c>
      <c r="AD337" s="61">
        <f>+VLOOKUP(C337,'[1]pic au 25-03'!C:R,16,FALSE)</f>
        <v>29200.950691751517</v>
      </c>
      <c r="AE337" s="31"/>
      <c r="AF337" s="62">
        <v>122059.97389152135</v>
      </c>
      <c r="AG337" s="31"/>
      <c r="AH337" s="62">
        <v>122059.97389152135</v>
      </c>
      <c r="AI337" s="31"/>
      <c r="AJ337" s="28">
        <f t="shared" si="78"/>
        <v>117839.17261302644</v>
      </c>
      <c r="AK337" s="21">
        <f>+VLOOKUP(C337,'[1]stock au 25-03-25'!A:X,24,FALSE)</f>
        <v>1408.693</v>
      </c>
      <c r="AL337" t="s">
        <v>45</v>
      </c>
      <c r="AM337" s="21">
        <f t="shared" si="82"/>
        <v>27792.257691751518</v>
      </c>
      <c r="AN337" t="s">
        <v>45</v>
      </c>
      <c r="AO337" s="63">
        <v>111169.03076700609</v>
      </c>
      <c r="AP337" s="64">
        <f t="shared" si="83"/>
        <v>117839.17261302644</v>
      </c>
      <c r="AQ337" t="s">
        <v>46</v>
      </c>
      <c r="AR337" s="36">
        <f>(AP337-AO337)/AO337</f>
        <v>5.9999999999999921E-2</v>
      </c>
      <c r="AS337" s="81"/>
      <c r="AT337" s="81">
        <f>(AO337-J337)/J337</f>
        <v>2.1023427323714976E-2</v>
      </c>
      <c r="AU337" s="81"/>
      <c r="AV337" s="66">
        <f>(AP337-J337)/J337</f>
        <v>8.2284832963137794E-2</v>
      </c>
      <c r="BB337" s="56">
        <f>+R337*F337</f>
        <v>115412.8</v>
      </c>
    </row>
    <row r="338" spans="1:54" ht="18.75" outlineLevel="1" x14ac:dyDescent="0.3">
      <c r="A338">
        <v>19</v>
      </c>
      <c r="B338" t="s">
        <v>406</v>
      </c>
      <c r="C338">
        <v>340112</v>
      </c>
      <c r="D338" t="s">
        <v>416</v>
      </c>
      <c r="E338" t="s">
        <v>366</v>
      </c>
      <c r="F338" s="21">
        <f>+VLOOKUP(C338,'[1]stock au 25-03-25'!A:D,4,FALSE)</f>
        <v>22660.26</v>
      </c>
      <c r="G338" t="s">
        <v>45</v>
      </c>
      <c r="H338" s="22">
        <f>+VLOOKUP(C338,'[1]stock au 25-03-25'!A:F,6,FALSE)</f>
        <v>5.0805229066215487</v>
      </c>
      <c r="I338" t="s">
        <v>46</v>
      </c>
      <c r="J338" s="56">
        <f>+VLOOKUP(C338,'[1]stock au 25-03-25'!A:H,8,FALSE)</f>
        <v>115125.97</v>
      </c>
      <c r="K338" t="s">
        <v>46</v>
      </c>
      <c r="L338" s="23">
        <v>7.14</v>
      </c>
      <c r="M338" t="s">
        <v>46</v>
      </c>
      <c r="N338" s="56">
        <f>+VLOOKUP(C338,'[1]stock au 25-03-25'!A:L,12,FALSE)</f>
        <v>161794.25639999998</v>
      </c>
      <c r="P338" s="57">
        <v>7.14</v>
      </c>
      <c r="Q338" t="s">
        <v>46</v>
      </c>
      <c r="R338" s="25">
        <v>5.19</v>
      </c>
      <c r="T338" s="26">
        <v>5.1000004068029323</v>
      </c>
      <c r="U338" s="58">
        <f t="shared" si="81"/>
        <v>-1.7340962080359935E-2</v>
      </c>
      <c r="V338" s="10">
        <v>9095.3130000000001</v>
      </c>
      <c r="W338" s="60">
        <f t="shared" si="79"/>
        <v>46386.1</v>
      </c>
      <c r="X338" s="28">
        <v>5.0999999999999996</v>
      </c>
      <c r="Y338" s="59">
        <v>9005.218342074415</v>
      </c>
      <c r="Z338" s="60">
        <f t="shared" si="80"/>
        <v>45926.613544579515</v>
      </c>
      <c r="AA338" s="60">
        <f t="shared" si="66"/>
        <v>46737.08319536622</v>
      </c>
      <c r="AB338" s="60">
        <f t="shared" si="76"/>
        <v>-810.46965078670473</v>
      </c>
      <c r="AC338" s="60">
        <f t="shared" si="77"/>
        <v>92312.713544579514</v>
      </c>
      <c r="AD338" s="61">
        <f>+VLOOKUP(C338,'[1]pic au 25-03'!C:R,16,FALSE)</f>
        <v>20037.866342074416</v>
      </c>
      <c r="AE338" s="31"/>
      <c r="AF338" s="62">
        <v>143070.36568241133</v>
      </c>
      <c r="AG338" s="31"/>
      <c r="AH338" s="62">
        <v>143070.36568241133</v>
      </c>
      <c r="AI338" s="31"/>
      <c r="AJ338" s="28">
        <f t="shared" si="78"/>
        <v>92312.709844579513</v>
      </c>
      <c r="AK338" s="21">
        <f>+VLOOKUP(C338,'[1]stock au 25-03-25'!A:X,24,FALSE)</f>
        <v>1937.335</v>
      </c>
      <c r="AL338" t="s">
        <v>45</v>
      </c>
      <c r="AM338" s="21">
        <f t="shared" si="82"/>
        <v>18100.531342074417</v>
      </c>
      <c r="AN338" t="s">
        <v>45</v>
      </c>
      <c r="AO338" s="63">
        <v>100230.81444601101</v>
      </c>
      <c r="AP338" s="64">
        <f t="shared" si="83"/>
        <v>93941.757665366225</v>
      </c>
      <c r="AQ338" t="s">
        <v>46</v>
      </c>
      <c r="AR338" s="36">
        <f>(AP338-AO338)/AO338</f>
        <v>-6.274574157064601E-2</v>
      </c>
      <c r="AS338" s="81"/>
      <c r="AT338" s="81">
        <f>(AO338-J338)/J338</f>
        <v>-0.12938136854776552</v>
      </c>
      <c r="AU338" s="81"/>
      <c r="AV338" s="66">
        <f>(AP338-J338)/J338</f>
        <v>-0.18400898020345693</v>
      </c>
      <c r="BB338" s="56">
        <f>+R338*F338</f>
        <v>117606.7494</v>
      </c>
    </row>
    <row r="339" spans="1:54" ht="18.75" outlineLevel="1" x14ac:dyDescent="0.3">
      <c r="A339">
        <v>19</v>
      </c>
      <c r="B339" t="s">
        <v>406</v>
      </c>
      <c r="C339">
        <v>339475</v>
      </c>
      <c r="D339" t="s">
        <v>417</v>
      </c>
      <c r="E339" t="s">
        <v>366</v>
      </c>
      <c r="F339" s="21">
        <f>+VLOOKUP(C339,'[1]stock au 25-03-25'!A:D,4,FALSE)</f>
        <v>13860.85</v>
      </c>
      <c r="G339" t="s">
        <v>45</v>
      </c>
      <c r="H339" s="22">
        <f>+VLOOKUP(C339,'[1]stock au 25-03-25'!A:F,6,FALSE)</f>
        <v>4.8583290346551626</v>
      </c>
      <c r="I339" t="s">
        <v>46</v>
      </c>
      <c r="J339" s="56">
        <f>+VLOOKUP(C339,'[1]stock au 25-03-25'!A:H,8,FALSE)</f>
        <v>67340.570000000007</v>
      </c>
      <c r="K339" t="s">
        <v>46</v>
      </c>
      <c r="L339" s="23">
        <v>4.8</v>
      </c>
      <c r="M339" t="s">
        <v>46</v>
      </c>
      <c r="N339" s="56">
        <f>+VLOOKUP(C339,'[1]stock au 25-03-25'!A:L,12,FALSE)</f>
        <v>66532.08</v>
      </c>
      <c r="P339" s="57">
        <v>4.8</v>
      </c>
      <c r="Q339" t="s">
        <v>46</v>
      </c>
      <c r="R339" s="25">
        <v>6.2</v>
      </c>
      <c r="T339" s="26">
        <v>5.9346053772766698</v>
      </c>
      <c r="U339" s="58">
        <f t="shared" si="81"/>
        <v>-4.2805584310214577E-2</v>
      </c>
      <c r="V339" s="10">
        <v>11530</v>
      </c>
      <c r="W339" s="60">
        <f t="shared" si="79"/>
        <v>68426</v>
      </c>
      <c r="X339" s="28">
        <v>6.2</v>
      </c>
      <c r="Y339" s="59">
        <v>4987.1762408418836</v>
      </c>
      <c r="Z339" s="60">
        <f t="shared" si="80"/>
        <v>30920.492693219679</v>
      </c>
      <c r="AA339" s="60">
        <f t="shared" si="66"/>
        <v>30920.492693219679</v>
      </c>
      <c r="AB339" s="60">
        <f t="shared" si="76"/>
        <v>0</v>
      </c>
      <c r="AC339" s="60">
        <f t="shared" si="77"/>
        <v>99346.492693219683</v>
      </c>
      <c r="AD339" s="61">
        <f>+VLOOKUP(C339,'[1]pic au 25-03'!C:R,16,FALSE)</f>
        <v>17173.676240841884</v>
      </c>
      <c r="AE339" s="31"/>
      <c r="AF339" s="62">
        <v>82433.645956041015</v>
      </c>
      <c r="AG339" s="31"/>
      <c r="AH339" s="62">
        <v>82433.645956041015</v>
      </c>
      <c r="AI339" s="31"/>
      <c r="AJ339" s="28">
        <f t="shared" si="78"/>
        <v>102406.49269321968</v>
      </c>
      <c r="AK339" s="21">
        <f>+VLOOKUP(C339,'[1]stock au 25-03-25'!A:X,24,FALSE)</f>
        <v>656.5</v>
      </c>
      <c r="AL339" t="s">
        <v>45</v>
      </c>
      <c r="AM339" s="21">
        <f t="shared" si="82"/>
        <v>16517.176240841884</v>
      </c>
      <c r="AN339" t="s">
        <v>45</v>
      </c>
      <c r="AO339" s="63">
        <v>81741.646533202846</v>
      </c>
      <c r="AP339" s="64">
        <f t="shared" si="83"/>
        <v>102406.49269321968</v>
      </c>
      <c r="AQ339" t="s">
        <v>46</v>
      </c>
      <c r="AR339" s="36">
        <f>(AP339-AO339)/AO339</f>
        <v>0.25280682536316335</v>
      </c>
      <c r="AS339" s="81"/>
      <c r="AT339" s="81">
        <f>(AO339-J339)/J339</f>
        <v>0.21385439020196648</v>
      </c>
      <c r="AU339" s="81"/>
      <c r="AV339" s="66">
        <f>(AP339-J339)/J339</f>
        <v>0.52072506504206417</v>
      </c>
      <c r="BB339" s="56">
        <f>+R339*F339</f>
        <v>85937.27</v>
      </c>
    </row>
    <row r="340" spans="1:54" ht="18.75" outlineLevel="1" x14ac:dyDescent="0.3">
      <c r="A340">
        <v>19</v>
      </c>
      <c r="B340" t="s">
        <v>406</v>
      </c>
      <c r="C340">
        <v>339463</v>
      </c>
      <c r="D340" t="s">
        <v>418</v>
      </c>
      <c r="E340" t="s">
        <v>366</v>
      </c>
      <c r="F340" s="21">
        <f>+VLOOKUP(C340,'[1]stock au 25-03-25'!A:D,4,FALSE)</f>
        <v>3990</v>
      </c>
      <c r="G340" t="s">
        <v>45</v>
      </c>
      <c r="H340" s="22">
        <f>+VLOOKUP(C340,'[1]stock au 25-03-25'!A:F,6,FALSE)</f>
        <v>8.9799999999999986</v>
      </c>
      <c r="I340" t="s">
        <v>46</v>
      </c>
      <c r="J340" s="56">
        <f>+VLOOKUP(C340,'[1]stock au 25-03-25'!A:H,8,FALSE)</f>
        <v>35830.199999999997</v>
      </c>
      <c r="K340" t="s">
        <v>46</v>
      </c>
      <c r="L340" s="23">
        <v>12</v>
      </c>
      <c r="M340" t="s">
        <v>46</v>
      </c>
      <c r="N340" s="56">
        <f>+VLOOKUP(C340,'[1]stock au 25-03-25'!A:L,12,FALSE)</f>
        <v>47880</v>
      </c>
      <c r="P340" s="57">
        <v>12</v>
      </c>
      <c r="Q340" t="s">
        <v>46</v>
      </c>
      <c r="R340" s="25">
        <v>9.1999999999999993</v>
      </c>
      <c r="T340" s="26">
        <v>9.18</v>
      </c>
      <c r="U340" s="58">
        <f t="shared" si="81"/>
        <v>-2.1739130434782145E-3</v>
      </c>
      <c r="V340" s="10">
        <v>1560</v>
      </c>
      <c r="W340" s="60">
        <f t="shared" si="79"/>
        <v>14320.8</v>
      </c>
      <c r="X340" s="28">
        <v>9.18</v>
      </c>
      <c r="Y340" s="59">
        <v>5790.2072896741847</v>
      </c>
      <c r="Z340" s="60">
        <f t="shared" si="80"/>
        <v>53154.102919209014</v>
      </c>
      <c r="AA340" s="60">
        <f t="shared" si="66"/>
        <v>53269.907065002495</v>
      </c>
      <c r="AB340" s="60">
        <f t="shared" si="76"/>
        <v>-115.80414579348144</v>
      </c>
      <c r="AC340" s="60">
        <f t="shared" si="77"/>
        <v>67474.902919209009</v>
      </c>
      <c r="AD340" s="61">
        <f>+VLOOKUP(C340,'[1]pic au 25-03'!C:R,16,FALSE)</f>
        <v>9523.1922896741853</v>
      </c>
      <c r="AE340" s="31"/>
      <c r="AF340" s="62">
        <v>114278.30747609022</v>
      </c>
      <c r="AG340" s="31"/>
      <c r="AH340" s="62">
        <v>114278.30747609022</v>
      </c>
      <c r="AI340" s="31"/>
      <c r="AJ340" s="28">
        <f t="shared" si="78"/>
        <v>67474.902919209009</v>
      </c>
      <c r="AK340" s="21">
        <f>+VLOOKUP(C340,'[1]stock au 25-03-25'!A:X,24,FALSE)</f>
        <v>2172.9850000000001</v>
      </c>
      <c r="AL340" t="s">
        <v>45</v>
      </c>
      <c r="AM340" s="21">
        <f t="shared" si="82"/>
        <v>7350.2072896741847</v>
      </c>
      <c r="AN340" t="s">
        <v>45</v>
      </c>
      <c r="AO340" s="63">
        <v>66004.861461274166</v>
      </c>
      <c r="AP340" s="64">
        <f t="shared" si="83"/>
        <v>67621.907065002495</v>
      </c>
      <c r="AQ340" t="s">
        <v>46</v>
      </c>
      <c r="AR340" s="36">
        <f>(AP340-AO340)/AO340</f>
        <v>2.4498886414254035E-2</v>
      </c>
      <c r="AS340" s="81"/>
      <c r="AT340" s="81">
        <f>(AO340-J340)/J340</f>
        <v>0.84215721545718891</v>
      </c>
      <c r="AU340" s="81"/>
      <c r="AV340" s="66">
        <f>(AP340-J340)/J340</f>
        <v>0.88728801583587313</v>
      </c>
      <c r="BB340" s="56">
        <f>+R340*F340</f>
        <v>36708</v>
      </c>
    </row>
    <row r="341" spans="1:54" ht="18.75" outlineLevel="1" x14ac:dyDescent="0.3">
      <c r="A341">
        <v>19</v>
      </c>
      <c r="B341" t="s">
        <v>406</v>
      </c>
      <c r="C341">
        <v>339451</v>
      </c>
      <c r="D341" t="s">
        <v>419</v>
      </c>
      <c r="E341" t="s">
        <v>366</v>
      </c>
      <c r="F341" s="21">
        <f>+VLOOKUP(C341,'[1]stock au 25-03-25'!A:D,4,FALSE)</f>
        <v>3356.8969999999999</v>
      </c>
      <c r="G341" t="s">
        <v>45</v>
      </c>
      <c r="H341" s="22">
        <f>+VLOOKUP(C341,'[1]stock au 25-03-25'!A:F,6,FALSE)</f>
        <v>22.558919740462695</v>
      </c>
      <c r="I341" t="s">
        <v>46</v>
      </c>
      <c r="J341" s="56">
        <f>+VLOOKUP(C341,'[1]stock au 25-03-25'!A:H,8,FALSE)</f>
        <v>75727.97</v>
      </c>
      <c r="K341" t="s">
        <v>46</v>
      </c>
      <c r="L341" s="23">
        <v>27.5</v>
      </c>
      <c r="M341" t="s">
        <v>46</v>
      </c>
      <c r="N341" s="56">
        <f>+VLOOKUP(C341,'[1]stock au 25-03-25'!A:L,12,FALSE)</f>
        <v>92314.667499999996</v>
      </c>
      <c r="P341" s="57">
        <v>27.5</v>
      </c>
      <c r="Q341" t="s">
        <v>46</v>
      </c>
      <c r="R341" s="25">
        <v>23.12</v>
      </c>
      <c r="T341" s="26" t="s">
        <v>53</v>
      </c>
      <c r="U341" s="58" t="str">
        <f t="shared" si="81"/>
        <v/>
      </c>
      <c r="V341" s="10">
        <v>0</v>
      </c>
      <c r="W341" s="60">
        <f t="shared" si="79"/>
        <v>0</v>
      </c>
      <c r="X341" s="28">
        <v>25</v>
      </c>
      <c r="Y341" s="59">
        <v>2632.6093307736201</v>
      </c>
      <c r="Z341" s="60">
        <f t="shared" si="80"/>
        <v>65815.233269340504</v>
      </c>
      <c r="AA341" s="60">
        <f t="shared" si="66"/>
        <v>60865.927727486102</v>
      </c>
      <c r="AB341" s="60">
        <f t="shared" si="76"/>
        <v>4949.3055418544027</v>
      </c>
      <c r="AC341" s="60">
        <f t="shared" si="77"/>
        <v>65815.233269340504</v>
      </c>
      <c r="AD341" s="61">
        <f>+VLOOKUP(C341,'[1]pic au 25-03'!C:R,16,FALSE)</f>
        <v>3049.3933307736202</v>
      </c>
      <c r="AE341" s="31"/>
      <c r="AF341" s="62">
        <v>83858.316596274555</v>
      </c>
      <c r="AG341" s="31"/>
      <c r="AH341" s="62">
        <v>83858.316596274555</v>
      </c>
      <c r="AI341" s="31"/>
      <c r="AJ341" s="28">
        <f t="shared" si="78"/>
        <v>65815.233269340504</v>
      </c>
      <c r="AK341" s="21">
        <f>+VLOOKUP(C341,'[1]stock au 25-03-25'!A:X,24,FALSE)</f>
        <v>416.78399999999999</v>
      </c>
      <c r="AL341" t="s">
        <v>45</v>
      </c>
      <c r="AM341" s="21">
        <f t="shared" si="82"/>
        <v>2632.6093307736201</v>
      </c>
      <c r="AN341" t="s">
        <v>45</v>
      </c>
      <c r="AO341" s="63">
        <v>63509.785805644526</v>
      </c>
      <c r="AP341" s="64">
        <f t="shared" si="83"/>
        <v>60865.927727486102</v>
      </c>
      <c r="AQ341" t="s">
        <v>46</v>
      </c>
      <c r="AR341" s="36">
        <f>(AP341-AO341)/AO341</f>
        <v>-4.1629144936014689E-2</v>
      </c>
      <c r="AS341" s="81"/>
      <c r="AT341" s="81">
        <f>(AO341-J341)/J341</f>
        <v>-0.16134308359718971</v>
      </c>
      <c r="AU341" s="81"/>
      <c r="AV341" s="66">
        <f>(AP341-J341)/J341</f>
        <v>-0.19625565392171346</v>
      </c>
      <c r="BB341" s="56">
        <f>+R341*F341</f>
        <v>77611.458639999997</v>
      </c>
    </row>
    <row r="342" spans="1:54" ht="18.75" outlineLevel="1" x14ac:dyDescent="0.3">
      <c r="A342">
        <v>19</v>
      </c>
      <c r="B342" t="s">
        <v>406</v>
      </c>
      <c r="C342">
        <v>339455</v>
      </c>
      <c r="D342" t="s">
        <v>420</v>
      </c>
      <c r="E342" t="s">
        <v>382</v>
      </c>
      <c r="F342" s="21">
        <f>+VLOOKUP(C342,'[1]stock au 25-03-25'!A:D,4,FALSE)</f>
        <v>8212.0679999999993</v>
      </c>
      <c r="G342" t="s">
        <v>45</v>
      </c>
      <c r="H342" s="22">
        <f>+VLOOKUP(C342,'[1]stock au 25-03-25'!A:F,6,FALSE)</f>
        <v>7.9186010149940307</v>
      </c>
      <c r="I342" t="s">
        <v>46</v>
      </c>
      <c r="J342" s="56">
        <f>+VLOOKUP(C342,'[1]stock au 25-03-25'!A:H,8,FALSE)</f>
        <v>65028.09</v>
      </c>
      <c r="K342" t="s">
        <v>46</v>
      </c>
      <c r="L342" s="23">
        <v>8.16</v>
      </c>
      <c r="M342" t="s">
        <v>46</v>
      </c>
      <c r="N342" s="56">
        <f>+VLOOKUP(C342,'[1]stock au 25-03-25'!A:L,12,FALSE)</f>
        <v>67010.474879999994</v>
      </c>
      <c r="P342" s="57">
        <v>8.16</v>
      </c>
      <c r="Q342" t="s">
        <v>46</v>
      </c>
      <c r="R342" s="25">
        <v>8.1999999999999993</v>
      </c>
      <c r="T342" s="26">
        <v>8</v>
      </c>
      <c r="U342" s="58">
        <f t="shared" si="81"/>
        <v>-2.4390243902438939E-2</v>
      </c>
      <c r="V342" s="10">
        <v>8597.7950000000001</v>
      </c>
      <c r="W342" s="60">
        <f t="shared" si="79"/>
        <v>68782.36</v>
      </c>
      <c r="X342" s="28">
        <v>8.0000010970304203</v>
      </c>
      <c r="Y342" s="59">
        <v>-1025.1674212044672</v>
      </c>
      <c r="Z342" s="60">
        <f t="shared" si="80"/>
        <v>-8201.3404942755842</v>
      </c>
      <c r="AA342" s="60">
        <f t="shared" si="66"/>
        <v>-8406.37285387663</v>
      </c>
      <c r="AB342" s="60">
        <f t="shared" si="76"/>
        <v>205.03235960104575</v>
      </c>
      <c r="AC342" s="60">
        <f t="shared" si="77"/>
        <v>60581.019505724413</v>
      </c>
      <c r="AD342" s="61">
        <f>+VLOOKUP(C342,'[1]pic au 25-03'!C:R,16,FALSE)</f>
        <v>8324.6005787955328</v>
      </c>
      <c r="AE342" s="31"/>
      <c r="AF342" s="62">
        <v>67928.740722971546</v>
      </c>
      <c r="AG342" s="31"/>
      <c r="AH342" s="62">
        <v>67928.740722971546</v>
      </c>
      <c r="AI342" s="31"/>
      <c r="AJ342" s="28">
        <f t="shared" si="78"/>
        <v>60581.028937767078</v>
      </c>
      <c r="AK342" s="21">
        <f>+VLOOKUP(C342,'[1]stock au 25-03-25'!A:X,24,FALSE)</f>
        <v>751.97299999999996</v>
      </c>
      <c r="AL342" t="s">
        <v>45</v>
      </c>
      <c r="AM342" s="21">
        <f t="shared" si="82"/>
        <v>7572.6275787955328</v>
      </c>
      <c r="AN342" t="s">
        <v>45</v>
      </c>
      <c r="AO342" s="63">
        <v>61581.104531181219</v>
      </c>
      <c r="AP342" s="64">
        <f t="shared" si="83"/>
        <v>62095.546146123364</v>
      </c>
      <c r="AQ342" t="s">
        <v>46</v>
      </c>
      <c r="AR342" s="36">
        <f>(AP342-AO342)/AO342</f>
        <v>8.3538874279473277E-3</v>
      </c>
      <c r="AS342" s="81"/>
      <c r="AT342" s="81">
        <f>(AO342-J342)/J342</f>
        <v>-5.3007638219402985E-2</v>
      </c>
      <c r="AU342" s="81"/>
      <c r="AV342" s="66">
        <f>(AP342-J342)/J342</f>
        <v>-4.5096570633961913E-2</v>
      </c>
      <c r="BB342" s="56">
        <f>+R342*F342</f>
        <v>67338.957599999994</v>
      </c>
    </row>
    <row r="343" spans="1:54" ht="18.75" outlineLevel="1" x14ac:dyDescent="0.3">
      <c r="A343">
        <v>19</v>
      </c>
      <c r="B343" t="s">
        <v>406</v>
      </c>
      <c r="C343">
        <v>346950</v>
      </c>
      <c r="D343" t="s">
        <v>421</v>
      </c>
      <c r="E343" t="s">
        <v>366</v>
      </c>
      <c r="F343" s="21">
        <f>+VLOOKUP(C343,'[1]stock au 25-03-25'!A:D,4,FALSE)</f>
        <v>8199.7049999999999</v>
      </c>
      <c r="G343" t="s">
        <v>45</v>
      </c>
      <c r="H343" s="22">
        <f>+VLOOKUP(C343,'[1]stock au 25-03-25'!A:F,6,FALSE)</f>
        <v>7.2773240012902907</v>
      </c>
      <c r="I343" t="s">
        <v>46</v>
      </c>
      <c r="J343" s="56">
        <f>+VLOOKUP(C343,'[1]stock au 25-03-25'!A:H,8,FALSE)</f>
        <v>59671.91</v>
      </c>
      <c r="K343" t="s">
        <v>46</v>
      </c>
      <c r="L343" s="23">
        <v>7.5</v>
      </c>
      <c r="M343" t="s">
        <v>46</v>
      </c>
      <c r="N343" s="56">
        <f>+VLOOKUP(C343,'[1]stock au 25-03-25'!A:L,12,FALSE)</f>
        <v>61497.787499999999</v>
      </c>
      <c r="Q343" t="s">
        <v>46</v>
      </c>
      <c r="R343" s="25">
        <v>7.46</v>
      </c>
      <c r="T343" s="26" t="s">
        <v>53</v>
      </c>
      <c r="U343" s="58" t="str">
        <f t="shared" si="81"/>
        <v/>
      </c>
      <c r="V343" s="10">
        <v>0</v>
      </c>
      <c r="W343" s="60">
        <f t="shared" si="79"/>
        <v>0</v>
      </c>
      <c r="X343" s="28">
        <v>8.4000001348893285</v>
      </c>
      <c r="Y343" s="59">
        <v>7642.1904780882351</v>
      </c>
      <c r="Z343" s="60">
        <f t="shared" si="80"/>
        <v>64194.401046791114</v>
      </c>
      <c r="AA343" s="60">
        <f t="shared" si="66"/>
        <v>57010.740966538237</v>
      </c>
      <c r="AB343" s="60">
        <f t="shared" si="76"/>
        <v>7183.6600802528774</v>
      </c>
      <c r="AC343" s="60">
        <f t="shared" si="77"/>
        <v>64194.401046791114</v>
      </c>
      <c r="AD343" s="61">
        <f>+VLOOKUP(C343,'[1]pic au 25-03'!C:R,16,FALSE)</f>
        <v>7642.1904780882351</v>
      </c>
      <c r="AE343" s="31"/>
      <c r="AF343" s="62"/>
      <c r="AG343" s="31"/>
      <c r="AH343" s="62">
        <v>57316.428585661764</v>
      </c>
      <c r="AI343" s="31"/>
      <c r="AJ343" s="28">
        <f t="shared" si="78"/>
        <v>64194.401046791114</v>
      </c>
      <c r="AK343" s="21">
        <f>+VLOOKUP(C343,'[1]stock au 25-03-25'!A:X,24,FALSE)</f>
        <v>0</v>
      </c>
      <c r="AL343" t="s">
        <v>45</v>
      </c>
      <c r="AM343" s="21">
        <f t="shared" si="82"/>
        <v>7642.1904780882351</v>
      </c>
      <c r="AN343" t="s">
        <v>45</v>
      </c>
      <c r="AO343" s="63">
        <v>55614.696188623631</v>
      </c>
      <c r="AP343" s="64">
        <f t="shared" si="83"/>
        <v>57010.740966538237</v>
      </c>
      <c r="AQ343" t="s">
        <v>46</v>
      </c>
      <c r="AR343" s="36">
        <f>(AP343-AO343)/AO343</f>
        <v>2.5102084045910435E-2</v>
      </c>
      <c r="AS343" s="81"/>
      <c r="AT343" s="81">
        <f>(AO343-J343)/J343</f>
        <v>-6.7992021897344532E-2</v>
      </c>
      <c r="AU343" s="81"/>
      <c r="AV343" s="66">
        <f>(AP343-J343)/J343</f>
        <v>-4.4596679299552619E-2</v>
      </c>
      <c r="BB343" s="56">
        <f>+R343*F343</f>
        <v>61169.799299999999</v>
      </c>
    </row>
    <row r="344" spans="1:54" ht="18.75" outlineLevel="1" x14ac:dyDescent="0.3">
      <c r="A344">
        <v>19</v>
      </c>
      <c r="B344" t="s">
        <v>406</v>
      </c>
      <c r="C344">
        <v>338391</v>
      </c>
      <c r="D344" t="s">
        <v>422</v>
      </c>
      <c r="E344" t="s">
        <v>366</v>
      </c>
      <c r="F344" s="21">
        <f>+VLOOKUP(C344,'[1]stock au 25-03-25'!A:D,4,FALSE)</f>
        <v>9330</v>
      </c>
      <c r="G344" t="s">
        <v>45</v>
      </c>
      <c r="H344" s="22">
        <f>+VLOOKUP(C344,'[1]stock au 25-03-25'!A:F,6,FALSE)</f>
        <v>9.35</v>
      </c>
      <c r="I344" t="s">
        <v>46</v>
      </c>
      <c r="J344" s="56">
        <f>+VLOOKUP(C344,'[1]stock au 25-03-25'!A:H,8,FALSE)</f>
        <v>87235.5</v>
      </c>
      <c r="K344" t="s">
        <v>46</v>
      </c>
      <c r="L344" s="23">
        <v>10.050000000000001</v>
      </c>
      <c r="M344" t="s">
        <v>46</v>
      </c>
      <c r="N344" s="56">
        <f>+VLOOKUP(C344,'[1]stock au 25-03-25'!A:L,12,FALSE)</f>
        <v>93766.5</v>
      </c>
      <c r="P344" s="57">
        <v>10.050000000000001</v>
      </c>
      <c r="Q344" t="s">
        <v>46</v>
      </c>
      <c r="R344" s="25">
        <v>9.58</v>
      </c>
      <c r="T344" s="26" t="s">
        <v>53</v>
      </c>
      <c r="U344" s="58" t="str">
        <f t="shared" si="81"/>
        <v/>
      </c>
      <c r="V344" s="10">
        <v>0</v>
      </c>
      <c r="W344" s="60">
        <f t="shared" si="79"/>
        <v>0</v>
      </c>
      <c r="X344" s="28">
        <v>9.58</v>
      </c>
      <c r="Y344" s="59">
        <v>4320.5498091947993</v>
      </c>
      <c r="Z344" s="60">
        <f t="shared" si="80"/>
        <v>41390.867172086175</v>
      </c>
      <c r="AA344" s="60">
        <f t="shared" ref="AA344:AA351" si="84">SUM(Y344*R344)</f>
        <v>41390.867172086175</v>
      </c>
      <c r="AB344" s="60">
        <f t="shared" si="76"/>
        <v>0</v>
      </c>
      <c r="AC344" s="60">
        <f t="shared" si="77"/>
        <v>41390.867172086175</v>
      </c>
      <c r="AD344" s="61">
        <f>+VLOOKUP(C344,'[1]pic au 25-03'!C:R,16,FALSE)</f>
        <v>6548.4878091947994</v>
      </c>
      <c r="AE344" s="31"/>
      <c r="AF344" s="62">
        <v>65812.302482407744</v>
      </c>
      <c r="AG344" s="31"/>
      <c r="AH344" s="62">
        <v>65812.302482407744</v>
      </c>
      <c r="AI344" s="31"/>
      <c r="AJ344" s="28">
        <f t="shared" si="78"/>
        <v>41390.867172086175</v>
      </c>
      <c r="AK344" s="21">
        <f>+VLOOKUP(C344,'[1]stock au 25-03-25'!A:X,24,FALSE)</f>
        <v>2227.9380000000001</v>
      </c>
      <c r="AL344" t="s">
        <v>45</v>
      </c>
      <c r="AM344" s="21">
        <f t="shared" si="82"/>
        <v>4320.5498091947993</v>
      </c>
      <c r="AN344" t="s">
        <v>45</v>
      </c>
      <c r="AO344" s="63">
        <v>45165.061015971376</v>
      </c>
      <c r="AP344" s="64">
        <f t="shared" si="83"/>
        <v>41390.867172086175</v>
      </c>
      <c r="AQ344" t="s">
        <v>46</v>
      </c>
      <c r="AR344" s="36">
        <f>(AP344-AO344)/AO344</f>
        <v>-8.3564457990006072E-2</v>
      </c>
      <c r="AS344" s="81"/>
      <c r="AT344" s="81">
        <f>(AO344-J344)/J344</f>
        <v>-0.48226282859648451</v>
      </c>
      <c r="AU344" s="81"/>
      <c r="AV344" s="66">
        <f>(AP344-J344)/J344</f>
        <v>-0.52552725470609818</v>
      </c>
      <c r="BB344" s="56">
        <f>+R344*F344</f>
        <v>89381.4</v>
      </c>
    </row>
    <row r="345" spans="1:54" ht="18.75" outlineLevel="1" x14ac:dyDescent="0.3">
      <c r="A345">
        <v>19</v>
      </c>
      <c r="B345" t="s">
        <v>406</v>
      </c>
      <c r="C345">
        <v>339439</v>
      </c>
      <c r="D345" t="s">
        <v>423</v>
      </c>
      <c r="E345" t="s">
        <v>366</v>
      </c>
      <c r="F345" s="21">
        <f>+VLOOKUP(C345,'[1]stock au 25-03-25'!A:D,4,FALSE)</f>
        <v>13500</v>
      </c>
      <c r="G345" t="s">
        <v>45</v>
      </c>
      <c r="H345" s="22">
        <f>+VLOOKUP(C345,'[1]stock au 25-03-25'!A:F,6,FALSE)</f>
        <v>3.5</v>
      </c>
      <c r="I345" t="s">
        <v>46</v>
      </c>
      <c r="J345" s="56">
        <f>+VLOOKUP(C345,'[1]stock au 25-03-25'!A:H,8,FALSE)</f>
        <v>47250</v>
      </c>
      <c r="K345" t="s">
        <v>46</v>
      </c>
      <c r="L345" s="23">
        <v>3.5</v>
      </c>
      <c r="M345" t="s">
        <v>46</v>
      </c>
      <c r="N345" s="56">
        <f>+VLOOKUP(C345,'[1]stock au 25-03-25'!A:L,12,FALSE)</f>
        <v>47250</v>
      </c>
      <c r="P345" s="57">
        <v>3.5</v>
      </c>
      <c r="Q345" t="s">
        <v>46</v>
      </c>
      <c r="R345" s="25">
        <v>3.58</v>
      </c>
      <c r="T345" s="26">
        <v>3.5</v>
      </c>
      <c r="U345" s="58">
        <f t="shared" si="81"/>
        <v>-2.2346368715083817E-2</v>
      </c>
      <c r="V345" s="10">
        <v>9000</v>
      </c>
      <c r="W345" s="60">
        <f t="shared" si="79"/>
        <v>31500</v>
      </c>
      <c r="X345" s="28">
        <v>3.5</v>
      </c>
      <c r="Y345" s="59">
        <v>5377.0719627450962</v>
      </c>
      <c r="Z345" s="60">
        <f t="shared" si="80"/>
        <v>18819.751869607837</v>
      </c>
      <c r="AA345" s="60">
        <f t="shared" si="84"/>
        <v>19249.917626627444</v>
      </c>
      <c r="AB345" s="60">
        <f t="shared" si="76"/>
        <v>-430.16575701960755</v>
      </c>
      <c r="AC345" s="60">
        <f t="shared" si="77"/>
        <v>50319.751869607833</v>
      </c>
      <c r="AD345" s="61">
        <f>+VLOOKUP(C345,'[1]pic au 25-03'!C:R,16,FALSE)</f>
        <v>15816.331962745096</v>
      </c>
      <c r="AE345" s="31"/>
      <c r="AF345" s="62">
        <v>55357.161869607844</v>
      </c>
      <c r="AG345" s="31"/>
      <c r="AH345" s="62">
        <v>55357.161869607844</v>
      </c>
      <c r="AI345" s="31"/>
      <c r="AJ345" s="28">
        <f t="shared" si="78"/>
        <v>50319.751869607833</v>
      </c>
      <c r="AK345" s="21">
        <f>+VLOOKUP(C345,'[1]stock au 25-03-25'!A:X,24,FALSE)</f>
        <v>1439.26</v>
      </c>
      <c r="AL345" t="s">
        <v>45</v>
      </c>
      <c r="AM345" s="21">
        <f t="shared" si="82"/>
        <v>14377.071962745096</v>
      </c>
      <c r="AN345" t="s">
        <v>45</v>
      </c>
      <c r="AO345" s="63">
        <v>44065.885369607844</v>
      </c>
      <c r="AP345" s="64">
        <f t="shared" si="83"/>
        <v>51469.917626627444</v>
      </c>
      <c r="AQ345" t="s">
        <v>46</v>
      </c>
      <c r="AR345" s="36">
        <f>(AP345-AO345)/AO345</f>
        <v>0.16802186532546437</v>
      </c>
      <c r="AS345" s="81"/>
      <c r="AT345" s="81">
        <f>(AO345-J345)/J345</f>
        <v>-6.7388669426289016E-2</v>
      </c>
      <c r="AU345" s="81"/>
      <c r="AV345" s="66">
        <f>(AP345-J345)/J345</f>
        <v>8.93104259603692E-2</v>
      </c>
      <c r="BB345" s="56">
        <f>+R345*F345</f>
        <v>48330</v>
      </c>
    </row>
    <row r="346" spans="1:54" ht="18.75" outlineLevel="1" x14ac:dyDescent="0.3">
      <c r="A346">
        <v>19</v>
      </c>
      <c r="B346" t="s">
        <v>406</v>
      </c>
      <c r="C346">
        <v>340537</v>
      </c>
      <c r="D346" t="s">
        <v>424</v>
      </c>
      <c r="E346" t="s">
        <v>366</v>
      </c>
      <c r="F346" s="21">
        <f>+VLOOKUP(C346,'[1]stock au 25-03-25'!A:D,4,FALSE)</f>
        <v>6588.8639999999996</v>
      </c>
      <c r="G346" t="s">
        <v>45</v>
      </c>
      <c r="H346" s="22">
        <f>+VLOOKUP(C346,'[1]stock au 25-03-25'!A:F,6,FALSE)</f>
        <v>5.7009812313624932</v>
      </c>
      <c r="I346" t="s">
        <v>46</v>
      </c>
      <c r="J346" s="56">
        <f>+VLOOKUP(C346,'[1]stock au 25-03-25'!A:H,8,FALSE)</f>
        <v>37562.99</v>
      </c>
      <c r="K346" t="s">
        <v>46</v>
      </c>
      <c r="L346" s="23">
        <v>5.85</v>
      </c>
      <c r="M346" t="s">
        <v>46</v>
      </c>
      <c r="N346" s="56">
        <f>+VLOOKUP(C346,'[1]stock au 25-03-25'!A:L,12,FALSE)</f>
        <v>38544.854399999997</v>
      </c>
      <c r="P346" s="57">
        <v>0</v>
      </c>
      <c r="Q346" t="s">
        <v>46</v>
      </c>
      <c r="R346" s="25">
        <v>6.04</v>
      </c>
      <c r="T346" s="26" t="s">
        <v>53</v>
      </c>
      <c r="U346" s="58" t="str">
        <f t="shared" si="81"/>
        <v/>
      </c>
      <c r="V346" s="10">
        <v>0</v>
      </c>
      <c r="W346" s="60">
        <f t="shared" si="79"/>
        <v>0</v>
      </c>
      <c r="X346" s="28">
        <v>6.04</v>
      </c>
      <c r="Y346" s="59">
        <v>5808.0956078431373</v>
      </c>
      <c r="Z346" s="60">
        <f t="shared" si="80"/>
        <v>35080.897471372547</v>
      </c>
      <c r="AA346" s="60">
        <f t="shared" si="84"/>
        <v>35080.897471372547</v>
      </c>
      <c r="AB346" s="60">
        <f t="shared" si="76"/>
        <v>0</v>
      </c>
      <c r="AC346" s="60">
        <f t="shared" si="77"/>
        <v>35080.897471372547</v>
      </c>
      <c r="AD346" s="61">
        <f>+VLOOKUP(C346,'[1]pic au 25-03'!C:R,16,FALSE)</f>
        <v>5808.0956078431373</v>
      </c>
      <c r="AE346" s="31"/>
      <c r="AF346" s="62">
        <v>0</v>
      </c>
      <c r="AG346" s="31"/>
      <c r="AH346" s="62">
        <v>33977.359305882354</v>
      </c>
      <c r="AI346" s="31"/>
      <c r="AJ346" s="28">
        <f t="shared" si="78"/>
        <v>35080.897471372547</v>
      </c>
      <c r="AK346" s="21">
        <f>+VLOOKUP(C346,'[1]stock au 25-03-25'!A:X,24,FALSE)</f>
        <v>0</v>
      </c>
      <c r="AL346" t="s">
        <v>45</v>
      </c>
      <c r="AM346" s="21">
        <f t="shared" si="82"/>
        <v>5808.0956078431373</v>
      </c>
      <c r="AN346" t="s">
        <v>45</v>
      </c>
      <c r="AO346" s="63">
        <v>33111.844050272659</v>
      </c>
      <c r="AP346" s="64">
        <f t="shared" si="83"/>
        <v>35080.897471372547</v>
      </c>
      <c r="AQ346" t="s">
        <v>46</v>
      </c>
      <c r="AR346" s="36">
        <f>(AP346-AO346)/AO346</f>
        <v>5.9466740001261703E-2</v>
      </c>
      <c r="AS346" s="81"/>
      <c r="AT346" s="81">
        <f>(AO346-J346)/J346</f>
        <v>-0.11849817998320526</v>
      </c>
      <c r="AU346" s="81"/>
      <c r="AV346" s="66">
        <f>(AP346-J346)/J346</f>
        <v>-6.6078140441627534E-2</v>
      </c>
      <c r="BB346" s="56">
        <f>+R346*F346</f>
        <v>39796.738559999998</v>
      </c>
    </row>
    <row r="347" spans="1:54" ht="18.75" outlineLevel="1" x14ac:dyDescent="0.3">
      <c r="A347">
        <v>19</v>
      </c>
      <c r="B347" t="s">
        <v>406</v>
      </c>
      <c r="C347">
        <v>337529</v>
      </c>
      <c r="D347" t="s">
        <v>425</v>
      </c>
      <c r="E347" t="s">
        <v>366</v>
      </c>
      <c r="F347" s="21">
        <f>+VLOOKUP(C347,'[1]stock au 25-03-25'!A:D,4,FALSE)</f>
        <v>9500</v>
      </c>
      <c r="G347" t="s">
        <v>65</v>
      </c>
      <c r="H347" s="22">
        <f>+VLOOKUP(C347,'[1]stock au 25-03-25'!A:F,6,FALSE)</f>
        <v>1</v>
      </c>
      <c r="I347" t="s">
        <v>46</v>
      </c>
      <c r="J347" s="56">
        <f>+VLOOKUP(C347,'[1]stock au 25-03-25'!A:H,8,FALSE)</f>
        <v>9500</v>
      </c>
      <c r="K347" t="s">
        <v>46</v>
      </c>
      <c r="L347" s="23">
        <v>1.02</v>
      </c>
      <c r="M347" t="s">
        <v>46</v>
      </c>
      <c r="N347" s="56">
        <f>+VLOOKUP(C347,'[1]stock au 25-03-25'!A:L,12,FALSE)</f>
        <v>9690</v>
      </c>
      <c r="P347" s="57">
        <v>1.02</v>
      </c>
      <c r="Q347" t="s">
        <v>46</v>
      </c>
      <c r="R347" s="25">
        <v>1.02</v>
      </c>
      <c r="T347" s="26" t="s">
        <v>53</v>
      </c>
      <c r="U347" s="58" t="str">
        <f t="shared" si="81"/>
        <v/>
      </c>
      <c r="V347" s="10">
        <v>0</v>
      </c>
      <c r="W347" s="60">
        <f t="shared" si="79"/>
        <v>0</v>
      </c>
      <c r="X347" s="28">
        <v>1.02</v>
      </c>
      <c r="Y347" s="59">
        <v>1480</v>
      </c>
      <c r="Z347" s="60">
        <f t="shared" si="80"/>
        <v>1509.6000000000001</v>
      </c>
      <c r="AA347" s="60">
        <f t="shared" si="84"/>
        <v>1509.6000000000001</v>
      </c>
      <c r="AB347" s="60">
        <f t="shared" si="76"/>
        <v>0</v>
      </c>
      <c r="AC347" s="60">
        <f t="shared" si="77"/>
        <v>1509.6000000000001</v>
      </c>
      <c r="AD347" s="61">
        <f>+VLOOKUP(C347,'[1]pic au 25-03'!C:R,16,FALSE)</f>
        <v>5940</v>
      </c>
      <c r="AE347" s="31"/>
      <c r="AF347" s="62">
        <v>6058.8</v>
      </c>
      <c r="AG347" s="31"/>
      <c r="AH347" s="62">
        <v>6058.8</v>
      </c>
      <c r="AI347" s="31"/>
      <c r="AJ347" s="28">
        <f t="shared" si="78"/>
        <v>1509.6000000000001</v>
      </c>
      <c r="AK347" s="21">
        <f>+VLOOKUP(C347,'[1]stock au 25-03-25'!A:X,24,FALSE)</f>
        <v>4460</v>
      </c>
      <c r="AL347" t="s">
        <v>65</v>
      </c>
      <c r="AM347" s="21">
        <f t="shared" si="82"/>
        <v>1480</v>
      </c>
      <c r="AN347" t="s">
        <v>65</v>
      </c>
      <c r="AO347" s="63">
        <v>1480</v>
      </c>
      <c r="AP347" s="64">
        <f t="shared" si="83"/>
        <v>1509.6000000000001</v>
      </c>
      <c r="AQ347" t="s">
        <v>46</v>
      </c>
      <c r="AR347" s="36">
        <f>(AP347-AO347)/AO347</f>
        <v>2.0000000000000091E-2</v>
      </c>
      <c r="AS347" s="81"/>
      <c r="AT347" s="81">
        <f>(AO347-J347)/J347</f>
        <v>-0.84421052631578952</v>
      </c>
      <c r="AU347" s="81"/>
      <c r="AV347" s="66">
        <f>(AP347-J347)/J347</f>
        <v>-0.84109473684210523</v>
      </c>
      <c r="BB347" s="56">
        <f>+R347*F347</f>
        <v>9690</v>
      </c>
    </row>
    <row r="348" spans="1:54" ht="18.75" outlineLevel="1" x14ac:dyDescent="0.3">
      <c r="A348">
        <v>19</v>
      </c>
      <c r="B348" t="s">
        <v>406</v>
      </c>
      <c r="C348">
        <v>338434</v>
      </c>
      <c r="D348" t="s">
        <v>426</v>
      </c>
      <c r="E348" t="s">
        <v>366</v>
      </c>
      <c r="F348" s="21">
        <f>+VLOOKUP(C348,'[1]stock au 25-03-25'!A:D,4,FALSE)</f>
        <v>63</v>
      </c>
      <c r="G348" t="s">
        <v>45</v>
      </c>
      <c r="H348" s="22">
        <f>+VLOOKUP(C348,'[1]stock au 25-03-25'!A:F,6,FALSE)</f>
        <v>13.5</v>
      </c>
      <c r="I348" t="s">
        <v>46</v>
      </c>
      <c r="J348" s="56">
        <f>+VLOOKUP(C348,'[1]stock au 25-03-25'!A:H,8,FALSE)</f>
        <v>850.5</v>
      </c>
      <c r="K348" t="s">
        <v>46</v>
      </c>
      <c r="L348" s="23">
        <v>13.5</v>
      </c>
      <c r="M348" t="s">
        <v>46</v>
      </c>
      <c r="N348" s="56">
        <f>+VLOOKUP(C348,'[1]stock au 25-03-25'!A:L,12,FALSE)</f>
        <v>850.5</v>
      </c>
      <c r="Q348" t="s">
        <v>46</v>
      </c>
      <c r="R348" s="25">
        <v>13.83</v>
      </c>
      <c r="T348" s="26" t="s">
        <v>53</v>
      </c>
      <c r="U348" s="58" t="str">
        <f t="shared" si="81"/>
        <v/>
      </c>
      <c r="V348" s="10">
        <v>0</v>
      </c>
      <c r="W348" s="60">
        <f t="shared" si="79"/>
        <v>0</v>
      </c>
      <c r="X348" s="28">
        <v>13.83</v>
      </c>
      <c r="Y348" s="59">
        <v>59.412698076923078</v>
      </c>
      <c r="Z348" s="60">
        <f t="shared" si="80"/>
        <v>821.67761440384618</v>
      </c>
      <c r="AA348" s="60">
        <f t="shared" si="84"/>
        <v>821.67761440384618</v>
      </c>
      <c r="AB348" s="60">
        <f t="shared" si="76"/>
        <v>0</v>
      </c>
      <c r="AC348" s="60">
        <f t="shared" si="77"/>
        <v>821.67761440384618</v>
      </c>
      <c r="AD348" s="61">
        <f>+VLOOKUP(C348,'[1]pic au 25-03'!C:R,16,FALSE)</f>
        <v>59.412698076923078</v>
      </c>
      <c r="AE348" s="31"/>
      <c r="AF348" s="62"/>
      <c r="AG348" s="31"/>
      <c r="AH348" s="62">
        <v>802.0714240384616</v>
      </c>
      <c r="AI348" s="31"/>
      <c r="AJ348" s="28">
        <f t="shared" si="78"/>
        <v>821.67761440384618</v>
      </c>
      <c r="AK348" s="21">
        <f>+VLOOKUP(C348,'[1]stock au 25-03-25'!A:X,24,FALSE)</f>
        <v>0</v>
      </c>
      <c r="AL348" t="s">
        <v>45</v>
      </c>
      <c r="AM348" s="21">
        <f t="shared" si="82"/>
        <v>59.412698076923078</v>
      </c>
      <c r="AN348" t="s">
        <v>45</v>
      </c>
      <c r="AO348" s="63">
        <v>754.8214240384616</v>
      </c>
      <c r="AP348" s="64">
        <f t="shared" si="83"/>
        <v>821.67761440384618</v>
      </c>
      <c r="AQ348" t="s">
        <v>46</v>
      </c>
      <c r="AR348" s="36">
        <f>(AP348-AO348)/AO348</f>
        <v>8.8572195006984794E-2</v>
      </c>
      <c r="AS348" s="81"/>
      <c r="AT348" s="81">
        <f>(AO348-J348)/J348</f>
        <v>-0.11249685592185585</v>
      </c>
      <c r="AU348" s="81"/>
      <c r="AV348" s="66">
        <f>(AP348-J348)/J348</f>
        <v>-3.3888754375254349E-2</v>
      </c>
      <c r="BB348" s="56">
        <f>+R348*F348</f>
        <v>871.29</v>
      </c>
    </row>
    <row r="349" spans="1:54" ht="18.75" outlineLevel="1" x14ac:dyDescent="0.3">
      <c r="A349">
        <v>19</v>
      </c>
      <c r="B349" t="s">
        <v>406</v>
      </c>
      <c r="C349">
        <v>339440</v>
      </c>
      <c r="D349" t="s">
        <v>427</v>
      </c>
      <c r="E349" t="s">
        <v>366</v>
      </c>
      <c r="F349" s="21">
        <f>+VLOOKUP(C349,'[1]stock au 25-03-25'!A:D,4,FALSE)</f>
        <v>3920</v>
      </c>
      <c r="G349" t="s">
        <v>45</v>
      </c>
      <c r="H349" s="22">
        <f>+VLOOKUP(C349,'[1]stock au 25-03-25'!A:F,6,FALSE)</f>
        <v>8.9883928571428573</v>
      </c>
      <c r="I349" t="s">
        <v>46</v>
      </c>
      <c r="J349" s="56">
        <f>+VLOOKUP(C349,'[1]stock au 25-03-25'!A:H,8,FALSE)</f>
        <v>35234.5</v>
      </c>
      <c r="K349" t="s">
        <v>46</v>
      </c>
      <c r="L349" s="23">
        <v>9.65</v>
      </c>
      <c r="M349" t="s">
        <v>46</v>
      </c>
      <c r="N349" s="56">
        <f>+VLOOKUP(C349,'[1]stock au 25-03-25'!A:L,12,FALSE)</f>
        <v>37828</v>
      </c>
      <c r="Q349" t="s">
        <v>46</v>
      </c>
      <c r="R349" s="25">
        <v>9.2100000000000009</v>
      </c>
      <c r="T349" s="26" t="s">
        <v>53</v>
      </c>
      <c r="U349" s="58" t="str">
        <f t="shared" si="81"/>
        <v/>
      </c>
      <c r="V349" s="10">
        <v>0</v>
      </c>
      <c r="W349" s="60">
        <f t="shared" si="79"/>
        <v>0</v>
      </c>
      <c r="X349" s="28">
        <v>9.2100000000000009</v>
      </c>
      <c r="Y349" s="59">
        <v>-786</v>
      </c>
      <c r="Z349" s="60">
        <f t="shared" si="80"/>
        <v>-7239.06</v>
      </c>
      <c r="AA349" s="60">
        <f t="shared" si="84"/>
        <v>-7239.06</v>
      </c>
      <c r="AB349" s="60">
        <f t="shared" si="76"/>
        <v>0</v>
      </c>
      <c r="AC349" s="60">
        <f t="shared" si="77"/>
        <v>-7239.06</v>
      </c>
      <c r="AD349" s="61">
        <v>0</v>
      </c>
      <c r="AE349" s="31"/>
      <c r="AF349" s="62"/>
      <c r="AG349" s="31"/>
      <c r="AH349" s="62"/>
      <c r="AI349" s="31"/>
      <c r="AJ349" s="28">
        <f t="shared" si="78"/>
        <v>0</v>
      </c>
      <c r="AK349" s="21">
        <f>+VLOOKUP(C349,'[1]stock au 25-03-25'!A:X,24,FALSE)</f>
        <v>786</v>
      </c>
      <c r="AL349" t="s">
        <v>45</v>
      </c>
      <c r="AM349" s="21">
        <f t="shared" si="82"/>
        <v>0</v>
      </c>
      <c r="AN349" t="s">
        <v>45</v>
      </c>
      <c r="AO349" s="63"/>
      <c r="AP349" s="64">
        <f t="shared" si="83"/>
        <v>0</v>
      </c>
      <c r="AQ349" t="s">
        <v>46</v>
      </c>
      <c r="AR349" s="36" t="e">
        <f>(AP349-AO349)/AO349</f>
        <v>#DIV/0!</v>
      </c>
      <c r="AS349" s="81"/>
      <c r="AT349" s="81">
        <f>(AO349-J349)/J349</f>
        <v>-1</v>
      </c>
      <c r="AU349" s="81"/>
      <c r="AV349" s="66">
        <f>(AP349-J349)/J349</f>
        <v>-1</v>
      </c>
      <c r="BB349" s="56">
        <f>+R349*F349</f>
        <v>36103.200000000004</v>
      </c>
    </row>
    <row r="350" spans="1:54" ht="18.75" outlineLevel="1" x14ac:dyDescent="0.3">
      <c r="C350" s="84">
        <v>340113</v>
      </c>
      <c r="D350" s="84" t="s">
        <v>428</v>
      </c>
      <c r="F350" s="21"/>
      <c r="H350" s="22"/>
      <c r="J350" s="56"/>
      <c r="L350" s="23"/>
      <c r="N350" s="56"/>
      <c r="R350" s="25"/>
      <c r="T350" s="26">
        <v>2.9563513115237252</v>
      </c>
      <c r="U350" s="58"/>
      <c r="V350" s="10">
        <v>67860</v>
      </c>
      <c r="W350" s="60">
        <f>V350*T350</f>
        <v>200618</v>
      </c>
      <c r="X350" s="28"/>
      <c r="Y350" s="59">
        <v>0</v>
      </c>
      <c r="Z350" s="60">
        <v>0</v>
      </c>
      <c r="AA350" s="60">
        <f t="shared" si="84"/>
        <v>0</v>
      </c>
      <c r="AB350" s="60">
        <f t="shared" si="76"/>
        <v>0</v>
      </c>
      <c r="AC350" s="60">
        <f t="shared" si="77"/>
        <v>200618</v>
      </c>
      <c r="AD350" s="61"/>
      <c r="AE350" s="31"/>
      <c r="AF350" s="62"/>
      <c r="AG350" s="31"/>
      <c r="AH350" s="62"/>
      <c r="AI350" s="31"/>
      <c r="AJ350" s="28">
        <f t="shared" si="78"/>
        <v>0</v>
      </c>
      <c r="AK350" s="21"/>
      <c r="AM350" s="21"/>
      <c r="AO350" s="63"/>
      <c r="AP350" s="64"/>
      <c r="AR350" s="36"/>
      <c r="AS350" s="81"/>
      <c r="AT350" s="81"/>
      <c r="AU350" s="81"/>
      <c r="AV350" s="66"/>
      <c r="BB350" s="56"/>
    </row>
    <row r="351" spans="1:54" ht="18.75" outlineLevel="1" x14ac:dyDescent="0.3">
      <c r="A351">
        <v>19</v>
      </c>
      <c r="B351" t="s">
        <v>406</v>
      </c>
      <c r="C351">
        <v>360911</v>
      </c>
      <c r="D351" t="s">
        <v>429</v>
      </c>
      <c r="E351" t="s">
        <v>366</v>
      </c>
      <c r="F351" s="21">
        <v>0</v>
      </c>
      <c r="G351" t="s">
        <v>45</v>
      </c>
      <c r="H351" s="22">
        <f>+VLOOKUP(C351,'[1]stock au 25-03-25'!A:F,6,FALSE)</f>
        <v>5.6</v>
      </c>
      <c r="I351" t="s">
        <v>46</v>
      </c>
      <c r="J351" s="56">
        <v>0</v>
      </c>
      <c r="K351" t="s">
        <v>46</v>
      </c>
      <c r="L351" s="23"/>
      <c r="M351" t="s">
        <v>46</v>
      </c>
      <c r="N351" s="56">
        <f>+VLOOKUP(C351,'[1]stock au 25-03-25'!A:L,12,FALSE)</f>
        <v>0</v>
      </c>
      <c r="Q351" t="s">
        <v>46</v>
      </c>
      <c r="R351" s="25">
        <v>5.74</v>
      </c>
      <c r="T351" s="26" t="s">
        <v>53</v>
      </c>
      <c r="U351" s="58" t="str">
        <f t="shared" si="81"/>
        <v/>
      </c>
      <c r="V351" s="10">
        <v>0</v>
      </c>
      <c r="W351" s="60">
        <f t="shared" si="79"/>
        <v>0</v>
      </c>
      <c r="X351" s="28">
        <v>5.74</v>
      </c>
      <c r="Y351" s="59">
        <v>0</v>
      </c>
      <c r="Z351" s="60">
        <f t="shared" si="80"/>
        <v>0</v>
      </c>
      <c r="AA351" s="60">
        <f t="shared" si="84"/>
        <v>0</v>
      </c>
      <c r="AB351" s="60">
        <f t="shared" si="76"/>
        <v>0</v>
      </c>
      <c r="AC351" s="60">
        <f t="shared" si="77"/>
        <v>0</v>
      </c>
      <c r="AD351" s="61">
        <v>0</v>
      </c>
      <c r="AE351" s="31"/>
      <c r="AF351" s="62"/>
      <c r="AG351" s="31"/>
      <c r="AH351" s="62"/>
      <c r="AI351" s="31"/>
      <c r="AJ351" s="28">
        <f t="shared" si="78"/>
        <v>0</v>
      </c>
      <c r="AK351" s="21">
        <f>+VLOOKUP(C351,'[1]stock au 25-03-25'!A:X,24,FALSE)</f>
        <v>0</v>
      </c>
      <c r="AL351" t="s">
        <v>45</v>
      </c>
      <c r="AM351" s="21">
        <f>IF(AD351-AK351&lt;0,0,AD351-AK351)</f>
        <v>0</v>
      </c>
      <c r="AN351" t="s">
        <v>45</v>
      </c>
      <c r="AO351" s="63"/>
      <c r="AP351" s="64">
        <f>IF(AM351&lt;0,0,AM351*R351)</f>
        <v>0</v>
      </c>
      <c r="AQ351" t="s">
        <v>46</v>
      </c>
      <c r="AR351" s="36" t="e">
        <f>(AP351-AO351)/AO351</f>
        <v>#DIV/0!</v>
      </c>
      <c r="AS351" s="81"/>
      <c r="AT351" s="81" t="e">
        <f>(AO351-J351)/J351</f>
        <v>#DIV/0!</v>
      </c>
      <c r="AU351" s="81"/>
      <c r="AV351" s="66" t="e">
        <f>(AP351-J351)/J351</f>
        <v>#DIV/0!</v>
      </c>
      <c r="BB351" s="56">
        <f>+R351*F351</f>
        <v>0</v>
      </c>
    </row>
    <row r="352" spans="1:54" x14ac:dyDescent="0.25">
      <c r="A352" s="67"/>
      <c r="B352" s="67" t="s">
        <v>430</v>
      </c>
      <c r="C352" s="67"/>
      <c r="D352" s="67"/>
      <c r="E352" s="67"/>
      <c r="F352" s="79">
        <f>SUM(F329:F351)</f>
        <v>714966.99199999985</v>
      </c>
      <c r="G352" s="67" t="s">
        <v>45</v>
      </c>
      <c r="H352" s="69"/>
      <c r="I352" s="67"/>
      <c r="J352" s="70">
        <f>SUM(J329:J351)</f>
        <v>2982100.2300000009</v>
      </c>
      <c r="K352" s="67"/>
      <c r="L352" s="69"/>
      <c r="M352" s="67"/>
      <c r="N352" s="70">
        <f>SUM(N329:N351)</f>
        <v>3174930.8288600007</v>
      </c>
      <c r="O352" s="78"/>
      <c r="P352" s="78">
        <f>SUM(P329:P351)</f>
        <v>117.64999999999999</v>
      </c>
      <c r="Q352" s="78">
        <f>SUM(Q329:Q351)</f>
        <v>0</v>
      </c>
      <c r="R352" s="78"/>
      <c r="S352" s="78"/>
      <c r="T352" s="83"/>
      <c r="U352" s="83"/>
      <c r="V352" s="10"/>
      <c r="W352" s="60">
        <f>SUM(W329:W351)</f>
        <v>1745451.6700000002</v>
      </c>
      <c r="X352" s="28">
        <f>SUM(X329:X351)</f>
        <v>151.70594833093807</v>
      </c>
      <c r="Y352" s="59">
        <f>SUM(Y329:Y351)</f>
        <v>362887.38367450825</v>
      </c>
      <c r="Z352" s="60">
        <f>SUM(Z329:Z351)</f>
        <v>1509841.1865743529</v>
      </c>
      <c r="AA352" s="60"/>
      <c r="AB352" s="60"/>
      <c r="AC352" s="60">
        <f t="shared" si="77"/>
        <v>3255292.8565743528</v>
      </c>
      <c r="AD352" s="74">
        <f>SUM(AD329:AD351)</f>
        <v>787235.89567450818</v>
      </c>
      <c r="AE352" s="75"/>
      <c r="AF352" s="76">
        <f>SUM(AF329:AF351)</f>
        <v>3354352.507632521</v>
      </c>
      <c r="AG352" s="75"/>
      <c r="AH352" s="76">
        <f>SUM(AH329:AH351)</f>
        <v>3425778.2367992951</v>
      </c>
      <c r="AI352" s="75"/>
      <c r="AJ352" s="28">
        <f>SUM(AJ329:AJ351)</f>
        <v>2931062.9123078049</v>
      </c>
      <c r="AK352" s="77">
        <f>SUM(AK329:AK351)</f>
        <v>44612.186000000002</v>
      </c>
      <c r="AL352" s="78">
        <f>SUM(AL329:AL351)</f>
        <v>0</v>
      </c>
      <c r="AM352" s="79">
        <f>SUM(AM329:AM351)</f>
        <v>743409.70967450785</v>
      </c>
      <c r="AN352" s="78" t="s">
        <v>45</v>
      </c>
      <c r="AO352" s="80">
        <f>SUM(AO329:AO351)</f>
        <v>2973644.9891652176</v>
      </c>
      <c r="AP352" s="80">
        <f>SUM(AP329:AP351)</f>
        <v>3177110.6205517012</v>
      </c>
      <c r="AQ352" s="67"/>
      <c r="AR352" s="81">
        <f>(AP352-AO352)/AO352</f>
        <v>6.842297319546603E-2</v>
      </c>
      <c r="AS352" s="72">
        <f>AP352-AO352</f>
        <v>203465.63138648355</v>
      </c>
      <c r="AT352" s="81">
        <f>(AO352-J352)/J352</f>
        <v>-2.8353308684005213E-3</v>
      </c>
      <c r="AU352" s="82">
        <f>AO352-J352</f>
        <v>-8455.240834783297</v>
      </c>
      <c r="AV352" s="81">
        <f>(AP352-J352)/J352</f>
        <v>6.5393640559056665E-2</v>
      </c>
      <c r="AW352" s="72">
        <f>AP352-N352</f>
        <v>2179.7916917004623</v>
      </c>
      <c r="AX352" s="67"/>
      <c r="AY352" s="67"/>
      <c r="AZ352" s="81">
        <f>(AM352-F352)/F352</f>
        <v>3.9781861250607217E-2</v>
      </c>
      <c r="BA352" s="81">
        <f>(AP352-N352)/N352</f>
        <v>6.8656352191557636E-4</v>
      </c>
      <c r="BB352" s="78">
        <f>SUM(BB329:BB351)</f>
        <v>3124145.5422399999</v>
      </c>
    </row>
    <row r="353" spans="44:54" ht="18.75" x14ac:dyDescent="0.3">
      <c r="AR353" s="36"/>
      <c r="AS353" s="85">
        <f>SUM(AS14:AS352)</f>
        <v>1206808.9967986774</v>
      </c>
      <c r="AT353" s="65"/>
      <c r="AU353" s="85">
        <f>SUM(AU14:AU352)</f>
        <v>584210.23683457368</v>
      </c>
      <c r="AV353" s="66"/>
      <c r="AW353" s="86">
        <f>SUM(AW14:AW352)</f>
        <v>294840.7648559123</v>
      </c>
      <c r="BB353" s="86">
        <f>+SUM(BB352+BB328+BB322+BB312+BB307+BB290+BB278+BB275+BB271+BB253+BB238+BB229+BB226+BB222+BB201+BB106+BB81+BB14+BB256)</f>
        <v>20081304.102029994</v>
      </c>
    </row>
  </sheetData>
  <conditionalFormatting sqref="U4:U351">
    <cfRule type="cellIs" dxfId="1" priority="2" operator="lessThan">
      <formula>0</formula>
    </cfRule>
  </conditionalFormatting>
  <conditionalFormatting sqref="U1:V1 U2:W2 U4:U351 U352:V352">
    <cfRule type="cellIs" dxfId="0" priority="1" operator="greaterThan">
      <formula>5%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✔️ ‎</dc:creator>
  <cp:lastModifiedBy>✔️ ‎</cp:lastModifiedBy>
  <dcterms:created xsi:type="dcterms:W3CDTF">2025-11-22T11:48:00Z</dcterms:created>
  <dcterms:modified xsi:type="dcterms:W3CDTF">2025-11-22T11:50:55Z</dcterms:modified>
</cp:coreProperties>
</file>